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charts/chart1.xml" ContentType="application/vnd.openxmlformats-officedocument.drawingml.chart+xml"/>
  <Override PartName="/xl/drawings/drawing2.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drawings/drawing3.xml" ContentType="application/vnd.openxmlformats-officedocument.drawing+xml"/>
  <Override PartName="/xl/ctrlProps/ctrlProp2.xml" ContentType="application/vnd.ms-excel.controlproperties+xml"/>
  <Override PartName="/xl/comments2.xml" ContentType="application/vnd.openxmlformats-officedocument.spreadsheetml.comments+xml"/>
  <Override PartName="/xl/drawings/drawing4.xml" ContentType="application/vnd.openxmlformats-officedocument.drawing+xml"/>
  <Override PartName="/xl/ctrlProps/ctrlProp3.xml" ContentType="application/vnd.ms-excel.controlproperties+xml"/>
  <Override PartName="/xl/comments3.xml" ContentType="application/vnd.openxmlformats-officedocument.spreadsheetml.comments+xml"/>
  <Override PartName="/xl/drawings/drawing5.xml" ContentType="application/vnd.openxmlformats-officedocument.drawing+xml"/>
  <Override PartName="/xl/ctrlProps/ctrlProp4.xml" ContentType="application/vnd.ms-excel.controlproperties+xml"/>
  <Override PartName="/xl/comments4.xml" ContentType="application/vnd.openxmlformats-officedocument.spreadsheetml.comments+xml"/>
  <Override PartName="/xl/drawings/drawing6.xml" ContentType="application/vnd.openxmlformats-officedocument.drawing+xml"/>
  <Override PartName="/xl/ctrlProps/ctrlProp5.xml" ContentType="application/vnd.ms-excel.controlproperties+xml"/>
  <Override PartName="/xl/comments5.xml" ContentType="application/vnd.openxmlformats-officedocument.spreadsheetml.comments+xml"/>
  <Override PartName="/xl/drawings/drawing7.xml" ContentType="application/vnd.openxmlformats-officedocument.drawing+xml"/>
  <Override PartName="/xl/ctrlProps/ctrlProp6.xml" ContentType="application/vnd.ms-excel.controlproperties+xml"/>
  <Override PartName="/xl/comments6.xml" ContentType="application/vnd.openxmlformats-officedocument.spreadsheetml.comments+xml"/>
  <Override PartName="/xl/drawings/drawing8.xml" ContentType="application/vnd.openxmlformats-officedocument.drawing+xml"/>
  <Override PartName="/xl/ctrlProps/ctrlProp7.xml" ContentType="application/vnd.ms-excel.controlproperties+xml"/>
  <Override PartName="/xl/comments7.xml" ContentType="application/vnd.openxmlformats-officedocument.spreadsheetml.comments+xml"/>
  <Override PartName="/xl/drawings/drawing9.xml" ContentType="application/vnd.openxmlformats-officedocument.drawing+xml"/>
  <Override PartName="/xl/ctrlProps/ctrlProp8.xml" ContentType="application/vnd.ms-excel.controlproperties+xml"/>
  <Override PartName="/xl/comments8.xml" ContentType="application/vnd.openxmlformats-officedocument.spreadsheetml.comments+xml"/>
  <Override PartName="/xl/drawings/drawing10.xml" ContentType="application/vnd.openxmlformats-officedocument.drawing+xml"/>
  <Override PartName="/xl/ctrlProps/ctrlProp9.xml" ContentType="application/vnd.ms-excel.controlproperties+xml"/>
  <Override PartName="/xl/comments9.xml" ContentType="application/vnd.openxmlformats-officedocument.spreadsheetml.comments+xml"/>
  <Override PartName="/xl/drawings/drawing11.xml" ContentType="application/vnd.openxmlformats-officedocument.drawing+xml"/>
  <Override PartName="/xl/ctrlProps/ctrlProp10.xml" ContentType="application/vnd.ms-excel.controlproperties+xml"/>
  <Override PartName="/xl/comments10.xml" ContentType="application/vnd.openxmlformats-officedocument.spreadsheetml.comments+xml"/>
  <Override PartName="/xl/drawings/drawing12.xml" ContentType="application/vnd.openxmlformats-officedocument.drawing+xml"/>
  <Override PartName="/xl/ctrlProps/ctrlProp11.xml" ContentType="application/vnd.ms-excel.controlproperties+xml"/>
  <Override PartName="/xl/comments11.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D:\uit-newbrush\"/>
    </mc:Choice>
  </mc:AlternateContent>
  <bookViews>
    <workbookView xWindow="0" yWindow="0" windowWidth="0" windowHeight="8745" firstSheet="6" activeTab="13"/>
  </bookViews>
  <sheets>
    <sheet name="newbrush SDK总任务表" sheetId="10" state="hidden" r:id="rId1"/>
    <sheet name="项目时间表" sheetId="16" state="hidden" r:id="rId2"/>
    <sheet name="newbrush studio总任务表" sheetId="15" state="hidden" r:id="rId3"/>
    <sheet name="framework" sheetId="5" state="hidden" r:id="rId4"/>
    <sheet name="opengl" sheetId="7" state="hidden" r:id="rId5"/>
    <sheet name="other" sheetId="9" state="hidden" r:id="rId6"/>
    <sheet name="newbrush SDK详细任务跟进" sheetId="8" r:id="rId7"/>
    <sheet name="newbrush studio详细任务跟进" sheetId="12" state="hidden" r:id="rId8"/>
    <sheet name="倒车轨迹线线OpenGL方案" sheetId="17" state="hidden" r:id="rId9"/>
    <sheet name="RadarACM" sheetId="19" r:id="rId10"/>
    <sheet name="福特CDX706" sheetId="20" r:id="rId11"/>
    <sheet name="防晕车实验软件" sheetId="21" state="hidden" r:id="rId12"/>
    <sheet name="模型换装" sheetId="22" r:id="rId13"/>
    <sheet name="ipu02" sheetId="23" r:id="rId14"/>
  </sheets>
  <externalReferences>
    <externalReference r:id="rId15"/>
  </externalReferences>
  <definedNames>
    <definedName name="_xlnm._FilterDatabase" localSheetId="3" hidden="1">framework!$A$3:$P$18</definedName>
    <definedName name="_xlnm._FilterDatabase" localSheetId="13" hidden="1">'ipu02'!$A$3:$P$11</definedName>
    <definedName name="_xlnm._FilterDatabase" localSheetId="6" hidden="1">'newbrush SDK详细任务跟进'!$A$3:$P$30</definedName>
    <definedName name="_xlnm._FilterDatabase" localSheetId="7" hidden="1">'newbrush studio详细任务跟进'!$A$3:$P$30</definedName>
    <definedName name="_xlnm._FilterDatabase" localSheetId="4" hidden="1">opengl!$A$3:$P$14</definedName>
    <definedName name="_xlnm._FilterDatabase" localSheetId="5" hidden="1">other!$A$3:$P$15</definedName>
    <definedName name="_xlnm._FilterDatabase" localSheetId="9" hidden="1">RadarACM!$A$3:$P$13</definedName>
    <definedName name="_xlnm._FilterDatabase" localSheetId="8" hidden="1">倒车轨迹线线OpenGL方案!$A$3:$P$27</definedName>
    <definedName name="_xlnm._FilterDatabase" localSheetId="11" hidden="1">防晕车实验软件!$A$3:$P$13</definedName>
    <definedName name="_xlnm._FilterDatabase" localSheetId="10" hidden="1">福特CDX706!$A$3:$P$18</definedName>
    <definedName name="_xlnm._FilterDatabase" localSheetId="12" hidden="1">模型换装!$A$3:$P$12</definedName>
    <definedName name="ActualBeyond" localSheetId="13">'ipu02'!PeriodInActual*(#REF!&gt;0)</definedName>
    <definedName name="ActualBeyond" localSheetId="7">'newbrush studio详细任务跟进'!PeriodInActual*(#REF!&gt;0)</definedName>
    <definedName name="ActualBeyond" localSheetId="2">'newbrush studio总任务表'!PeriodInActual*(#REF!&gt;0)</definedName>
    <definedName name="ActualBeyond" localSheetId="9">RadarACM!PeriodInActual*(#REF!&gt;0)</definedName>
    <definedName name="ActualBeyond" localSheetId="8">倒车轨迹线线OpenGL方案!PeriodInActual*(#REF!&gt;0)</definedName>
    <definedName name="ActualBeyond" localSheetId="11">防晕车实验软件!PeriodInActual*(#REF!&gt;0)</definedName>
    <definedName name="ActualBeyond" localSheetId="10">福特CDX706!PeriodInActual*(#REF!&gt;0)</definedName>
    <definedName name="ActualBeyond" localSheetId="12">模型换装!PeriodInActual*(#REF!&gt;0)</definedName>
    <definedName name="ActualBeyond">PeriodInActual*(#REF!&gt;0)</definedName>
    <definedName name="Display_Week" localSheetId="2">'newbrush studio总任务表'!$E$4</definedName>
    <definedName name="Display_Week">'newbrush SDK总任务表'!$E$4</definedName>
    <definedName name="EOI" localSheetId="13">'ipu02'!$A$30</definedName>
    <definedName name="EOI" localSheetId="6">'newbrush SDK详细任务跟进'!$A$89</definedName>
    <definedName name="EOI" localSheetId="7">'newbrush studio详细任务跟进'!$A$31</definedName>
    <definedName name="EOI" localSheetId="4">opengl!$A$15</definedName>
    <definedName name="EOI" localSheetId="5">other!$A$16</definedName>
    <definedName name="EOI" localSheetId="9">RadarACM!$A$14</definedName>
    <definedName name="EOI" localSheetId="8">倒车轨迹线线OpenGL方案!$A$28</definedName>
    <definedName name="EOI" localSheetId="11">防晕车实验软件!$A$14</definedName>
    <definedName name="EOI" localSheetId="10">福特CDX706!$A$22</definedName>
    <definedName name="EOI" localSheetId="12">模型换装!$A$13</definedName>
    <definedName name="EOI">framework!$A$22</definedName>
    <definedName name="EOS" localSheetId="13">#REF!</definedName>
    <definedName name="EOS" localSheetId="0">#REF!</definedName>
    <definedName name="EOS" localSheetId="7">#REF!</definedName>
    <definedName name="EOS" localSheetId="2">#REF!</definedName>
    <definedName name="EOS" localSheetId="9">#REF!</definedName>
    <definedName name="EOS" localSheetId="8">#REF!</definedName>
    <definedName name="EOS" localSheetId="11">#REF!</definedName>
    <definedName name="EOS" localSheetId="10">#REF!</definedName>
    <definedName name="EOS" localSheetId="12">#REF!</definedName>
    <definedName name="EOS">#REF!</definedName>
    <definedName name="EOT" localSheetId="13">#REF!</definedName>
    <definedName name="EOT" localSheetId="0">#REF!</definedName>
    <definedName name="EOT" localSheetId="7">#REF!</definedName>
    <definedName name="EOT" localSheetId="2">#REF!</definedName>
    <definedName name="EOT" localSheetId="9">#REF!</definedName>
    <definedName name="EOT" localSheetId="8">#REF!</definedName>
    <definedName name="EOT" localSheetId="11">#REF!</definedName>
    <definedName name="EOT" localSheetId="10">#REF!</definedName>
    <definedName name="EOT" localSheetId="12">#REF!</definedName>
    <definedName name="EOT">#REF!</definedName>
    <definedName name="PercentComplete" localSheetId="13">'ipu02'!PercentCompleteBeyond*'ipu02'!PeriodInPlan</definedName>
    <definedName name="PercentComplete" localSheetId="7">'newbrush studio详细任务跟进'!PercentCompleteBeyond*'newbrush studio详细任务跟进'!PeriodInPlan</definedName>
    <definedName name="PercentComplete" localSheetId="2">'newbrush studio总任务表'!PercentCompleteBeyond*'newbrush studio总任务表'!PeriodInPlan</definedName>
    <definedName name="PercentComplete" localSheetId="9">RadarACM!PercentCompleteBeyond*RadarACM!PeriodInPlan</definedName>
    <definedName name="PercentComplete" localSheetId="8">倒车轨迹线线OpenGL方案!PercentCompleteBeyond*倒车轨迹线线OpenGL方案!PeriodInPlan</definedName>
    <definedName name="PercentComplete" localSheetId="11">防晕车实验软件!PercentCompleteBeyond*防晕车实验软件!PeriodInPlan</definedName>
    <definedName name="PercentComplete" localSheetId="10">福特CDX706!PercentCompleteBeyond*福特CDX706!PeriodInPlan</definedName>
    <definedName name="PercentComplete" localSheetId="12">模型换装!PercentCompleteBeyond*模型换装!PeriodInPlan</definedName>
    <definedName name="PercentComplete">PercentCompleteBeyond*PeriodInPlan</definedName>
    <definedName name="PercentCompleteBeyond" localSheetId="13">(#REF!=MEDIAN(#REF!,#REF!,#REF!+#REF!)*(#REF!&gt;0))*((#REF!&lt;(INT(#REF!+#REF!*#REF!)))+(#REF!=#REF!))*(#REF!&gt;0)</definedName>
    <definedName name="PercentCompleteBeyond" localSheetId="7">(#REF!=MEDIAN(#REF!,#REF!,#REF!+#REF!)*(#REF!&gt;0))*((#REF!&lt;(INT(#REF!+#REF!*#REF!)))+(#REF!=#REF!))*(#REF!&gt;0)</definedName>
    <definedName name="PercentCompleteBeyond" localSheetId="2">(#REF!=MEDIAN(#REF!,#REF!,#REF!+#REF!)*(#REF!&gt;0))*((#REF!&lt;(INT(#REF!+#REF!*#REF!)))+(#REF!=#REF!))*(#REF!&gt;0)</definedName>
    <definedName name="PercentCompleteBeyond" localSheetId="9">(#REF!=MEDIAN(#REF!,#REF!,#REF!+#REF!)*(#REF!&gt;0))*((#REF!&lt;(INT(#REF!+#REF!*#REF!)))+(#REF!=#REF!))*(#REF!&gt;0)</definedName>
    <definedName name="PercentCompleteBeyond" localSheetId="8">(#REF!=MEDIAN(#REF!,#REF!,#REF!+#REF!)*(#REF!&gt;0))*((#REF!&lt;(INT(#REF!+#REF!*#REF!)))+(#REF!=#REF!))*(#REF!&gt;0)</definedName>
    <definedName name="PercentCompleteBeyond" localSheetId="11">(#REF!=MEDIAN(#REF!,#REF!,#REF!+#REF!)*(#REF!&gt;0))*((#REF!&lt;(INT(#REF!+#REF!*#REF!)))+(#REF!=#REF!))*(#REF!&gt;0)</definedName>
    <definedName name="PercentCompleteBeyond" localSheetId="10">(#REF!=MEDIAN(#REF!,#REF!,#REF!+#REF!)*(#REF!&gt;0))*((#REF!&lt;(INT(#REF!+#REF!*#REF!)))+(#REF!=#REF!))*(#REF!&gt;0)</definedName>
    <definedName name="PercentCompleteBeyond" localSheetId="12">(#REF!=MEDIAN(#REF!,#REF!,#REF!+#REF!)*(#REF!&gt;0))*((#REF!&lt;(INT(#REF!+#REF!*#REF!)))+(#REF!=#REF!))*(#REF!&gt;0)</definedName>
    <definedName name="PercentCompleteBeyond">(#REF!=MEDIAN(#REF!,#REF!,#REF!+#REF!)*(#REF!&gt;0))*((#REF!&lt;(INT(#REF!+#REF!*#REF!)))+(#REF!=#REF!))*(#REF!&gt;0)</definedName>
    <definedName name="period_selected" localSheetId="13">#REF!</definedName>
    <definedName name="period_selected" localSheetId="7">#REF!</definedName>
    <definedName name="period_selected" localSheetId="2">#REF!</definedName>
    <definedName name="period_selected" localSheetId="9">#REF!</definedName>
    <definedName name="period_selected" localSheetId="8">#REF!</definedName>
    <definedName name="period_selected" localSheetId="11">#REF!</definedName>
    <definedName name="period_selected" localSheetId="10">#REF!</definedName>
    <definedName name="period_selected" localSheetId="12">#REF!</definedName>
    <definedName name="period_selected">#REF!</definedName>
    <definedName name="PeriodInActual" localSheetId="13">#REF!=MEDIAN(#REF!,#REF!,#REF!+#REF!-1)</definedName>
    <definedName name="PeriodInActual" localSheetId="7">#REF!=MEDIAN(#REF!,#REF!,#REF!+#REF!-1)</definedName>
    <definedName name="PeriodInActual" localSheetId="2">#REF!=MEDIAN(#REF!,#REF!,#REF!+#REF!-1)</definedName>
    <definedName name="PeriodInActual" localSheetId="9">#REF!=MEDIAN(#REF!,#REF!,#REF!+#REF!-1)</definedName>
    <definedName name="PeriodInActual" localSheetId="8">#REF!=MEDIAN(#REF!,#REF!,#REF!+#REF!-1)</definedName>
    <definedName name="PeriodInActual" localSheetId="11">#REF!=MEDIAN(#REF!,#REF!,#REF!+#REF!-1)</definedName>
    <definedName name="PeriodInActual" localSheetId="10">#REF!=MEDIAN(#REF!,#REF!,#REF!+#REF!-1)</definedName>
    <definedName name="PeriodInActual" localSheetId="12">#REF!=MEDIAN(#REF!,#REF!,#REF!+#REF!-1)</definedName>
    <definedName name="PeriodInActual">#REF!=MEDIAN(#REF!,#REF!,#REF!+#REF!-1)</definedName>
    <definedName name="PeriodInPlan" localSheetId="13">#REF!=MEDIAN(#REF!,#REF!,#REF!+#REF!-1)</definedName>
    <definedName name="PeriodInPlan" localSheetId="7">#REF!=MEDIAN(#REF!,#REF!,#REF!+#REF!-1)</definedName>
    <definedName name="PeriodInPlan" localSheetId="2">#REF!=MEDIAN(#REF!,#REF!,#REF!+#REF!-1)</definedName>
    <definedName name="PeriodInPlan" localSheetId="9">#REF!=MEDIAN(#REF!,#REF!,#REF!+#REF!-1)</definedName>
    <definedName name="PeriodInPlan" localSheetId="8">#REF!=MEDIAN(#REF!,#REF!,#REF!+#REF!-1)</definedName>
    <definedName name="PeriodInPlan" localSheetId="11">#REF!=MEDIAN(#REF!,#REF!,#REF!+#REF!-1)</definedName>
    <definedName name="PeriodInPlan" localSheetId="10">#REF!=MEDIAN(#REF!,#REF!,#REF!+#REF!-1)</definedName>
    <definedName name="PeriodInPlan" localSheetId="12">#REF!=MEDIAN(#REF!,#REF!,#REF!+#REF!-1)</definedName>
    <definedName name="PeriodInPlan">#REF!=MEDIAN(#REF!,#REF!,#REF!+#REF!-1)</definedName>
    <definedName name="_xlnm.Print_Area" localSheetId="1">项目时间表!$A$1:$N$17</definedName>
    <definedName name="_xlnm.Print_Titles" localSheetId="0">'newbrush SDK总任务表'!$4:$6</definedName>
    <definedName name="_xlnm.Print_Titles" localSheetId="2">'newbrush studio总任务表'!$4:$6</definedName>
    <definedName name="Project_Start" localSheetId="2">'newbrush studio总任务表'!$E$3</definedName>
    <definedName name="Project_Start">'newbrush SDK总任务表'!$E$3</definedName>
    <definedName name="ProjectEnd" localSheetId="13">#REF!</definedName>
    <definedName name="ProjectEnd" localSheetId="9">#REF!</definedName>
    <definedName name="ProjectEnd" localSheetId="8">#REF!</definedName>
    <definedName name="ProjectEnd" localSheetId="11">#REF!</definedName>
    <definedName name="ProjectEnd" localSheetId="10">#REF!</definedName>
    <definedName name="ProjectEnd" localSheetId="12">#REF!</definedName>
    <definedName name="ProjectEnd" localSheetId="1">项目时间表!$L$21</definedName>
    <definedName name="ProjectEnd">#REF!</definedName>
    <definedName name="ProjectStart" localSheetId="13">#REF!</definedName>
    <definedName name="ProjectStart" localSheetId="9">#REF!</definedName>
    <definedName name="ProjectStart" localSheetId="8">#REF!</definedName>
    <definedName name="ProjectStart" localSheetId="11">#REF!</definedName>
    <definedName name="ProjectStart" localSheetId="10">#REF!</definedName>
    <definedName name="ProjectStart" localSheetId="12">#REF!</definedName>
    <definedName name="ProjectStart" localSheetId="1">项目时间表!$L$19</definedName>
    <definedName name="ProjectStart">#REF!</definedName>
    <definedName name="task_end" localSheetId="0">'newbrush SDK总任务表'!$F1</definedName>
    <definedName name="task_end" localSheetId="2">'newbrush studio总任务表'!$F1</definedName>
    <definedName name="task_progress" localSheetId="0">'newbrush SDK总任务表'!$D1</definedName>
    <definedName name="task_progress" localSheetId="2">'newbrush studio总任务表'!$D1</definedName>
    <definedName name="task_start" localSheetId="0">'newbrush SDK总任务表'!$E1</definedName>
    <definedName name="task_start" localSheetId="2">'newbrush studio总任务表'!$E1</definedName>
    <definedName name="TitleRegion..BO60" localSheetId="13">#REF!</definedName>
    <definedName name="TitleRegion..BO60" localSheetId="7">#REF!</definedName>
    <definedName name="TitleRegion..BO60" localSheetId="2">#REF!</definedName>
    <definedName name="TitleRegion..BO60" localSheetId="9">#REF!</definedName>
    <definedName name="TitleRegion..BO60" localSheetId="8">#REF!</definedName>
    <definedName name="TitleRegion..BO60" localSheetId="11">#REF!</definedName>
    <definedName name="TitleRegion..BO60" localSheetId="10">#REF!</definedName>
    <definedName name="TitleRegion..BO60" localSheetId="12">#REF!</definedName>
    <definedName name="TitleRegion..BO60">#REF!</definedName>
    <definedName name="计划" localSheetId="13">'ipu02'!PeriodInPlan*(#REF!&gt;0)</definedName>
    <definedName name="计划" localSheetId="7">'newbrush studio详细任务跟进'!PeriodInPlan*(#REF!&gt;0)</definedName>
    <definedName name="计划" localSheetId="2">'newbrush studio总任务表'!PeriodInPlan*(#REF!&gt;0)</definedName>
    <definedName name="计划" localSheetId="9">RadarACM!PeriodInPlan*(#REF!&gt;0)</definedName>
    <definedName name="计划" localSheetId="8">倒车轨迹线线OpenGL方案!PeriodInPlan*(#REF!&gt;0)</definedName>
    <definedName name="计划" localSheetId="11">防晕车实验软件!PeriodInPlan*(#REF!&gt;0)</definedName>
    <definedName name="计划" localSheetId="10">福特CDX706!PeriodInPlan*(#REF!&gt;0)</definedName>
    <definedName name="计划" localSheetId="12">模型换装!PeriodInPlan*(#REF!&gt;0)</definedName>
    <definedName name="计划">PeriodInPlan*(#REF!&gt;0)</definedName>
    <definedName name="今天" localSheetId="0">TODAY()</definedName>
    <definedName name="今天" localSheetId="2">TODAY()</definedName>
    <definedName name="实际值" localSheetId="13">('ipu02'!PeriodInActual*(#REF!&gt;0))*'ipu02'!PeriodInPlan</definedName>
    <definedName name="实际值" localSheetId="7">('newbrush studio详细任务跟进'!PeriodInActual*(#REF!&gt;0))*'newbrush studio详细任务跟进'!PeriodInPlan</definedName>
    <definedName name="实际值" localSheetId="2">('newbrush studio总任务表'!PeriodInActual*(#REF!&gt;0))*'newbrush studio总任务表'!PeriodInPlan</definedName>
    <definedName name="实际值" localSheetId="9">(RadarACM!PeriodInActual*(#REF!&gt;0))*RadarACM!PeriodInPlan</definedName>
    <definedName name="实际值" localSheetId="8">(倒车轨迹线线OpenGL方案!PeriodInActual*(#REF!&gt;0))*倒车轨迹线线OpenGL方案!PeriodInPlan</definedName>
    <definedName name="实际值" localSheetId="11">(防晕车实验软件!PeriodInActual*(#REF!&gt;0))*防晕车实验软件!PeriodInPlan</definedName>
    <definedName name="实际值" localSheetId="10">(福特CDX706!PeriodInActual*(#REF!&gt;0))*福特CDX706!PeriodInPlan</definedName>
    <definedName name="实际值" localSheetId="12">(模型换装!PeriodInActual*(#REF!&gt;0))*模型换装!PeriodInPlan</definedName>
    <definedName name="实际值">(PeriodInActual*(#REF!&gt;0))*PeriodInPlan</definedName>
    <definedName name="图表年份">YEAR([1]图表数据!$B$4)</definedName>
  </definedNames>
  <calcPr calcId="162913"/>
</workbook>
</file>

<file path=xl/calcChain.xml><?xml version="1.0" encoding="utf-8"?>
<calcChain xmlns="http://schemas.openxmlformats.org/spreadsheetml/2006/main">
  <c r="O22" i="23" l="1"/>
  <c r="K22" i="23"/>
  <c r="O21" i="23"/>
  <c r="K21" i="23"/>
  <c r="O20" i="23"/>
  <c r="K20" i="23"/>
  <c r="O19" i="23"/>
  <c r="K19" i="23"/>
  <c r="O18" i="23" l="1"/>
  <c r="K18" i="23"/>
  <c r="K17" i="23"/>
  <c r="K16" i="23"/>
  <c r="O15" i="23"/>
  <c r="K15" i="23"/>
  <c r="O14" i="23"/>
  <c r="K14" i="23"/>
  <c r="K13" i="23" l="1"/>
  <c r="O12" i="23"/>
  <c r="K12" i="23"/>
  <c r="K11" i="23" l="1"/>
  <c r="C2" i="23"/>
  <c r="O16" i="23" s="1"/>
  <c r="J23" i="23" l="1"/>
  <c r="J24" i="23"/>
  <c r="J28" i="23"/>
  <c r="J29" i="23"/>
  <c r="J26" i="23"/>
  <c r="J27" i="23"/>
  <c r="J25" i="23"/>
  <c r="O17" i="23"/>
  <c r="J17" i="23" s="1"/>
  <c r="O11" i="23"/>
  <c r="J11" i="23" s="1"/>
  <c r="N11" i="23" s="1"/>
  <c r="O13" i="23"/>
  <c r="J13" i="23" s="1"/>
  <c r="L13" i="23" s="1"/>
  <c r="J20" i="23"/>
  <c r="J22" i="23"/>
  <c r="J21" i="23"/>
  <c r="N21" i="23" s="1"/>
  <c r="J19" i="23"/>
  <c r="N19" i="23" s="1"/>
  <c r="J18" i="23"/>
  <c r="M18" i="23" s="1"/>
  <c r="J10" i="23"/>
  <c r="O4" i="23"/>
  <c r="J16" i="23"/>
  <c r="N16" i="23" s="1"/>
  <c r="J14" i="23"/>
  <c r="M14" i="23" s="1"/>
  <c r="J15" i="23"/>
  <c r="J5" i="23"/>
  <c r="J7" i="23"/>
  <c r="J6" i="23"/>
  <c r="J9" i="23"/>
  <c r="J8" i="23"/>
  <c r="K4" i="23"/>
  <c r="J4" i="23" s="1"/>
  <c r="N4" i="23" s="1"/>
  <c r="J12" i="23"/>
  <c r="O12" i="22"/>
  <c r="K12" i="22"/>
  <c r="O11" i="22"/>
  <c r="K11" i="22"/>
  <c r="O4" i="22"/>
  <c r="C2" i="22"/>
  <c r="J12" i="22" s="1"/>
  <c r="L21" i="23" l="1"/>
  <c r="M21" i="23"/>
  <c r="M22" i="23"/>
  <c r="N22" i="23"/>
  <c r="L22" i="23"/>
  <c r="L19" i="23"/>
  <c r="M19" i="23"/>
  <c r="N20" i="23"/>
  <c r="M20" i="23"/>
  <c r="L20" i="23"/>
  <c r="N18" i="23"/>
  <c r="L18" i="23"/>
  <c r="L16" i="23"/>
  <c r="M16" i="23"/>
  <c r="N17" i="23"/>
  <c r="L17" i="23"/>
  <c r="M17" i="23"/>
  <c r="L14" i="23"/>
  <c r="N14" i="23"/>
  <c r="N15" i="23"/>
  <c r="M15" i="23"/>
  <c r="L15" i="23"/>
  <c r="M13" i="23"/>
  <c r="N13" i="23"/>
  <c r="M4" i="23"/>
  <c r="N12" i="23"/>
  <c r="L12" i="23"/>
  <c r="M12" i="23"/>
  <c r="L4" i="23"/>
  <c r="M11" i="23"/>
  <c r="L11" i="23"/>
  <c r="N12" i="22"/>
  <c r="M12" i="22"/>
  <c r="L12" i="22"/>
  <c r="K4" i="22"/>
  <c r="J4" i="22" s="1"/>
  <c r="J11" i="22"/>
  <c r="O13" i="21"/>
  <c r="K13" i="21"/>
  <c r="O12" i="21"/>
  <c r="K12" i="21"/>
  <c r="O5" i="21"/>
  <c r="C2" i="21"/>
  <c r="N4" i="22" l="1"/>
  <c r="M4" i="22"/>
  <c r="L4" i="22"/>
  <c r="M11" i="22"/>
  <c r="L11" i="22"/>
  <c r="N11" i="22"/>
  <c r="K5" i="21"/>
  <c r="J5" i="21" s="1"/>
  <c r="J4" i="21"/>
  <c r="J12" i="21"/>
  <c r="K4" i="21"/>
  <c r="O4" i="21"/>
  <c r="J13" i="21"/>
  <c r="C2" i="20"/>
  <c r="N5" i="21" l="1"/>
  <c r="M5" i="21"/>
  <c r="L5" i="21"/>
  <c r="N13" i="21"/>
  <c r="M13" i="21"/>
  <c r="L13" i="21"/>
  <c r="M12" i="21"/>
  <c r="L12" i="21"/>
  <c r="N12" i="21"/>
  <c r="L4" i="21"/>
  <c r="M4" i="21"/>
  <c r="N4" i="21"/>
  <c r="K4" i="20"/>
  <c r="O4" i="20"/>
  <c r="O13" i="19"/>
  <c r="K13" i="19"/>
  <c r="O12" i="19"/>
  <c r="K12" i="19"/>
  <c r="C2" i="19"/>
  <c r="K6" i="19" l="1"/>
  <c r="J7" i="19"/>
  <c r="J4" i="20"/>
  <c r="N4" i="20" s="1"/>
  <c r="K5" i="19"/>
  <c r="J5" i="19" s="1"/>
  <c r="K4" i="19"/>
  <c r="J4" i="19"/>
  <c r="M4" i="19" s="1"/>
  <c r="O4" i="19"/>
  <c r="J12" i="19"/>
  <c r="M12" i="19" s="1"/>
  <c r="O6" i="19"/>
  <c r="J6" i="19" s="1"/>
  <c r="M6" i="19" s="1"/>
  <c r="J13" i="19"/>
  <c r="O5" i="19"/>
  <c r="O21" i="5"/>
  <c r="K21" i="5"/>
  <c r="K20" i="5"/>
  <c r="O19" i="5"/>
  <c r="K19" i="5"/>
  <c r="L4" i="20" l="1"/>
  <c r="M4" i="20"/>
  <c r="L12" i="19"/>
  <c r="L6" i="19"/>
  <c r="N6" i="19"/>
  <c r="N12" i="19"/>
  <c r="N4" i="19"/>
  <c r="N5" i="19"/>
  <c r="L5" i="19"/>
  <c r="M5" i="19"/>
  <c r="L4" i="19"/>
  <c r="N13" i="19"/>
  <c r="L13" i="19"/>
  <c r="M13" i="19"/>
  <c r="K35" i="8"/>
  <c r="O27" i="17" l="1"/>
  <c r="K27" i="17"/>
  <c r="O26" i="17"/>
  <c r="K26" i="17"/>
  <c r="O25" i="17"/>
  <c r="K25" i="17"/>
  <c r="O24" i="17"/>
  <c r="K24" i="17"/>
  <c r="O23" i="17"/>
  <c r="K23" i="17"/>
  <c r="O22" i="17"/>
  <c r="K22" i="17"/>
  <c r="O21" i="17"/>
  <c r="K21" i="17"/>
  <c r="O20" i="17"/>
  <c r="K20" i="17"/>
  <c r="O19" i="17"/>
  <c r="K19" i="17"/>
  <c r="O18" i="17"/>
  <c r="K18" i="17"/>
  <c r="O17" i="17"/>
  <c r="K17" i="17"/>
  <c r="O16" i="17"/>
  <c r="K16" i="17"/>
  <c r="O15" i="17"/>
  <c r="K15" i="17"/>
  <c r="O14" i="17"/>
  <c r="K14" i="17"/>
  <c r="O13" i="17"/>
  <c r="K13" i="17"/>
  <c r="O12" i="17"/>
  <c r="K12" i="17"/>
  <c r="O11" i="17"/>
  <c r="K11" i="17"/>
  <c r="O10" i="17"/>
  <c r="K10" i="17"/>
  <c r="O9" i="17"/>
  <c r="K9" i="17"/>
  <c r="O6" i="17"/>
  <c r="K6" i="17"/>
  <c r="K5" i="17"/>
  <c r="K4" i="17"/>
  <c r="C2" i="17"/>
  <c r="J7" i="17" l="1"/>
  <c r="J8" i="17"/>
  <c r="J19" i="17"/>
  <c r="L19" i="17" s="1"/>
  <c r="J21" i="17"/>
  <c r="J23" i="17"/>
  <c r="J25" i="17"/>
  <c r="J27" i="17"/>
  <c r="O5" i="17"/>
  <c r="J5" i="17" s="1"/>
  <c r="J6" i="17"/>
  <c r="J10" i="17"/>
  <c r="J12" i="17"/>
  <c r="J14" i="17"/>
  <c r="J16" i="17"/>
  <c r="J18" i="17"/>
  <c r="J20" i="17"/>
  <c r="J22" i="17"/>
  <c r="J24" i="17"/>
  <c r="J26" i="17"/>
  <c r="O4" i="17"/>
  <c r="J4" i="17" s="1"/>
  <c r="J9" i="17"/>
  <c r="J11" i="17"/>
  <c r="J13" i="17"/>
  <c r="J15" i="17"/>
  <c r="J17" i="17"/>
  <c r="K34" i="8"/>
  <c r="K33" i="8"/>
  <c r="K32" i="8"/>
  <c r="N19" i="17" l="1"/>
  <c r="M19" i="17"/>
  <c r="N4" i="17"/>
  <c r="M4" i="17"/>
  <c r="L4" i="17"/>
  <c r="N18" i="17"/>
  <c r="M18" i="17"/>
  <c r="L18" i="17"/>
  <c r="N27" i="17"/>
  <c r="M27" i="17"/>
  <c r="L27" i="17"/>
  <c r="M17" i="17"/>
  <c r="L17" i="17"/>
  <c r="N17" i="17"/>
  <c r="N24" i="17"/>
  <c r="M24" i="17"/>
  <c r="L24" i="17"/>
  <c r="M25" i="17"/>
  <c r="L25" i="17"/>
  <c r="N25" i="17"/>
  <c r="M15" i="17"/>
  <c r="L15" i="17"/>
  <c r="N15" i="17"/>
  <c r="M5" i="17"/>
  <c r="L5" i="17"/>
  <c r="N5" i="17"/>
  <c r="L22" i="17"/>
  <c r="N22" i="17"/>
  <c r="M22" i="17"/>
  <c r="N14" i="17"/>
  <c r="M14" i="17"/>
  <c r="L14" i="17"/>
  <c r="L6" i="17"/>
  <c r="N6" i="17"/>
  <c r="M6" i="17"/>
  <c r="M23" i="17"/>
  <c r="L23" i="17"/>
  <c r="N23" i="17"/>
  <c r="M11" i="17"/>
  <c r="L11" i="17"/>
  <c r="N11" i="17"/>
  <c r="N26" i="17"/>
  <c r="M26" i="17"/>
  <c r="L26" i="17"/>
  <c r="N10" i="17"/>
  <c r="M10" i="17"/>
  <c r="L10" i="17"/>
  <c r="M9" i="17"/>
  <c r="L9" i="17"/>
  <c r="N9" i="17"/>
  <c r="N16" i="17"/>
  <c r="M16" i="17"/>
  <c r="L16" i="17"/>
  <c r="M13" i="17"/>
  <c r="L13" i="17"/>
  <c r="N13" i="17"/>
  <c r="N20" i="17"/>
  <c r="M20" i="17"/>
  <c r="L20" i="17"/>
  <c r="N12" i="17"/>
  <c r="M12" i="17"/>
  <c r="L12" i="17"/>
  <c r="M21" i="17"/>
  <c r="L21" i="17"/>
  <c r="N21" i="17"/>
  <c r="K31" i="8"/>
  <c r="E30" i="16" l="1"/>
  <c r="E37" i="16"/>
  <c r="E38" i="16"/>
  <c r="E39" i="16"/>
  <c r="E40" i="16"/>
  <c r="E41" i="16"/>
  <c r="E36" i="16"/>
  <c r="E35" i="16"/>
  <c r="E42" i="16" l="1"/>
  <c r="E26" i="16"/>
  <c r="E33" i="16"/>
  <c r="E20" i="16"/>
  <c r="E21" i="16"/>
  <c r="E22" i="16"/>
  <c r="E23" i="16"/>
  <c r="E24" i="16"/>
  <c r="E25" i="16"/>
  <c r="E27" i="16"/>
  <c r="E28" i="16"/>
  <c r="E29" i="16"/>
  <c r="E31" i="16"/>
  <c r="E32" i="16"/>
  <c r="E34" i="16"/>
  <c r="F89" i="15" l="1"/>
  <c r="E90" i="15"/>
  <c r="F90" i="15"/>
  <c r="E91" i="15"/>
  <c r="F91" i="15" s="1"/>
  <c r="E92" i="15" s="1"/>
  <c r="F92" i="15" s="1"/>
  <c r="E93" i="15" s="1"/>
  <c r="F93" i="15" s="1"/>
  <c r="F94" i="15"/>
  <c r="F95" i="15"/>
  <c r="F96" i="15"/>
  <c r="F97" i="15"/>
  <c r="F98" i="15"/>
  <c r="F99" i="15"/>
  <c r="F100" i="15"/>
  <c r="F101" i="15"/>
  <c r="F102" i="15"/>
  <c r="F103" i="15"/>
  <c r="F104" i="15"/>
  <c r="F105" i="15"/>
  <c r="F106" i="15"/>
  <c r="F107" i="15"/>
  <c r="F108" i="15"/>
  <c r="F109" i="15"/>
  <c r="F110" i="15"/>
  <c r="F111" i="15"/>
  <c r="F112" i="15"/>
  <c r="F113" i="15"/>
  <c r="F114" i="15"/>
  <c r="H187" i="15" l="1"/>
  <c r="H186" i="15"/>
  <c r="H185" i="15"/>
  <c r="H182" i="15"/>
  <c r="H181" i="15"/>
  <c r="H180" i="15"/>
  <c r="H179" i="15"/>
  <c r="H178" i="15"/>
  <c r="H177" i="15"/>
  <c r="H176" i="15"/>
  <c r="H175" i="15"/>
  <c r="H174" i="15"/>
  <c r="H173" i="15"/>
  <c r="H172" i="15"/>
  <c r="H171" i="15"/>
  <c r="H170" i="15"/>
  <c r="H169" i="15"/>
  <c r="H168" i="15"/>
  <c r="H167" i="15"/>
  <c r="H166" i="15"/>
  <c r="H165" i="15"/>
  <c r="H164" i="15"/>
  <c r="H163" i="15"/>
  <c r="H162" i="15"/>
  <c r="H161" i="15"/>
  <c r="H160" i="15"/>
  <c r="H159" i="15"/>
  <c r="H158" i="15"/>
  <c r="H157" i="15"/>
  <c r="H156" i="15"/>
  <c r="H155" i="15"/>
  <c r="H154" i="15"/>
  <c r="H153" i="15"/>
  <c r="H152" i="15"/>
  <c r="H151" i="15"/>
  <c r="H150" i="15"/>
  <c r="H149" i="15"/>
  <c r="H148" i="15"/>
  <c r="H147" i="15"/>
  <c r="H146" i="15"/>
  <c r="H145" i="15"/>
  <c r="H144" i="15"/>
  <c r="H143" i="15"/>
  <c r="H142" i="15"/>
  <c r="H141" i="15"/>
  <c r="H140" i="15"/>
  <c r="H139" i="15"/>
  <c r="H138" i="15"/>
  <c r="H137" i="15"/>
  <c r="H136" i="15"/>
  <c r="H135" i="15"/>
  <c r="H134" i="15"/>
  <c r="H133" i="15"/>
  <c r="H132" i="15"/>
  <c r="H131" i="15"/>
  <c r="H130" i="15"/>
  <c r="H129" i="15"/>
  <c r="H128" i="15"/>
  <c r="H127" i="15"/>
  <c r="H126" i="15"/>
  <c r="H125" i="15"/>
  <c r="H124" i="15"/>
  <c r="H123" i="15"/>
  <c r="H122" i="15"/>
  <c r="H121" i="15"/>
  <c r="H120" i="15"/>
  <c r="H119" i="15"/>
  <c r="H118" i="15"/>
  <c r="H117" i="15"/>
  <c r="H116" i="15"/>
  <c r="H114" i="15"/>
  <c r="H113" i="15"/>
  <c r="H112" i="15"/>
  <c r="H111" i="15"/>
  <c r="H110" i="15"/>
  <c r="H109" i="15"/>
  <c r="H108" i="15"/>
  <c r="H107" i="15"/>
  <c r="H106" i="15"/>
  <c r="H105" i="15"/>
  <c r="H104" i="15"/>
  <c r="H103" i="15"/>
  <c r="H102" i="15"/>
  <c r="H101" i="15"/>
  <c r="H100" i="15"/>
  <c r="H99" i="15"/>
  <c r="H98" i="15"/>
  <c r="H97" i="15"/>
  <c r="H96" i="15"/>
  <c r="H95" i="15"/>
  <c r="H94" i="15"/>
  <c r="H89" i="15"/>
  <c r="H88" i="15"/>
  <c r="H78" i="15"/>
  <c r="H77" i="15"/>
  <c r="H76" i="15"/>
  <c r="H75" i="15"/>
  <c r="H74" i="15"/>
  <c r="H73" i="15"/>
  <c r="H72" i="15"/>
  <c r="H71" i="15"/>
  <c r="H70" i="15"/>
  <c r="H69" i="15"/>
  <c r="H68" i="15"/>
  <c r="H67" i="15"/>
  <c r="H66" i="15"/>
  <c r="H65" i="15"/>
  <c r="H64" i="15"/>
  <c r="H63" i="15"/>
  <c r="H62" i="15"/>
  <c r="H61" i="15"/>
  <c r="H60" i="15"/>
  <c r="H59" i="15"/>
  <c r="H58" i="15"/>
  <c r="H57" i="15"/>
  <c r="H56" i="15"/>
  <c r="H55" i="15"/>
  <c r="H54" i="15"/>
  <c r="H53" i="15"/>
  <c r="H52" i="15"/>
  <c r="H51" i="15"/>
  <c r="H50" i="15"/>
  <c r="H49" i="15"/>
  <c r="H48" i="15"/>
  <c r="H47" i="15"/>
  <c r="H46" i="15"/>
  <c r="H45" i="15"/>
  <c r="H44" i="15"/>
  <c r="H43" i="15"/>
  <c r="H42" i="15"/>
  <c r="H41" i="15"/>
  <c r="H40" i="15"/>
  <c r="H38" i="15"/>
  <c r="H37" i="15"/>
  <c r="H36" i="15"/>
  <c r="H35" i="15"/>
  <c r="H34" i="15"/>
  <c r="H33" i="15"/>
  <c r="H32" i="15"/>
  <c r="H31" i="15"/>
  <c r="H30" i="15"/>
  <c r="H29" i="15"/>
  <c r="H28" i="15"/>
  <c r="H26" i="15"/>
  <c r="H25" i="15"/>
  <c r="H24" i="15"/>
  <c r="H23" i="15"/>
  <c r="H22" i="15"/>
  <c r="H21" i="15"/>
  <c r="H20" i="15"/>
  <c r="H19" i="15"/>
  <c r="H18" i="15"/>
  <c r="H17" i="15"/>
  <c r="H16" i="15"/>
  <c r="F15" i="15"/>
  <c r="H15" i="15" s="1"/>
  <c r="F14" i="15"/>
  <c r="H14" i="15" s="1"/>
  <c r="F13" i="15"/>
  <c r="H13" i="15" s="1"/>
  <c r="F12" i="15"/>
  <c r="H12" i="15" s="1"/>
  <c r="F11" i="15"/>
  <c r="H11" i="15" s="1"/>
  <c r="F10" i="15"/>
  <c r="H10" i="15" s="1"/>
  <c r="F9" i="15"/>
  <c r="H9" i="15" s="1"/>
  <c r="H8" i="15"/>
  <c r="H7" i="15"/>
  <c r="J5" i="15"/>
  <c r="J6" i="15" s="1"/>
  <c r="J4" i="15" l="1"/>
  <c r="K5" i="15"/>
  <c r="L5" i="15" s="1"/>
  <c r="M5" i="15" s="1"/>
  <c r="H39" i="15"/>
  <c r="H90" i="15"/>
  <c r="L6" i="15" l="1"/>
  <c r="K6" i="15"/>
  <c r="H92" i="15"/>
  <c r="H91" i="15"/>
  <c r="H27" i="15"/>
  <c r="N5" i="15"/>
  <c r="M6" i="15"/>
  <c r="O30" i="12"/>
  <c r="K30" i="12"/>
  <c r="O29" i="12"/>
  <c r="K29" i="12"/>
  <c r="O28" i="12"/>
  <c r="K28" i="12"/>
  <c r="O27" i="12"/>
  <c r="K27" i="12"/>
  <c r="O26" i="12"/>
  <c r="K26" i="12"/>
  <c r="O25" i="12"/>
  <c r="K25" i="12"/>
  <c r="O24" i="12"/>
  <c r="K24" i="12"/>
  <c r="O23" i="12"/>
  <c r="K23" i="12"/>
  <c r="O22" i="12"/>
  <c r="K22" i="12"/>
  <c r="O21" i="12"/>
  <c r="K21" i="12"/>
  <c r="O20" i="12"/>
  <c r="K20" i="12"/>
  <c r="O19" i="12"/>
  <c r="K19" i="12"/>
  <c r="O18" i="12"/>
  <c r="K18" i="12"/>
  <c r="O17" i="12"/>
  <c r="K17" i="12"/>
  <c r="O16" i="12"/>
  <c r="K16" i="12"/>
  <c r="K15" i="12"/>
  <c r="K14" i="12"/>
  <c r="K13" i="12"/>
  <c r="K12" i="12"/>
  <c r="K11" i="12"/>
  <c r="K10" i="12"/>
  <c r="K9" i="12"/>
  <c r="K8" i="12"/>
  <c r="K7" i="12"/>
  <c r="K6" i="12"/>
  <c r="K5" i="12"/>
  <c r="K4" i="12"/>
  <c r="C2" i="12"/>
  <c r="O14" i="12" s="1"/>
  <c r="F127" i="10"/>
  <c r="H127" i="10" s="1"/>
  <c r="F126" i="10"/>
  <c r="H126" i="10" s="1"/>
  <c r="F125" i="10"/>
  <c r="H125" i="10" s="1"/>
  <c r="H129" i="10"/>
  <c r="H130" i="10"/>
  <c r="H131" i="10"/>
  <c r="H132" i="10"/>
  <c r="H133" i="10"/>
  <c r="H134" i="10"/>
  <c r="H135" i="10"/>
  <c r="H136" i="10"/>
  <c r="H137" i="10"/>
  <c r="H138" i="10"/>
  <c r="H139" i="10"/>
  <c r="H140" i="10"/>
  <c r="H141" i="10"/>
  <c r="H142" i="10"/>
  <c r="H143" i="10"/>
  <c r="H144" i="10"/>
  <c r="H145" i="10"/>
  <c r="H146" i="10"/>
  <c r="H147" i="10"/>
  <c r="H148" i="10"/>
  <c r="H149" i="10"/>
  <c r="H150" i="10"/>
  <c r="H151" i="10"/>
  <c r="H152" i="10"/>
  <c r="H153" i="10"/>
  <c r="H154" i="10"/>
  <c r="H155" i="10"/>
  <c r="H156" i="10"/>
  <c r="H157" i="10"/>
  <c r="H158" i="10"/>
  <c r="H159" i="10"/>
  <c r="H160" i="10"/>
  <c r="H161" i="10"/>
  <c r="H162" i="10"/>
  <c r="H163" i="10"/>
  <c r="H164" i="10"/>
  <c r="H165" i="10"/>
  <c r="H166" i="10"/>
  <c r="H167" i="10"/>
  <c r="H168" i="10"/>
  <c r="H169" i="10"/>
  <c r="H170" i="10"/>
  <c r="H171" i="10"/>
  <c r="H172" i="10"/>
  <c r="H173" i="10"/>
  <c r="H174" i="10"/>
  <c r="H175" i="10"/>
  <c r="H176" i="10"/>
  <c r="H177" i="10"/>
  <c r="H178" i="10"/>
  <c r="H179" i="10"/>
  <c r="H180" i="10"/>
  <c r="H181" i="10"/>
  <c r="H182" i="10"/>
  <c r="F124" i="10"/>
  <c r="H124" i="10" s="1"/>
  <c r="F120" i="10"/>
  <c r="F119" i="10"/>
  <c r="F118" i="10"/>
  <c r="F121" i="10"/>
  <c r="H121" i="10" s="1"/>
  <c r="F122" i="10"/>
  <c r="H122" i="10" s="1"/>
  <c r="F123" i="10"/>
  <c r="H123" i="10" s="1"/>
  <c r="F128" i="10"/>
  <c r="H128" i="10" s="1"/>
  <c r="O13" i="12" l="1"/>
  <c r="J13" i="12" s="1"/>
  <c r="N6" i="15"/>
  <c r="O5" i="15"/>
  <c r="H93" i="15"/>
  <c r="O5" i="12"/>
  <c r="J5" i="12" s="1"/>
  <c r="O11" i="12"/>
  <c r="J11" i="12" s="1"/>
  <c r="J17" i="12"/>
  <c r="J19" i="12"/>
  <c r="J21" i="12"/>
  <c r="J23" i="12"/>
  <c r="J25" i="12"/>
  <c r="J27" i="12"/>
  <c r="J29" i="12"/>
  <c r="O15" i="12"/>
  <c r="J15" i="12" s="1"/>
  <c r="J14" i="12"/>
  <c r="J16" i="12"/>
  <c r="J18" i="12"/>
  <c r="J20" i="12"/>
  <c r="J22" i="12"/>
  <c r="J24" i="12"/>
  <c r="J26" i="12"/>
  <c r="J28" i="12"/>
  <c r="J30" i="12"/>
  <c r="O7" i="12"/>
  <c r="J7" i="12" s="1"/>
  <c r="O9" i="12"/>
  <c r="J9" i="12" s="1"/>
  <c r="O4" i="12"/>
  <c r="J4" i="12" s="1"/>
  <c r="O6" i="12"/>
  <c r="J6" i="12" s="1"/>
  <c r="O8" i="12"/>
  <c r="J8" i="12" s="1"/>
  <c r="O10" i="12"/>
  <c r="J10" i="12" s="1"/>
  <c r="O12" i="12"/>
  <c r="J12" i="12" s="1"/>
  <c r="F117" i="10"/>
  <c r="H117" i="10" s="1"/>
  <c r="H118" i="10"/>
  <c r="F108" i="10"/>
  <c r="F107" i="10"/>
  <c r="H107" i="10" s="1"/>
  <c r="F105" i="10"/>
  <c r="H105" i="10" s="1"/>
  <c r="F104" i="10"/>
  <c r="F103" i="10"/>
  <c r="F102" i="10"/>
  <c r="H102" i="10" s="1"/>
  <c r="F101" i="10"/>
  <c r="H101" i="10" s="1"/>
  <c r="F106" i="10"/>
  <c r="H106" i="10" s="1"/>
  <c r="F109" i="10"/>
  <c r="H109" i="10" s="1"/>
  <c r="F110" i="10"/>
  <c r="H110" i="10" s="1"/>
  <c r="F111" i="10"/>
  <c r="H111" i="10" s="1"/>
  <c r="F112" i="10"/>
  <c r="F113" i="10"/>
  <c r="H113" i="10" s="1"/>
  <c r="F114" i="10"/>
  <c r="H114" i="10" s="1"/>
  <c r="J5" i="10"/>
  <c r="J4" i="10" s="1"/>
  <c r="H7" i="10"/>
  <c r="H8" i="10"/>
  <c r="F9" i="10"/>
  <c r="H9" i="10" s="1"/>
  <c r="F10" i="10"/>
  <c r="H10" i="10" s="1"/>
  <c r="F11" i="10"/>
  <c r="H11" i="10" s="1"/>
  <c r="F12" i="10"/>
  <c r="H12" i="10" s="1"/>
  <c r="F13" i="10"/>
  <c r="H13" i="10" s="1"/>
  <c r="F14" i="10"/>
  <c r="H14" i="10" s="1"/>
  <c r="F15" i="10"/>
  <c r="H15" i="10" s="1"/>
  <c r="F16" i="10"/>
  <c r="H16" i="10" s="1"/>
  <c r="F17" i="10"/>
  <c r="H17" i="10" s="1"/>
  <c r="F18" i="10"/>
  <c r="H18" i="10" s="1"/>
  <c r="F19" i="10"/>
  <c r="H19" i="10" s="1"/>
  <c r="F20" i="10"/>
  <c r="H20" i="10" s="1"/>
  <c r="F21" i="10"/>
  <c r="H21" i="10" s="1"/>
  <c r="F22" i="10"/>
  <c r="H22" i="10" s="1"/>
  <c r="F23" i="10"/>
  <c r="H23" i="10" s="1"/>
  <c r="F24" i="10"/>
  <c r="H24" i="10" s="1"/>
  <c r="F25" i="10"/>
  <c r="H25" i="10" s="1"/>
  <c r="F26" i="10"/>
  <c r="H26" i="10" s="1"/>
  <c r="F28" i="10"/>
  <c r="H28" i="10" s="1"/>
  <c r="F29" i="10"/>
  <c r="H29" i="10" s="1"/>
  <c r="F30" i="10"/>
  <c r="H30" i="10" s="1"/>
  <c r="F31" i="10"/>
  <c r="H31" i="10" s="1"/>
  <c r="F32" i="10"/>
  <c r="H32" i="10" s="1"/>
  <c r="H33" i="10"/>
  <c r="H34" i="10"/>
  <c r="F35" i="10"/>
  <c r="H35" i="10" s="1"/>
  <c r="F36" i="10"/>
  <c r="H36" i="10" s="1"/>
  <c r="F37" i="10"/>
  <c r="H37" i="10" s="1"/>
  <c r="F38" i="10"/>
  <c r="H38" i="10" s="1"/>
  <c r="E39" i="10"/>
  <c r="F39" i="10" s="1"/>
  <c r="H39" i="10" s="1"/>
  <c r="F40" i="10"/>
  <c r="H40" i="10" s="1"/>
  <c r="F41" i="10"/>
  <c r="H41" i="10" s="1"/>
  <c r="F42" i="10"/>
  <c r="H42" i="10" s="1"/>
  <c r="F43" i="10"/>
  <c r="H43" i="10" s="1"/>
  <c r="F44" i="10"/>
  <c r="H44" i="10" s="1"/>
  <c r="F45" i="10"/>
  <c r="H45" i="10" s="1"/>
  <c r="F46" i="10"/>
  <c r="H46" i="10" s="1"/>
  <c r="F47" i="10"/>
  <c r="H47" i="10" s="1"/>
  <c r="F48" i="10"/>
  <c r="H48" i="10" s="1"/>
  <c r="F49" i="10"/>
  <c r="H49" i="10" s="1"/>
  <c r="F50" i="10"/>
  <c r="H50" i="10" s="1"/>
  <c r="F51" i="10"/>
  <c r="H51" i="10" s="1"/>
  <c r="F52" i="10"/>
  <c r="H52" i="10" s="1"/>
  <c r="F53" i="10"/>
  <c r="H53" i="10" s="1"/>
  <c r="F54" i="10"/>
  <c r="H54" i="10" s="1"/>
  <c r="F55" i="10"/>
  <c r="H55" i="10" s="1"/>
  <c r="F56" i="10"/>
  <c r="H56" i="10" s="1"/>
  <c r="F57" i="10"/>
  <c r="H57" i="10" s="1"/>
  <c r="F58" i="10"/>
  <c r="H58" i="10" s="1"/>
  <c r="F59" i="10"/>
  <c r="H59" i="10" s="1"/>
  <c r="F60" i="10"/>
  <c r="H60" i="10" s="1"/>
  <c r="F61" i="10"/>
  <c r="H61" i="10" s="1"/>
  <c r="F62" i="10"/>
  <c r="H62" i="10" s="1"/>
  <c r="F63" i="10"/>
  <c r="H63" i="10" s="1"/>
  <c r="F64" i="10"/>
  <c r="H64" i="10" s="1"/>
  <c r="F65" i="10"/>
  <c r="H65" i="10" s="1"/>
  <c r="F66" i="10"/>
  <c r="H66" i="10" s="1"/>
  <c r="F67" i="10"/>
  <c r="H67" i="10" s="1"/>
  <c r="F68" i="10"/>
  <c r="H68" i="10" s="1"/>
  <c r="F69" i="10"/>
  <c r="H69" i="10" s="1"/>
  <c r="F70" i="10"/>
  <c r="H70" i="10" s="1"/>
  <c r="F71" i="10"/>
  <c r="H71" i="10" s="1"/>
  <c r="F72" i="10"/>
  <c r="H72" i="10" s="1"/>
  <c r="F73" i="10"/>
  <c r="H73" i="10" s="1"/>
  <c r="F74" i="10"/>
  <c r="H74" i="10" s="1"/>
  <c r="F75" i="10"/>
  <c r="H75" i="10" s="1"/>
  <c r="F76" i="10"/>
  <c r="H76" i="10" s="1"/>
  <c r="F77" i="10"/>
  <c r="H77" i="10" s="1"/>
  <c r="F78" i="10"/>
  <c r="H78" i="10" s="1"/>
  <c r="H88" i="10"/>
  <c r="F89" i="10"/>
  <c r="E90" i="10" s="1"/>
  <c r="F94" i="10"/>
  <c r="H94" i="10" s="1"/>
  <c r="F95" i="10"/>
  <c r="H95" i="10" s="1"/>
  <c r="F96" i="10"/>
  <c r="H96" i="10" s="1"/>
  <c r="F97" i="10"/>
  <c r="H97" i="10" s="1"/>
  <c r="F98" i="10"/>
  <c r="H98" i="10" s="1"/>
  <c r="F99" i="10"/>
  <c r="H99" i="10" s="1"/>
  <c r="F100" i="10"/>
  <c r="H100" i="10" s="1"/>
  <c r="H103" i="10"/>
  <c r="H104" i="10"/>
  <c r="H108" i="10"/>
  <c r="H112" i="10"/>
  <c r="H116" i="10"/>
  <c r="H119" i="10"/>
  <c r="H120" i="10"/>
  <c r="H185" i="10"/>
  <c r="H186" i="10"/>
  <c r="H187" i="10"/>
  <c r="K30" i="8"/>
  <c r="K29" i="8"/>
  <c r="K28" i="8"/>
  <c r="K27" i="8"/>
  <c r="K26" i="8"/>
  <c r="K25" i="8"/>
  <c r="K24" i="8"/>
  <c r="K23" i="8"/>
  <c r="K22" i="8"/>
  <c r="K21" i="8"/>
  <c r="K20" i="8"/>
  <c r="K19" i="8"/>
  <c r="K18" i="8"/>
  <c r="K17" i="8"/>
  <c r="K16" i="8"/>
  <c r="K15" i="8"/>
  <c r="K14" i="8"/>
  <c r="O13" i="8"/>
  <c r="K13" i="8"/>
  <c r="K12" i="8"/>
  <c r="K11" i="8"/>
  <c r="K10" i="8"/>
  <c r="K9" i="8"/>
  <c r="K8" i="8"/>
  <c r="K7" i="8"/>
  <c r="K6" i="8"/>
  <c r="K5" i="8"/>
  <c r="K4" i="8"/>
  <c r="C2" i="8"/>
  <c r="J87" i="8" s="1"/>
  <c r="O15" i="9"/>
  <c r="K15" i="9"/>
  <c r="O14" i="9"/>
  <c r="K14" i="9"/>
  <c r="O13" i="9"/>
  <c r="K13" i="9"/>
  <c r="O12" i="9"/>
  <c r="K12" i="9"/>
  <c r="O11" i="9"/>
  <c r="K11" i="9"/>
  <c r="K10" i="9"/>
  <c r="K9" i="9"/>
  <c r="K8" i="9"/>
  <c r="K7" i="9"/>
  <c r="K6" i="9"/>
  <c r="C2" i="9"/>
  <c r="J12" i="9" s="1"/>
  <c r="O14" i="7"/>
  <c r="K14" i="7"/>
  <c r="O13" i="7"/>
  <c r="K13" i="7"/>
  <c r="O12" i="7"/>
  <c r="K12" i="7"/>
  <c r="O11" i="7"/>
  <c r="K11" i="7"/>
  <c r="K10" i="7"/>
  <c r="K9" i="7"/>
  <c r="K8" i="7"/>
  <c r="K7" i="7"/>
  <c r="K6" i="7"/>
  <c r="K5" i="7"/>
  <c r="K4" i="7"/>
  <c r="C2" i="7"/>
  <c r="J13" i="7" s="1"/>
  <c r="L13" i="7" s="1"/>
  <c r="K18" i="5"/>
  <c r="K17" i="5"/>
  <c r="K16" i="5"/>
  <c r="K15" i="5"/>
  <c r="K14" i="5"/>
  <c r="C2" i="5"/>
  <c r="J85" i="8" l="1"/>
  <c r="J86" i="8"/>
  <c r="J83" i="8"/>
  <c r="J84" i="8"/>
  <c r="J81" i="8"/>
  <c r="J82" i="8"/>
  <c r="J79" i="8"/>
  <c r="J80" i="8"/>
  <c r="J77" i="8"/>
  <c r="J78" i="8"/>
  <c r="J75" i="8"/>
  <c r="J76" i="8"/>
  <c r="J73" i="8"/>
  <c r="J74" i="8"/>
  <c r="J62" i="8"/>
  <c r="J64" i="8"/>
  <c r="J65" i="8"/>
  <c r="J66" i="8"/>
  <c r="J63" i="8"/>
  <c r="J71" i="8"/>
  <c r="J72" i="8"/>
  <c r="J69" i="8"/>
  <c r="J70" i="8"/>
  <c r="J67" i="8"/>
  <c r="J68" i="8"/>
  <c r="J53" i="8"/>
  <c r="O18" i="5"/>
  <c r="O20" i="5"/>
  <c r="J55" i="8"/>
  <c r="J61" i="8"/>
  <c r="J59" i="8"/>
  <c r="J60" i="8"/>
  <c r="J57" i="8"/>
  <c r="J58" i="8"/>
  <c r="J50" i="8"/>
  <c r="J54" i="8"/>
  <c r="J51" i="8"/>
  <c r="J52" i="8"/>
  <c r="J56" i="8"/>
  <c r="J46" i="8"/>
  <c r="J47" i="8"/>
  <c r="J48" i="8"/>
  <c r="J49" i="8"/>
  <c r="J43" i="8"/>
  <c r="J45" i="8"/>
  <c r="J40" i="8"/>
  <c r="J42" i="8"/>
  <c r="J41" i="8"/>
  <c r="J44" i="8"/>
  <c r="J38" i="8"/>
  <c r="J39" i="8"/>
  <c r="J36" i="8"/>
  <c r="J37" i="8"/>
  <c r="J20" i="5"/>
  <c r="N20" i="5" s="1"/>
  <c r="J21" i="5"/>
  <c r="O17" i="5"/>
  <c r="J19" i="5"/>
  <c r="O35" i="8"/>
  <c r="J35" i="8" s="1"/>
  <c r="O33" i="8"/>
  <c r="J33" i="8" s="1"/>
  <c r="N33" i="8" s="1"/>
  <c r="O34" i="8"/>
  <c r="J34" i="8" s="1"/>
  <c r="O32" i="8"/>
  <c r="J32" i="8" s="1"/>
  <c r="O18" i="8"/>
  <c r="O31" i="8"/>
  <c r="J31" i="8" s="1"/>
  <c r="O30" i="8"/>
  <c r="J30" i="8" s="1"/>
  <c r="O29" i="8"/>
  <c r="J29" i="8" s="1"/>
  <c r="O28" i="8"/>
  <c r="O27" i="8"/>
  <c r="J27" i="8" s="1"/>
  <c r="O26" i="8"/>
  <c r="J26" i="8" s="1"/>
  <c r="O25" i="8"/>
  <c r="J25" i="8" s="1"/>
  <c r="P5" i="15"/>
  <c r="O6" i="15"/>
  <c r="H89" i="10"/>
  <c r="O24" i="8"/>
  <c r="J24" i="8" s="1"/>
  <c r="O23" i="8"/>
  <c r="J23" i="8" s="1"/>
  <c r="O22" i="8"/>
  <c r="O21" i="8"/>
  <c r="J21" i="8" s="1"/>
  <c r="O20" i="8"/>
  <c r="J20" i="8" s="1"/>
  <c r="O19" i="8"/>
  <c r="J19" i="8" s="1"/>
  <c r="J18" i="8"/>
  <c r="L18" i="8" s="1"/>
  <c r="O17" i="8"/>
  <c r="J17" i="8" s="1"/>
  <c r="J17" i="5"/>
  <c r="N17" i="5" s="1"/>
  <c r="O16" i="8"/>
  <c r="M15" i="12"/>
  <c r="L15" i="12"/>
  <c r="N15" i="12"/>
  <c r="N12" i="12"/>
  <c r="M12" i="12"/>
  <c r="L12" i="12"/>
  <c r="N4" i="12"/>
  <c r="L4" i="12"/>
  <c r="M4" i="12"/>
  <c r="M26" i="12"/>
  <c r="N26" i="12"/>
  <c r="L26" i="12"/>
  <c r="M18" i="12"/>
  <c r="N18" i="12"/>
  <c r="L18" i="12"/>
  <c r="M10" i="12"/>
  <c r="N10" i="12"/>
  <c r="L10" i="12"/>
  <c r="M23" i="12"/>
  <c r="L23" i="12"/>
  <c r="N23" i="12"/>
  <c r="M7" i="12"/>
  <c r="L7" i="12"/>
  <c r="N7" i="12"/>
  <c r="M24" i="12"/>
  <c r="N24" i="12"/>
  <c r="L24" i="12"/>
  <c r="N16" i="12"/>
  <c r="M16" i="12"/>
  <c r="L16" i="12"/>
  <c r="N8" i="12"/>
  <c r="L8" i="12"/>
  <c r="M8" i="12"/>
  <c r="M29" i="12"/>
  <c r="L29" i="12"/>
  <c r="N29" i="12"/>
  <c r="M21" i="12"/>
  <c r="L21" i="12"/>
  <c r="N21" i="12"/>
  <c r="M13" i="12"/>
  <c r="L13" i="12"/>
  <c r="N13" i="12"/>
  <c r="M5" i="12"/>
  <c r="L5" i="12"/>
  <c r="N5" i="12"/>
  <c r="N30" i="12"/>
  <c r="M30" i="12"/>
  <c r="L30" i="12"/>
  <c r="N22" i="12"/>
  <c r="M22" i="12"/>
  <c r="L22" i="12"/>
  <c r="N14" i="12"/>
  <c r="L14" i="12"/>
  <c r="M14" i="12"/>
  <c r="M6" i="12"/>
  <c r="N6" i="12"/>
  <c r="L6" i="12"/>
  <c r="M27" i="12"/>
  <c r="L27" i="12"/>
  <c r="N27" i="12"/>
  <c r="M19" i="12"/>
  <c r="L19" i="12"/>
  <c r="N19" i="12"/>
  <c r="M11" i="12"/>
  <c r="L11" i="12"/>
  <c r="N11" i="12"/>
  <c r="M28" i="12"/>
  <c r="N28" i="12"/>
  <c r="L28" i="12"/>
  <c r="M20" i="12"/>
  <c r="N20" i="12"/>
  <c r="L20" i="12"/>
  <c r="M25" i="12"/>
  <c r="L25" i="12"/>
  <c r="N25" i="12"/>
  <c r="M17" i="12"/>
  <c r="L17" i="12"/>
  <c r="N17" i="12"/>
  <c r="M9" i="12"/>
  <c r="L9" i="12"/>
  <c r="N9" i="12"/>
  <c r="E27" i="10"/>
  <c r="F27" i="10" s="1"/>
  <c r="H27" i="10" s="1"/>
  <c r="O9" i="9"/>
  <c r="J6" i="10"/>
  <c r="E91" i="10"/>
  <c r="F90" i="10"/>
  <c r="H90" i="10" s="1"/>
  <c r="J15" i="5"/>
  <c r="L15" i="5" s="1"/>
  <c r="K11" i="5"/>
  <c r="K5" i="5"/>
  <c r="K5" i="10"/>
  <c r="O5" i="7"/>
  <c r="O6" i="5"/>
  <c r="K13" i="5"/>
  <c r="J8" i="9"/>
  <c r="L8" i="9" s="1"/>
  <c r="J7" i="5"/>
  <c r="L7" i="5" s="1"/>
  <c r="O13" i="5"/>
  <c r="J5" i="7"/>
  <c r="M5" i="7" s="1"/>
  <c r="J5" i="5"/>
  <c r="N5" i="5" s="1"/>
  <c r="O8" i="5"/>
  <c r="O16" i="5"/>
  <c r="J7" i="8"/>
  <c r="M7" i="8" s="1"/>
  <c r="O15" i="8"/>
  <c r="J15" i="8" s="1"/>
  <c r="O5" i="5"/>
  <c r="K12" i="5"/>
  <c r="J11" i="8"/>
  <c r="M11" i="8" s="1"/>
  <c r="K4" i="5"/>
  <c r="K6" i="5"/>
  <c r="O7" i="5"/>
  <c r="J13" i="5"/>
  <c r="M13" i="5" s="1"/>
  <c r="O14" i="5"/>
  <c r="O15" i="5"/>
  <c r="J4" i="7"/>
  <c r="N4" i="7" s="1"/>
  <c r="O9" i="7"/>
  <c r="J9" i="7" s="1"/>
  <c r="J12" i="7"/>
  <c r="M12" i="7" s="1"/>
  <c r="O8" i="9"/>
  <c r="L12" i="9"/>
  <c r="N12" i="9"/>
  <c r="M12" i="9"/>
  <c r="M13" i="7"/>
  <c r="N13" i="7"/>
  <c r="O14" i="8"/>
  <c r="O12" i="8"/>
  <c r="J12" i="8" s="1"/>
  <c r="O10" i="8"/>
  <c r="O8" i="8"/>
  <c r="O6" i="8"/>
  <c r="O4" i="8"/>
  <c r="J4" i="8" s="1"/>
  <c r="J28" i="8"/>
  <c r="J22" i="8"/>
  <c r="J14" i="8"/>
  <c r="J10" i="8"/>
  <c r="J6" i="8"/>
  <c r="J16" i="8"/>
  <c r="J13" i="8"/>
  <c r="O9" i="8"/>
  <c r="J9" i="8"/>
  <c r="O5" i="8"/>
  <c r="J5" i="8" s="1"/>
  <c r="J8" i="8"/>
  <c r="O7" i="8"/>
  <c r="O11" i="8"/>
  <c r="K7" i="5"/>
  <c r="K8" i="5"/>
  <c r="J9" i="5"/>
  <c r="O9" i="5"/>
  <c r="O10" i="5"/>
  <c r="J4" i="9"/>
  <c r="O4" i="9"/>
  <c r="O5" i="9"/>
  <c r="J15" i="9"/>
  <c r="J13" i="9"/>
  <c r="J11" i="9"/>
  <c r="J9" i="9"/>
  <c r="J7" i="9"/>
  <c r="J10" i="9"/>
  <c r="O10" i="9"/>
  <c r="J18" i="5"/>
  <c r="J16" i="5"/>
  <c r="J14" i="5"/>
  <c r="J12" i="5"/>
  <c r="J10" i="5"/>
  <c r="J8" i="5"/>
  <c r="J6" i="5"/>
  <c r="J4" i="5"/>
  <c r="O4" i="5"/>
  <c r="K9" i="5"/>
  <c r="K10" i="5"/>
  <c r="J11" i="5"/>
  <c r="O11" i="5"/>
  <c r="O12" i="5"/>
  <c r="O10" i="7"/>
  <c r="J10" i="7" s="1"/>
  <c r="O8" i="7"/>
  <c r="J8" i="7" s="1"/>
  <c r="O6" i="7"/>
  <c r="J6" i="7" s="1"/>
  <c r="O4" i="7"/>
  <c r="O7" i="7"/>
  <c r="J7" i="7" s="1"/>
  <c r="J11" i="7"/>
  <c r="J14" i="7"/>
  <c r="K4" i="9"/>
  <c r="K5" i="9"/>
  <c r="J5" i="9" s="1"/>
  <c r="J6" i="9"/>
  <c r="O6" i="9"/>
  <c r="O7" i="9"/>
  <c r="J14" i="9"/>
  <c r="L20" i="5" l="1"/>
  <c r="M20" i="5"/>
  <c r="N21" i="5"/>
  <c r="M21" i="5"/>
  <c r="L21" i="5"/>
  <c r="N19" i="5"/>
  <c r="L19" i="5"/>
  <c r="M19" i="5"/>
  <c r="M35" i="8"/>
  <c r="L35" i="8"/>
  <c r="N35" i="8"/>
  <c r="M33" i="8"/>
  <c r="L33" i="8"/>
  <c r="N34" i="8"/>
  <c r="L34" i="8"/>
  <c r="M34" i="8"/>
  <c r="N32" i="8"/>
  <c r="M32" i="8"/>
  <c r="L32" i="8"/>
  <c r="N31" i="8"/>
  <c r="M31" i="8"/>
  <c r="L31" i="8"/>
  <c r="N5" i="7"/>
  <c r="M18" i="8"/>
  <c r="P6" i="15"/>
  <c r="Q5" i="15"/>
  <c r="N18" i="8"/>
  <c r="L17" i="5"/>
  <c r="M17" i="5"/>
  <c r="M15" i="5"/>
  <c r="M7" i="5"/>
  <c r="N15" i="5"/>
  <c r="L5" i="7"/>
  <c r="L7" i="8"/>
  <c r="N12" i="7"/>
  <c r="N7" i="8"/>
  <c r="M8" i="9"/>
  <c r="L5" i="5"/>
  <c r="L13" i="5"/>
  <c r="L12" i="7"/>
  <c r="K6" i="10"/>
  <c r="L5" i="10"/>
  <c r="F91" i="10"/>
  <c r="E92" i="10" s="1"/>
  <c r="H91" i="10"/>
  <c r="N7" i="5"/>
  <c r="N8" i="9"/>
  <c r="N13" i="5"/>
  <c r="L11" i="8"/>
  <c r="M5" i="5"/>
  <c r="L4" i="7"/>
  <c r="N11" i="8"/>
  <c r="M9" i="7"/>
  <c r="N9" i="7"/>
  <c r="L9" i="7"/>
  <c r="M4" i="7"/>
  <c r="N5" i="9"/>
  <c r="M5" i="9"/>
  <c r="L5" i="9"/>
  <c r="M5" i="8"/>
  <c r="N5" i="8"/>
  <c r="L5" i="8"/>
  <c r="M10" i="7"/>
  <c r="N10" i="7"/>
  <c r="L10" i="7"/>
  <c r="M11" i="7"/>
  <c r="N11" i="7"/>
  <c r="L11" i="7"/>
  <c r="L11" i="5"/>
  <c r="M11" i="5"/>
  <c r="N11" i="5"/>
  <c r="N18" i="5"/>
  <c r="M18" i="5"/>
  <c r="L18" i="5"/>
  <c r="N7" i="9"/>
  <c r="M7" i="9"/>
  <c r="L7" i="9"/>
  <c r="M27" i="8"/>
  <c r="L27" i="8"/>
  <c r="N27" i="8"/>
  <c r="N6" i="8"/>
  <c r="M6" i="8"/>
  <c r="L6" i="8"/>
  <c r="N28" i="8"/>
  <c r="M28" i="8"/>
  <c r="L28" i="8"/>
  <c r="L14" i="9"/>
  <c r="N14" i="9"/>
  <c r="M14" i="9"/>
  <c r="N4" i="5"/>
  <c r="M4" i="5"/>
  <c r="L4" i="5"/>
  <c r="N6" i="7"/>
  <c r="M6" i="7"/>
  <c r="L6" i="7"/>
  <c r="M29" i="8"/>
  <c r="L29" i="8"/>
  <c r="N29" i="8"/>
  <c r="N22" i="8"/>
  <c r="L22" i="8"/>
  <c r="M22" i="8"/>
  <c r="N30" i="8"/>
  <c r="M30" i="8"/>
  <c r="L30" i="8"/>
  <c r="N6" i="5"/>
  <c r="M6" i="5"/>
  <c r="L6" i="5"/>
  <c r="N14" i="5"/>
  <c r="M14" i="5"/>
  <c r="L14" i="5"/>
  <c r="L10" i="9"/>
  <c r="M10" i="9"/>
  <c r="N10" i="9"/>
  <c r="N11" i="9"/>
  <c r="L11" i="9"/>
  <c r="M11" i="9"/>
  <c r="M23" i="8"/>
  <c r="L23" i="8"/>
  <c r="N23" i="8"/>
  <c r="L8" i="8"/>
  <c r="N8" i="8"/>
  <c r="M8" i="8"/>
  <c r="L12" i="8"/>
  <c r="N12" i="8"/>
  <c r="M12" i="8"/>
  <c r="N14" i="8"/>
  <c r="L14" i="8"/>
  <c r="M14" i="8"/>
  <c r="N24" i="8"/>
  <c r="L24" i="8"/>
  <c r="M24" i="8"/>
  <c r="M15" i="8"/>
  <c r="N15" i="8"/>
  <c r="L15" i="8"/>
  <c r="L6" i="9"/>
  <c r="N6" i="9"/>
  <c r="M6" i="9"/>
  <c r="N10" i="5"/>
  <c r="M10" i="5"/>
  <c r="L10" i="5"/>
  <c r="N15" i="9"/>
  <c r="L15" i="9"/>
  <c r="M15" i="9"/>
  <c r="L9" i="5"/>
  <c r="N9" i="5"/>
  <c r="M9" i="5"/>
  <c r="M19" i="8"/>
  <c r="N19" i="8"/>
  <c r="L19" i="8"/>
  <c r="N20" i="8"/>
  <c r="L20" i="8"/>
  <c r="M20" i="8"/>
  <c r="N12" i="5"/>
  <c r="L12" i="5"/>
  <c r="M12" i="5"/>
  <c r="N9" i="9"/>
  <c r="M9" i="9"/>
  <c r="L9" i="9"/>
  <c r="L4" i="8"/>
  <c r="N4" i="8"/>
  <c r="M4" i="8"/>
  <c r="M9" i="8"/>
  <c r="N9" i="8"/>
  <c r="L9" i="8"/>
  <c r="N10" i="8"/>
  <c r="L10" i="8"/>
  <c r="M10" i="8"/>
  <c r="N14" i="7"/>
  <c r="M14" i="7"/>
  <c r="L14" i="7"/>
  <c r="M7" i="7"/>
  <c r="N7" i="7"/>
  <c r="L7" i="7"/>
  <c r="M8" i="7"/>
  <c r="L8" i="7"/>
  <c r="N8" i="7"/>
  <c r="N8" i="5"/>
  <c r="L8" i="5"/>
  <c r="M8" i="5"/>
  <c r="N16" i="5"/>
  <c r="L16" i="5"/>
  <c r="M16" i="5"/>
  <c r="N13" i="9"/>
  <c r="M13" i="9"/>
  <c r="L13" i="9"/>
  <c r="L4" i="9"/>
  <c r="N4" i="9"/>
  <c r="M4" i="9"/>
  <c r="M21" i="8"/>
  <c r="L21" i="8"/>
  <c r="N21" i="8"/>
  <c r="M25" i="8"/>
  <c r="L25" i="8"/>
  <c r="N25" i="8"/>
  <c r="M13" i="8"/>
  <c r="N13" i="8"/>
  <c r="L13" i="8"/>
  <c r="L16" i="8"/>
  <c r="N16" i="8"/>
  <c r="M16" i="8"/>
  <c r="M17" i="8"/>
  <c r="L17" i="8"/>
  <c r="N17" i="8"/>
  <c r="N26" i="8"/>
  <c r="M26" i="8"/>
  <c r="L26" i="8"/>
  <c r="R5" i="15" l="1"/>
  <c r="Q6" i="15"/>
  <c r="Q4" i="15"/>
  <c r="F92" i="10"/>
  <c r="E93" i="10" s="1"/>
  <c r="L6" i="10"/>
  <c r="M5" i="10"/>
  <c r="R6" i="15" l="1"/>
  <c r="S5" i="15"/>
  <c r="N5" i="10"/>
  <c r="M6" i="10"/>
  <c r="F93" i="10"/>
  <c r="H93" i="10" s="1"/>
  <c r="H92" i="10"/>
  <c r="T5" i="15" l="1"/>
  <c r="S6" i="15"/>
  <c r="O5" i="10"/>
  <c r="N6" i="10"/>
  <c r="U5" i="15" l="1"/>
  <c r="T6" i="15"/>
  <c r="O6" i="10"/>
  <c r="P5" i="10"/>
  <c r="V5" i="15" l="1"/>
  <c r="U6" i="15"/>
  <c r="P6" i="10"/>
  <c r="Q5" i="10"/>
  <c r="V6" i="15" l="1"/>
  <c r="W5" i="15"/>
  <c r="R5" i="10"/>
  <c r="Q4" i="10"/>
  <c r="Q6" i="10"/>
  <c r="X5" i="15" l="1"/>
  <c r="W6" i="15"/>
  <c r="S5" i="10"/>
  <c r="R6" i="10"/>
  <c r="Y5" i="15" l="1"/>
  <c r="X4" i="15"/>
  <c r="X6" i="15"/>
  <c r="S6" i="10"/>
  <c r="T5" i="10"/>
  <c r="Z5" i="15" l="1"/>
  <c r="Y6" i="15"/>
  <c r="T6" i="10"/>
  <c r="U5" i="10"/>
  <c r="Z6" i="15" l="1"/>
  <c r="AA5" i="15"/>
  <c r="V5" i="10"/>
  <c r="U6" i="10"/>
  <c r="AB5" i="15" l="1"/>
  <c r="AA6" i="15"/>
  <c r="W5" i="10"/>
  <c r="V6" i="10"/>
  <c r="AB6" i="15" l="1"/>
  <c r="AC5" i="15"/>
  <c r="W6" i="10"/>
  <c r="X5" i="10"/>
  <c r="AD5" i="15" l="1"/>
  <c r="AC6" i="15"/>
  <c r="X4" i="10"/>
  <c r="X6" i="10"/>
  <c r="Y5" i="10"/>
  <c r="AD6" i="15" l="1"/>
  <c r="AE5" i="15"/>
  <c r="Z5" i="10"/>
  <c r="Y6" i="10"/>
  <c r="AE4" i="15" l="1"/>
  <c r="AF5" i="15"/>
  <c r="AE6" i="15"/>
  <c r="AA5" i="10"/>
  <c r="Z6" i="10"/>
  <c r="AG5" i="15" l="1"/>
  <c r="AF6" i="15"/>
  <c r="AA6" i="10"/>
  <c r="AB5" i="10"/>
  <c r="AH5" i="15" l="1"/>
  <c r="AG6" i="15"/>
  <c r="AB6" i="10"/>
  <c r="AC5" i="10"/>
  <c r="AH6" i="15" l="1"/>
  <c r="AI5" i="15"/>
  <c r="AD5" i="10"/>
  <c r="AC6" i="10"/>
  <c r="AJ5" i="15" l="1"/>
  <c r="AI6" i="15"/>
  <c r="AE5" i="10"/>
  <c r="AD6" i="10"/>
  <c r="AK5" i="15" l="1"/>
  <c r="AJ6" i="15"/>
  <c r="AE6" i="10"/>
  <c r="AF5" i="10"/>
  <c r="AE4" i="10"/>
  <c r="AL5" i="15" l="1"/>
  <c r="AK6" i="15"/>
  <c r="AF6" i="10"/>
  <c r="AG5" i="10"/>
  <c r="AL6" i="15" l="1"/>
  <c r="AL4" i="15"/>
  <c r="AM5" i="15"/>
  <c r="AH5" i="10"/>
  <c r="AG6" i="10"/>
  <c r="AN5" i="15" l="1"/>
  <c r="AM6" i="15"/>
  <c r="AI5" i="10"/>
  <c r="AH6" i="10"/>
  <c r="AN6" i="15" l="1"/>
  <c r="AO5" i="15"/>
  <c r="AI6" i="10"/>
  <c r="AJ5" i="10"/>
  <c r="AP5" i="15" l="1"/>
  <c r="AO6" i="15"/>
  <c r="AJ6" i="10"/>
  <c r="AK5" i="10"/>
  <c r="AP6" i="15" l="1"/>
  <c r="AQ5" i="15"/>
  <c r="AL5" i="10"/>
  <c r="AK6" i="10"/>
  <c r="AR5" i="15" l="1"/>
  <c r="AQ6" i="15"/>
  <c r="AL4" i="10"/>
  <c r="AM5" i="10"/>
  <c r="AL6" i="10"/>
  <c r="AS5" i="15" l="1"/>
  <c r="AR6" i="15"/>
  <c r="AM6" i="10"/>
  <c r="AN5" i="10"/>
  <c r="AT5" i="15" l="1"/>
  <c r="AS6" i="15"/>
  <c r="AS4" i="15"/>
  <c r="AN6" i="10"/>
  <c r="AO5" i="10"/>
  <c r="AT6" i="15" l="1"/>
  <c r="AU5" i="15"/>
  <c r="AP5" i="10"/>
  <c r="AO6" i="10"/>
  <c r="AV5" i="15" l="1"/>
  <c r="AU6" i="15"/>
  <c r="AQ5" i="10"/>
  <c r="AP6" i="10"/>
  <c r="AW5" i="15" l="1"/>
  <c r="AV6" i="15"/>
  <c r="AQ6" i="10"/>
  <c r="AR5" i="10"/>
  <c r="AX5" i="15" l="1"/>
  <c r="AW6" i="15"/>
  <c r="AR6" i="10"/>
  <c r="AS5" i="10"/>
  <c r="AX6" i="15" l="1"/>
  <c r="AY5" i="15"/>
  <c r="AT5" i="10"/>
  <c r="AS4" i="10"/>
  <c r="AS6" i="10"/>
  <c r="AZ5" i="15" l="1"/>
  <c r="AY6" i="15"/>
  <c r="AU5" i="10"/>
  <c r="AT6" i="10"/>
  <c r="AZ6" i="15" l="1"/>
  <c r="AZ4" i="15"/>
  <c r="BA5" i="15"/>
  <c r="AU6" i="10"/>
  <c r="AV5" i="10"/>
  <c r="BB5" i="15" l="1"/>
  <c r="BA6" i="15"/>
  <c r="AV6" i="10"/>
  <c r="AW5" i="10"/>
  <c r="BB6" i="15" l="1"/>
  <c r="BC5" i="15"/>
  <c r="AX5" i="10"/>
  <c r="AW6" i="10"/>
  <c r="BD5" i="15" l="1"/>
  <c r="BC6" i="15"/>
  <c r="AY5" i="10"/>
  <c r="AX6" i="10"/>
  <c r="BE5" i="15" l="1"/>
  <c r="BD6" i="15"/>
  <c r="AY6" i="10"/>
  <c r="AZ5" i="10"/>
  <c r="BF5" i="15" l="1"/>
  <c r="BE6" i="15"/>
  <c r="AZ4" i="10"/>
  <c r="AZ6" i="10"/>
  <c r="BA5" i="10"/>
  <c r="BF6" i="15" l="1"/>
  <c r="BG5" i="15"/>
  <c r="BB5" i="10"/>
  <c r="BA6" i="10"/>
  <c r="BH5" i="15" l="1"/>
  <c r="BG4" i="15"/>
  <c r="BG6" i="15"/>
  <c r="BC5" i="10"/>
  <c r="BB6" i="10"/>
  <c r="BI5" i="15" l="1"/>
  <c r="BH6" i="15"/>
  <c r="BC6" i="10"/>
  <c r="BD5" i="10"/>
  <c r="BJ5" i="15" l="1"/>
  <c r="BI6" i="15"/>
  <c r="BD6" i="10"/>
  <c r="BE5" i="10"/>
  <c r="BJ6" i="15" l="1"/>
  <c r="BK5" i="15"/>
  <c r="BF5" i="10"/>
  <c r="BE6" i="10"/>
  <c r="BL5" i="15" l="1"/>
  <c r="BK6" i="15"/>
  <c r="BG5" i="10"/>
  <c r="BF6" i="10"/>
  <c r="BL6" i="15" l="1"/>
  <c r="BM5" i="15"/>
  <c r="BM6" i="15" s="1"/>
  <c r="BG6" i="10"/>
  <c r="BH5" i="10"/>
  <c r="BG4" i="10"/>
  <c r="BH6" i="10" l="1"/>
  <c r="BI5" i="10"/>
  <c r="BJ5" i="10" l="1"/>
  <c r="BI6" i="10"/>
  <c r="BK5" i="10" l="1"/>
  <c r="BJ6" i="10"/>
  <c r="BK6" i="10" l="1"/>
  <c r="BL5" i="10"/>
  <c r="BL6" i="10" l="1"/>
  <c r="BM5" i="10"/>
  <c r="BM6" i="10" s="1"/>
</calcChain>
</file>

<file path=xl/comments1.xml><?xml version="1.0" encoding="utf-8"?>
<comments xmlns="http://schemas.openxmlformats.org/spreadsheetml/2006/main">
  <authors>
    <author>Tang, Dan</author>
  </authors>
  <commentList>
    <comment ref="A1" authorId="0" shapeId="0">
      <text>
        <r>
          <rPr>
            <sz val="9"/>
            <rFont val="宋体"/>
            <family val="3"/>
            <charset val="134"/>
          </rPr>
          <t>&lt;&gt;内填入会议或项目名称；打印时页眉显示公司Logo；J~P列及第二行隐藏了公式，请勿删除和调整</t>
        </r>
      </text>
    </comment>
    <comment ref="B3" authorId="0" shapeId="0">
      <text>
        <r>
          <rPr>
            <sz val="9"/>
            <rFont val="宋体"/>
            <family val="3"/>
            <charset val="134"/>
          </rPr>
          <t>根据会议内容自定义分类类别</t>
        </r>
      </text>
    </comment>
    <comment ref="D3" authorId="0" shapeId="0">
      <text>
        <r>
          <rPr>
            <sz val="9"/>
            <rFont val="宋体"/>
            <family val="3"/>
            <charset val="134"/>
          </rPr>
          <t xml:space="preserve">高, 中, 低
</t>
        </r>
      </text>
    </comment>
    <comment ref="F3" authorId="0" shapeId="0">
      <text>
        <r>
          <rPr>
            <sz val="9"/>
            <rFont val="宋体"/>
            <family val="3"/>
            <charset val="134"/>
          </rPr>
          <t>提出问题的日期
（如果是会议确定的，填写会议日期）</t>
        </r>
      </text>
    </comment>
    <comment ref="G3" authorId="0" shapeId="0">
      <text>
        <r>
          <rPr>
            <sz val="9"/>
            <rFont val="宋体"/>
            <family val="3"/>
            <charset val="134"/>
          </rPr>
          <t>初步计划处理完成问题/任务的日期</t>
        </r>
      </text>
    </comment>
    <comment ref="H3" authorId="0" shapeId="0">
      <text>
        <r>
          <rPr>
            <sz val="9"/>
            <rFont val="宋体"/>
            <family val="3"/>
            <charset val="134"/>
          </rPr>
          <t>1、问题/任务在初步计划完成日期内没有完成，修改完成的日期
2、如果没有变更计划，可不填</t>
        </r>
      </text>
    </comment>
    <comment ref="I3" authorId="0" shapeId="0">
      <text>
        <r>
          <rPr>
            <sz val="9"/>
            <rFont val="宋体"/>
            <family val="3"/>
            <charset val="134"/>
          </rPr>
          <t xml:space="preserve">问题/任务已经完成，关闭的日期
</t>
        </r>
      </text>
    </comment>
    <comment ref="J3" authorId="0" shapeId="0">
      <text>
        <r>
          <rPr>
            <b/>
            <sz val="9"/>
            <rFont val="宋体"/>
            <family val="3"/>
            <charset val="134"/>
          </rPr>
          <t>In Time</t>
        </r>
        <r>
          <rPr>
            <sz val="9"/>
            <rFont val="宋体"/>
            <family val="3"/>
            <charset val="134"/>
          </rPr>
          <t xml:space="preserve">：问题/任务在计划时间内待处理
（判定条件：1.Closed Date空白且Due Date空白或当前日期&lt;=Due Date；2. Closed Date空白且当前日期&lt;=Revised Due Date）
</t>
        </r>
        <r>
          <rPr>
            <b/>
            <sz val="9"/>
            <rFont val="宋体"/>
            <family val="3"/>
            <charset val="134"/>
          </rPr>
          <t>Overdue</t>
        </r>
        <r>
          <rPr>
            <sz val="9"/>
            <rFont val="宋体"/>
            <family val="3"/>
            <charset val="134"/>
          </rPr>
          <t xml:space="preserve">：问题/任务已经过了计划期限未关闭（判定条件：1.Closed Date未填且当前日期&gt;Revised Date或Due Date（当Revised Date为空））
</t>
        </r>
        <r>
          <rPr>
            <b/>
            <sz val="9"/>
            <rFont val="宋体"/>
            <family val="3"/>
            <charset val="134"/>
          </rPr>
          <t>Done</t>
        </r>
        <r>
          <rPr>
            <sz val="9"/>
            <rFont val="宋体"/>
            <family val="3"/>
            <charset val="134"/>
          </rPr>
          <t xml:space="preserve">：问题/任务已关闭
（判定条件，Closed Date不为空且&lt;=当前日期）
</t>
        </r>
      </text>
    </comment>
    <comment ref="P3" authorId="0" shapeId="0">
      <text>
        <r>
          <rPr>
            <sz val="9"/>
            <rFont val="宋体"/>
            <family val="3"/>
            <charset val="134"/>
          </rPr>
          <t>1.任务/问题比计划延误时，需要填写目前进展和跟进详情
2.其他重要信息</t>
        </r>
      </text>
    </comment>
  </commentList>
</comments>
</file>

<file path=xl/comments2.xml><?xml version="1.0" encoding="utf-8"?>
<comments xmlns="http://schemas.openxmlformats.org/spreadsheetml/2006/main">
  <authors>
    <author>Tang, Dan</author>
  </authors>
  <commentList>
    <comment ref="A1" authorId="0" shapeId="0">
      <text>
        <r>
          <rPr>
            <sz val="9"/>
            <rFont val="宋体"/>
            <family val="3"/>
            <charset val="134"/>
          </rPr>
          <t>&lt;&gt;内填入会议或项目名称；打印时页眉显示公司Logo；J~P列及第二行隐藏了公式，请勿删除和调整</t>
        </r>
      </text>
    </comment>
    <comment ref="B3" authorId="0" shapeId="0">
      <text>
        <r>
          <rPr>
            <sz val="9"/>
            <rFont val="宋体"/>
            <family val="3"/>
            <charset val="134"/>
          </rPr>
          <t>根据会议内容自定义分类类别</t>
        </r>
      </text>
    </comment>
    <comment ref="D3" authorId="0" shapeId="0">
      <text>
        <r>
          <rPr>
            <sz val="9"/>
            <rFont val="宋体"/>
            <family val="3"/>
            <charset val="134"/>
          </rPr>
          <t xml:space="preserve">高, 中, 低
</t>
        </r>
      </text>
    </comment>
    <comment ref="F3" authorId="0" shapeId="0">
      <text>
        <r>
          <rPr>
            <sz val="9"/>
            <rFont val="宋体"/>
            <family val="3"/>
            <charset val="134"/>
          </rPr>
          <t>提出问题的日期
（如果是会议确定的，填写会议日期）</t>
        </r>
      </text>
    </comment>
    <comment ref="G3" authorId="0" shapeId="0">
      <text>
        <r>
          <rPr>
            <sz val="9"/>
            <rFont val="宋体"/>
            <family val="3"/>
            <charset val="134"/>
          </rPr>
          <t>初步计划处理完成问题/任务的日期</t>
        </r>
      </text>
    </comment>
    <comment ref="H3" authorId="0" shapeId="0">
      <text>
        <r>
          <rPr>
            <sz val="9"/>
            <rFont val="宋体"/>
            <family val="3"/>
            <charset val="134"/>
          </rPr>
          <t>1、问题/任务在初步计划完成日期内没有完成，修改完成的日期
2、如果没有变更计划，可不填</t>
        </r>
      </text>
    </comment>
    <comment ref="I3" authorId="0" shapeId="0">
      <text>
        <r>
          <rPr>
            <sz val="9"/>
            <rFont val="宋体"/>
            <family val="3"/>
            <charset val="134"/>
          </rPr>
          <t xml:space="preserve">问题/任务已经完成，关闭的日期
</t>
        </r>
      </text>
    </comment>
    <comment ref="J3" authorId="0" shapeId="0">
      <text>
        <r>
          <rPr>
            <b/>
            <sz val="9"/>
            <rFont val="宋体"/>
            <family val="3"/>
            <charset val="134"/>
          </rPr>
          <t>In Time</t>
        </r>
        <r>
          <rPr>
            <sz val="9"/>
            <rFont val="宋体"/>
            <family val="3"/>
            <charset val="134"/>
          </rPr>
          <t xml:space="preserve">：问题/任务在计划时间内待处理
（判定条件：1.Closed Date空白且Due Date空白或当前日期&lt;=Due Date；2. Closed Date空白且当前日期&lt;=Revised Due Date）
</t>
        </r>
        <r>
          <rPr>
            <b/>
            <sz val="9"/>
            <rFont val="宋体"/>
            <family val="3"/>
            <charset val="134"/>
          </rPr>
          <t>Overdue</t>
        </r>
        <r>
          <rPr>
            <sz val="9"/>
            <rFont val="宋体"/>
            <family val="3"/>
            <charset val="134"/>
          </rPr>
          <t xml:space="preserve">：问题/任务已经过了计划期限未关闭（判定条件：1.Closed Date未填且当前日期&gt;Revised Date或Due Date（当Revised Date为空））
</t>
        </r>
        <r>
          <rPr>
            <b/>
            <sz val="9"/>
            <rFont val="宋体"/>
            <family val="3"/>
            <charset val="134"/>
          </rPr>
          <t>Done</t>
        </r>
        <r>
          <rPr>
            <sz val="9"/>
            <rFont val="宋体"/>
            <family val="3"/>
            <charset val="134"/>
          </rPr>
          <t xml:space="preserve">：问题/任务已关闭
（判定条件，Closed Date不为空且&lt;=当前日期）
</t>
        </r>
      </text>
    </comment>
    <comment ref="P3" authorId="0" shapeId="0">
      <text>
        <r>
          <rPr>
            <sz val="9"/>
            <rFont val="宋体"/>
            <family val="3"/>
            <charset val="134"/>
          </rPr>
          <t>1.任务/问题比计划延误时，需要填写目前进展和跟进详情
2.其他重要信息</t>
        </r>
      </text>
    </comment>
  </commentList>
</comments>
</file>

<file path=xl/comments3.xml><?xml version="1.0" encoding="utf-8"?>
<comments xmlns="http://schemas.openxmlformats.org/spreadsheetml/2006/main">
  <authors>
    <author>Tang, Dan</author>
  </authors>
  <commentList>
    <comment ref="A1" authorId="0" shapeId="0">
      <text>
        <r>
          <rPr>
            <sz val="9"/>
            <rFont val="宋体"/>
            <family val="3"/>
            <charset val="134"/>
          </rPr>
          <t>&lt;&gt;内填入会议或项目名称；打印时页眉显示公司Logo；J~P列及第二行隐藏了公式，请勿删除和调整</t>
        </r>
      </text>
    </comment>
    <comment ref="B3" authorId="0" shapeId="0">
      <text>
        <r>
          <rPr>
            <sz val="9"/>
            <rFont val="宋体"/>
            <family val="3"/>
            <charset val="134"/>
          </rPr>
          <t>根据会议内容自定义分类类别</t>
        </r>
      </text>
    </comment>
    <comment ref="D3" authorId="0" shapeId="0">
      <text>
        <r>
          <rPr>
            <sz val="9"/>
            <rFont val="宋体"/>
            <family val="3"/>
            <charset val="134"/>
          </rPr>
          <t xml:space="preserve">高, 中, 低
</t>
        </r>
      </text>
    </comment>
    <comment ref="F3" authorId="0" shapeId="0">
      <text>
        <r>
          <rPr>
            <sz val="9"/>
            <rFont val="宋体"/>
            <family val="3"/>
            <charset val="134"/>
          </rPr>
          <t>提出问题的日期
（如果是会议确定的，填写会议日期）</t>
        </r>
      </text>
    </comment>
    <comment ref="G3" authorId="0" shapeId="0">
      <text>
        <r>
          <rPr>
            <sz val="9"/>
            <rFont val="宋体"/>
            <family val="3"/>
            <charset val="134"/>
          </rPr>
          <t>初步计划处理完成问题/任务的日期</t>
        </r>
      </text>
    </comment>
    <comment ref="H3" authorId="0" shapeId="0">
      <text>
        <r>
          <rPr>
            <sz val="9"/>
            <rFont val="宋体"/>
            <family val="3"/>
            <charset val="134"/>
          </rPr>
          <t>1、问题/任务在初步计划完成日期内没有完成，修改完成的日期
2、如果没有变更计划，可不填</t>
        </r>
      </text>
    </comment>
    <comment ref="I3" authorId="0" shapeId="0">
      <text>
        <r>
          <rPr>
            <sz val="9"/>
            <rFont val="宋体"/>
            <family val="3"/>
            <charset val="134"/>
          </rPr>
          <t xml:space="preserve">问题/任务已经完成，关闭的日期
</t>
        </r>
      </text>
    </comment>
    <comment ref="J3" authorId="0" shapeId="0">
      <text>
        <r>
          <rPr>
            <b/>
            <sz val="9"/>
            <rFont val="宋体"/>
            <family val="3"/>
            <charset val="134"/>
          </rPr>
          <t>In Time</t>
        </r>
        <r>
          <rPr>
            <sz val="9"/>
            <rFont val="宋体"/>
            <family val="3"/>
            <charset val="134"/>
          </rPr>
          <t xml:space="preserve">：问题/任务在计划时间内待处理
（判定条件：1.Closed Date空白且Due Date空白或当前日期&lt;=Due Date；2. Closed Date空白且当前日期&lt;=Revised Due Date）
</t>
        </r>
        <r>
          <rPr>
            <b/>
            <sz val="9"/>
            <rFont val="宋体"/>
            <family val="3"/>
            <charset val="134"/>
          </rPr>
          <t>Overdue</t>
        </r>
        <r>
          <rPr>
            <sz val="9"/>
            <rFont val="宋体"/>
            <family val="3"/>
            <charset val="134"/>
          </rPr>
          <t xml:space="preserve">：问题/任务已经过了计划期限未关闭（判定条件：1.Closed Date未填且当前日期&gt;Revised Date或Due Date（当Revised Date为空））
</t>
        </r>
        <r>
          <rPr>
            <b/>
            <sz val="9"/>
            <rFont val="宋体"/>
            <family val="3"/>
            <charset val="134"/>
          </rPr>
          <t>Done</t>
        </r>
        <r>
          <rPr>
            <sz val="9"/>
            <rFont val="宋体"/>
            <family val="3"/>
            <charset val="134"/>
          </rPr>
          <t xml:space="preserve">：问题/任务已关闭
（判定条件，Closed Date不为空且&lt;=当前日期）
</t>
        </r>
      </text>
    </comment>
    <comment ref="P3" authorId="0" shapeId="0">
      <text>
        <r>
          <rPr>
            <sz val="9"/>
            <rFont val="宋体"/>
            <family val="3"/>
            <charset val="134"/>
          </rPr>
          <t>1.任务/问题比计划延误时，需要填写目前进展和跟进详情
2.其他重要信息</t>
        </r>
      </text>
    </comment>
  </commentList>
</comments>
</file>

<file path=xl/comments4.xml><?xml version="1.0" encoding="utf-8"?>
<comments xmlns="http://schemas.openxmlformats.org/spreadsheetml/2006/main">
  <authors>
    <author>Tang, Dan</author>
  </authors>
  <commentList>
    <comment ref="A1" authorId="0" shapeId="0">
      <text>
        <r>
          <rPr>
            <sz val="9"/>
            <rFont val="宋体"/>
            <family val="3"/>
            <charset val="134"/>
          </rPr>
          <t>&lt;&gt;内填入会议或项目名称；打印时页眉显示公司Logo；J~P列及第二行隐藏了公式，请勿删除和调整</t>
        </r>
      </text>
    </comment>
    <comment ref="B3" authorId="0" shapeId="0">
      <text>
        <r>
          <rPr>
            <sz val="9"/>
            <rFont val="宋体"/>
            <family val="3"/>
            <charset val="134"/>
          </rPr>
          <t>根据会议内容自定义分类类别</t>
        </r>
      </text>
    </comment>
    <comment ref="D3" authorId="0" shapeId="0">
      <text>
        <r>
          <rPr>
            <sz val="9"/>
            <rFont val="宋体"/>
            <family val="3"/>
            <charset val="134"/>
          </rPr>
          <t xml:space="preserve">高, 中, 低
</t>
        </r>
      </text>
    </comment>
    <comment ref="F3" authorId="0" shapeId="0">
      <text>
        <r>
          <rPr>
            <sz val="9"/>
            <rFont val="宋体"/>
            <family val="3"/>
            <charset val="134"/>
          </rPr>
          <t>提出问题的日期
（如果是会议确定的，填写会议日期）</t>
        </r>
      </text>
    </comment>
    <comment ref="G3" authorId="0" shapeId="0">
      <text>
        <r>
          <rPr>
            <sz val="9"/>
            <rFont val="宋体"/>
            <family val="3"/>
            <charset val="134"/>
          </rPr>
          <t>初步计划处理完成问题/任务的日期</t>
        </r>
      </text>
    </comment>
    <comment ref="H3" authorId="0" shapeId="0">
      <text>
        <r>
          <rPr>
            <sz val="9"/>
            <rFont val="宋体"/>
            <family val="3"/>
            <charset val="134"/>
          </rPr>
          <t>1、问题/任务在初步计划完成日期内没有完成，修改完成的日期
2、如果没有变更计划，可不填</t>
        </r>
      </text>
    </comment>
    <comment ref="I3" authorId="0" shapeId="0">
      <text>
        <r>
          <rPr>
            <sz val="9"/>
            <rFont val="宋体"/>
            <family val="3"/>
            <charset val="134"/>
          </rPr>
          <t xml:space="preserve">问题/任务已经完成，关闭的日期
</t>
        </r>
      </text>
    </comment>
    <comment ref="J3" authorId="0" shapeId="0">
      <text>
        <r>
          <rPr>
            <b/>
            <sz val="9"/>
            <rFont val="宋体"/>
            <family val="3"/>
            <charset val="134"/>
          </rPr>
          <t>In Time</t>
        </r>
        <r>
          <rPr>
            <sz val="9"/>
            <rFont val="宋体"/>
            <family val="3"/>
            <charset val="134"/>
          </rPr>
          <t xml:space="preserve">：问题/任务在计划时间内待处理
（判定条件：1.Closed Date空白且Due Date空白或当前日期&lt;=Due Date；2. Closed Date空白且当前日期&lt;=Revised Due Date）
</t>
        </r>
        <r>
          <rPr>
            <b/>
            <sz val="9"/>
            <rFont val="宋体"/>
            <family val="3"/>
            <charset val="134"/>
          </rPr>
          <t>Overdue</t>
        </r>
        <r>
          <rPr>
            <sz val="9"/>
            <rFont val="宋体"/>
            <family val="3"/>
            <charset val="134"/>
          </rPr>
          <t xml:space="preserve">：问题/任务已经过了计划期限未关闭（判定条件：1.Closed Date未填且当前日期&gt;Revised Date或Due Date（当Revised Date为空））
</t>
        </r>
        <r>
          <rPr>
            <b/>
            <sz val="9"/>
            <rFont val="宋体"/>
            <family val="3"/>
            <charset val="134"/>
          </rPr>
          <t>Done</t>
        </r>
        <r>
          <rPr>
            <sz val="9"/>
            <rFont val="宋体"/>
            <family val="3"/>
            <charset val="134"/>
          </rPr>
          <t xml:space="preserve">：问题/任务已关闭
（判定条件，Closed Date不为空且&lt;=当前日期）
</t>
        </r>
      </text>
    </comment>
    <comment ref="P3" authorId="0" shapeId="0">
      <text>
        <r>
          <rPr>
            <sz val="9"/>
            <rFont val="宋体"/>
            <family val="3"/>
            <charset val="134"/>
          </rPr>
          <t>1.任务/问题比计划延误时，需要填写目前进展和跟进详情
2.其他重要信息</t>
        </r>
      </text>
    </comment>
  </commentList>
</comments>
</file>

<file path=xl/comments5.xml><?xml version="1.0" encoding="utf-8"?>
<comments xmlns="http://schemas.openxmlformats.org/spreadsheetml/2006/main">
  <authors>
    <author>Tang, Dan</author>
  </authors>
  <commentList>
    <comment ref="A1" authorId="0" shapeId="0">
      <text>
        <r>
          <rPr>
            <sz val="9"/>
            <rFont val="宋体"/>
            <family val="3"/>
            <charset val="134"/>
          </rPr>
          <t>&lt;&gt;内填入会议或项目名称；打印时页眉显示公司Logo；J~P列及第二行隐藏了公式，请勿删除和调整</t>
        </r>
      </text>
    </comment>
    <comment ref="B3" authorId="0" shapeId="0">
      <text>
        <r>
          <rPr>
            <sz val="9"/>
            <rFont val="宋体"/>
            <family val="3"/>
            <charset val="134"/>
          </rPr>
          <t>根据会议内容自定义分类类别</t>
        </r>
      </text>
    </comment>
    <comment ref="D3" authorId="0" shapeId="0">
      <text>
        <r>
          <rPr>
            <sz val="9"/>
            <rFont val="宋体"/>
            <family val="3"/>
            <charset val="134"/>
          </rPr>
          <t xml:space="preserve">高, 中, 低
</t>
        </r>
      </text>
    </comment>
    <comment ref="F3" authorId="0" shapeId="0">
      <text>
        <r>
          <rPr>
            <sz val="9"/>
            <rFont val="宋体"/>
            <family val="3"/>
            <charset val="134"/>
          </rPr>
          <t>提出问题的日期
（如果是会议确定的，填写会议日期）</t>
        </r>
      </text>
    </comment>
    <comment ref="G3" authorId="0" shapeId="0">
      <text>
        <r>
          <rPr>
            <sz val="9"/>
            <rFont val="宋体"/>
            <family val="3"/>
            <charset val="134"/>
          </rPr>
          <t>初步计划处理完成问题/任务的日期</t>
        </r>
      </text>
    </comment>
    <comment ref="H3" authorId="0" shapeId="0">
      <text>
        <r>
          <rPr>
            <sz val="9"/>
            <rFont val="宋体"/>
            <family val="3"/>
            <charset val="134"/>
          </rPr>
          <t>1、问题/任务在初步计划完成日期内没有完成，修改完成的日期
2、如果没有变更计划，可不填</t>
        </r>
      </text>
    </comment>
    <comment ref="I3" authorId="0" shapeId="0">
      <text>
        <r>
          <rPr>
            <sz val="9"/>
            <rFont val="宋体"/>
            <family val="3"/>
            <charset val="134"/>
          </rPr>
          <t xml:space="preserve">问题/任务已经完成，关闭的日期
</t>
        </r>
      </text>
    </comment>
    <comment ref="J3" authorId="0" shapeId="0">
      <text>
        <r>
          <rPr>
            <b/>
            <sz val="9"/>
            <rFont val="宋体"/>
            <family val="3"/>
            <charset val="134"/>
          </rPr>
          <t>In Time</t>
        </r>
        <r>
          <rPr>
            <sz val="9"/>
            <rFont val="宋体"/>
            <family val="3"/>
            <charset val="134"/>
          </rPr>
          <t xml:space="preserve">：问题/任务在计划时间内待处理
（判定条件：1.Closed Date空白且Due Date空白或当前日期&lt;=Due Date；2. Closed Date空白且当前日期&lt;=Revised Due Date）
</t>
        </r>
        <r>
          <rPr>
            <b/>
            <sz val="9"/>
            <rFont val="宋体"/>
            <family val="3"/>
            <charset val="134"/>
          </rPr>
          <t>Overdue</t>
        </r>
        <r>
          <rPr>
            <sz val="9"/>
            <rFont val="宋体"/>
            <family val="3"/>
            <charset val="134"/>
          </rPr>
          <t xml:space="preserve">：问题/任务已经过了计划期限未关闭（判定条件：1.Closed Date未填且当前日期&gt;Revised Date或Due Date（当Revised Date为空））
</t>
        </r>
        <r>
          <rPr>
            <b/>
            <sz val="9"/>
            <rFont val="宋体"/>
            <family val="3"/>
            <charset val="134"/>
          </rPr>
          <t>Done</t>
        </r>
        <r>
          <rPr>
            <sz val="9"/>
            <rFont val="宋体"/>
            <family val="3"/>
            <charset val="134"/>
          </rPr>
          <t xml:space="preserve">：问题/任务已关闭
（判定条件，Closed Date不为空且&lt;=当前日期）
</t>
        </r>
      </text>
    </comment>
    <comment ref="P3" authorId="0" shapeId="0">
      <text>
        <r>
          <rPr>
            <sz val="9"/>
            <rFont val="宋体"/>
            <family val="3"/>
            <charset val="134"/>
          </rPr>
          <t>1.任务/问题比计划延误时，需要填写目前进展和跟进详情
2.其他重要信息</t>
        </r>
      </text>
    </comment>
  </commentList>
</comments>
</file>

<file path=xl/comments6.xml><?xml version="1.0" encoding="utf-8"?>
<comments xmlns="http://schemas.openxmlformats.org/spreadsheetml/2006/main">
  <authors>
    <author>Tang, Dan</author>
  </authors>
  <commentList>
    <comment ref="A1" authorId="0" shapeId="0">
      <text>
        <r>
          <rPr>
            <sz val="9"/>
            <rFont val="宋体"/>
            <family val="3"/>
            <charset val="134"/>
          </rPr>
          <t>&lt;&gt;内填入会议或项目名称；打印时页眉显示公司Logo；J~P列及第二行隐藏了公式，请勿删除和调整</t>
        </r>
      </text>
    </comment>
    <comment ref="B3" authorId="0" shapeId="0">
      <text>
        <r>
          <rPr>
            <sz val="9"/>
            <rFont val="宋体"/>
            <family val="3"/>
            <charset val="134"/>
          </rPr>
          <t>根据会议内容自定义分类类别</t>
        </r>
      </text>
    </comment>
    <comment ref="D3" authorId="0" shapeId="0">
      <text>
        <r>
          <rPr>
            <sz val="9"/>
            <rFont val="宋体"/>
            <family val="3"/>
            <charset val="134"/>
          </rPr>
          <t xml:space="preserve">高, 中, 低
</t>
        </r>
      </text>
    </comment>
    <comment ref="F3" authorId="0" shapeId="0">
      <text>
        <r>
          <rPr>
            <sz val="9"/>
            <rFont val="宋体"/>
            <family val="3"/>
            <charset val="134"/>
          </rPr>
          <t>提出问题的日期
（如果是会议确定的，填写会议日期）</t>
        </r>
      </text>
    </comment>
    <comment ref="G3" authorId="0" shapeId="0">
      <text>
        <r>
          <rPr>
            <sz val="9"/>
            <rFont val="宋体"/>
            <family val="3"/>
            <charset val="134"/>
          </rPr>
          <t>初步计划处理完成问题/任务的日期</t>
        </r>
      </text>
    </comment>
    <comment ref="H3" authorId="0" shapeId="0">
      <text>
        <r>
          <rPr>
            <sz val="9"/>
            <rFont val="宋体"/>
            <family val="3"/>
            <charset val="134"/>
          </rPr>
          <t>1、问题/任务在初步计划完成日期内没有完成，修改完成的日期
2、如果没有变更计划，可不填</t>
        </r>
      </text>
    </comment>
    <comment ref="I3" authorId="0" shapeId="0">
      <text>
        <r>
          <rPr>
            <sz val="9"/>
            <rFont val="宋体"/>
            <family val="3"/>
            <charset val="134"/>
          </rPr>
          <t xml:space="preserve">问题/任务已经完成，关闭的日期
</t>
        </r>
      </text>
    </comment>
    <comment ref="J3" authorId="0" shapeId="0">
      <text>
        <r>
          <rPr>
            <b/>
            <sz val="9"/>
            <rFont val="宋体"/>
            <family val="3"/>
            <charset val="134"/>
          </rPr>
          <t>In Time</t>
        </r>
        <r>
          <rPr>
            <sz val="9"/>
            <rFont val="宋体"/>
            <family val="3"/>
            <charset val="134"/>
          </rPr>
          <t xml:space="preserve">：问题/任务在计划时间内待处理
（判定条件：1.Closed Date空白且Due Date空白或当前日期&lt;=Due Date；2. Closed Date空白且当前日期&lt;=Revised Due Date）
</t>
        </r>
        <r>
          <rPr>
            <b/>
            <sz val="9"/>
            <rFont val="宋体"/>
            <family val="3"/>
            <charset val="134"/>
          </rPr>
          <t>Overdue</t>
        </r>
        <r>
          <rPr>
            <sz val="9"/>
            <rFont val="宋体"/>
            <family val="3"/>
            <charset val="134"/>
          </rPr>
          <t xml:space="preserve">：问题/任务已经过了计划期限未关闭（判定条件：1.Closed Date未填且当前日期&gt;Revised Date或Due Date（当Revised Date为空））
</t>
        </r>
        <r>
          <rPr>
            <b/>
            <sz val="9"/>
            <rFont val="宋体"/>
            <family val="3"/>
            <charset val="134"/>
          </rPr>
          <t>Done</t>
        </r>
        <r>
          <rPr>
            <sz val="9"/>
            <rFont val="宋体"/>
            <family val="3"/>
            <charset val="134"/>
          </rPr>
          <t xml:space="preserve">：问题/任务已关闭
（判定条件，Closed Date不为空且&lt;=当前日期）
</t>
        </r>
      </text>
    </comment>
    <comment ref="P3" authorId="0" shapeId="0">
      <text>
        <r>
          <rPr>
            <sz val="9"/>
            <rFont val="宋体"/>
            <family val="3"/>
            <charset val="134"/>
          </rPr>
          <t>1.任务/问题比计划延误时，需要填写目前进展和跟进详情
2.其他重要信息</t>
        </r>
      </text>
    </comment>
  </commentList>
</comments>
</file>

<file path=xl/comments7.xml><?xml version="1.0" encoding="utf-8"?>
<comments xmlns="http://schemas.openxmlformats.org/spreadsheetml/2006/main">
  <authors>
    <author>Tang, Dan</author>
  </authors>
  <commentList>
    <comment ref="A1" authorId="0" shapeId="0">
      <text>
        <r>
          <rPr>
            <sz val="9"/>
            <rFont val="宋体"/>
            <family val="3"/>
            <charset val="134"/>
          </rPr>
          <t>&lt;&gt;内填入会议或项目名称；打印时页眉显示公司Logo；J~P列及第二行隐藏了公式，请勿删除和调整</t>
        </r>
      </text>
    </comment>
    <comment ref="B3" authorId="0" shapeId="0">
      <text>
        <r>
          <rPr>
            <sz val="9"/>
            <rFont val="宋体"/>
            <family val="3"/>
            <charset val="134"/>
          </rPr>
          <t>根据会议内容自定义分类类别</t>
        </r>
      </text>
    </comment>
    <comment ref="D3" authorId="0" shapeId="0">
      <text>
        <r>
          <rPr>
            <sz val="9"/>
            <rFont val="宋体"/>
            <family val="3"/>
            <charset val="134"/>
          </rPr>
          <t xml:space="preserve">高, 中, 低
</t>
        </r>
      </text>
    </comment>
    <comment ref="F3" authorId="0" shapeId="0">
      <text>
        <r>
          <rPr>
            <sz val="9"/>
            <rFont val="宋体"/>
            <family val="3"/>
            <charset val="134"/>
          </rPr>
          <t>提出问题的日期
（如果是会议确定的，填写会议日期）</t>
        </r>
      </text>
    </comment>
    <comment ref="G3" authorId="0" shapeId="0">
      <text>
        <r>
          <rPr>
            <sz val="9"/>
            <rFont val="宋体"/>
            <family val="3"/>
            <charset val="134"/>
          </rPr>
          <t>初步计划处理完成问题/任务的日期</t>
        </r>
      </text>
    </comment>
    <comment ref="H3" authorId="0" shapeId="0">
      <text>
        <r>
          <rPr>
            <sz val="9"/>
            <rFont val="宋体"/>
            <family val="3"/>
            <charset val="134"/>
          </rPr>
          <t>1、问题/任务在初步计划完成日期内没有完成，修改完成的日期
2、如果没有变更计划，可不填</t>
        </r>
      </text>
    </comment>
    <comment ref="I3" authorId="0" shapeId="0">
      <text>
        <r>
          <rPr>
            <sz val="9"/>
            <rFont val="宋体"/>
            <family val="3"/>
            <charset val="134"/>
          </rPr>
          <t xml:space="preserve">问题/任务已经完成，关闭的日期
</t>
        </r>
      </text>
    </comment>
    <comment ref="J3" authorId="0" shapeId="0">
      <text>
        <r>
          <rPr>
            <b/>
            <sz val="9"/>
            <rFont val="宋体"/>
            <family val="3"/>
            <charset val="134"/>
          </rPr>
          <t>In Time</t>
        </r>
        <r>
          <rPr>
            <sz val="9"/>
            <rFont val="宋体"/>
            <family val="3"/>
            <charset val="134"/>
          </rPr>
          <t xml:space="preserve">：问题/任务在计划时间内待处理
（判定条件：1.Closed Date空白且Due Date空白或当前日期&lt;=Due Date；2. Closed Date空白且当前日期&lt;=Revised Due Date）
</t>
        </r>
        <r>
          <rPr>
            <b/>
            <sz val="9"/>
            <rFont val="宋体"/>
            <family val="3"/>
            <charset val="134"/>
          </rPr>
          <t>Overdue</t>
        </r>
        <r>
          <rPr>
            <sz val="9"/>
            <rFont val="宋体"/>
            <family val="3"/>
            <charset val="134"/>
          </rPr>
          <t xml:space="preserve">：问题/任务已经过了计划期限未关闭（判定条件：1.Closed Date未填且当前日期&gt;Revised Date或Due Date（当Revised Date为空））
</t>
        </r>
        <r>
          <rPr>
            <b/>
            <sz val="9"/>
            <rFont val="宋体"/>
            <family val="3"/>
            <charset val="134"/>
          </rPr>
          <t>Done</t>
        </r>
        <r>
          <rPr>
            <sz val="9"/>
            <rFont val="宋体"/>
            <family val="3"/>
            <charset val="134"/>
          </rPr>
          <t xml:space="preserve">：问题/任务已关闭
（判定条件，Closed Date不为空且&lt;=当前日期）
</t>
        </r>
      </text>
    </comment>
    <comment ref="P3" authorId="0" shapeId="0">
      <text>
        <r>
          <rPr>
            <sz val="9"/>
            <rFont val="宋体"/>
            <family val="3"/>
            <charset val="134"/>
          </rPr>
          <t>1.任务/问题比计划延误时，需要填写目前进展和跟进详情
2.其他重要信息</t>
        </r>
      </text>
    </comment>
  </commentList>
</comments>
</file>

<file path=xl/comments8.xml><?xml version="1.0" encoding="utf-8"?>
<comments xmlns="http://schemas.openxmlformats.org/spreadsheetml/2006/main">
  <authors>
    <author>Tang, Dan</author>
  </authors>
  <commentList>
    <comment ref="A1" authorId="0" shapeId="0">
      <text>
        <r>
          <rPr>
            <sz val="9"/>
            <rFont val="宋体"/>
            <family val="3"/>
            <charset val="134"/>
          </rPr>
          <t>&lt;&gt;内填入会议或项目名称；打印时页眉显示公司Logo；J~P列及第二行隐藏了公式，请勿删除和调整</t>
        </r>
      </text>
    </comment>
    <comment ref="B3" authorId="0" shapeId="0">
      <text>
        <r>
          <rPr>
            <sz val="9"/>
            <rFont val="宋体"/>
            <family val="3"/>
            <charset val="134"/>
          </rPr>
          <t>根据会议内容自定义分类类别</t>
        </r>
      </text>
    </comment>
    <comment ref="D3" authorId="0" shapeId="0">
      <text>
        <r>
          <rPr>
            <sz val="9"/>
            <rFont val="宋体"/>
            <family val="3"/>
            <charset val="134"/>
          </rPr>
          <t xml:space="preserve">高, 中, 低
</t>
        </r>
      </text>
    </comment>
    <comment ref="F3" authorId="0" shapeId="0">
      <text>
        <r>
          <rPr>
            <sz val="9"/>
            <rFont val="宋体"/>
            <family val="3"/>
            <charset val="134"/>
          </rPr>
          <t>提出问题的日期
（如果是会议确定的，填写会议日期）</t>
        </r>
      </text>
    </comment>
    <comment ref="G3" authorId="0" shapeId="0">
      <text>
        <r>
          <rPr>
            <sz val="9"/>
            <rFont val="宋体"/>
            <family val="3"/>
            <charset val="134"/>
          </rPr>
          <t>初步计划处理完成问题/任务的日期</t>
        </r>
      </text>
    </comment>
    <comment ref="H3" authorId="0" shapeId="0">
      <text>
        <r>
          <rPr>
            <sz val="9"/>
            <rFont val="宋体"/>
            <family val="3"/>
            <charset val="134"/>
          </rPr>
          <t>1、问题/任务在初步计划完成日期内没有完成，修改完成的日期
2、如果没有变更计划，可不填</t>
        </r>
      </text>
    </comment>
    <comment ref="I3" authorId="0" shapeId="0">
      <text>
        <r>
          <rPr>
            <sz val="9"/>
            <rFont val="宋体"/>
            <family val="3"/>
            <charset val="134"/>
          </rPr>
          <t xml:space="preserve">问题/任务已经完成，关闭的日期
</t>
        </r>
      </text>
    </comment>
    <comment ref="J3" authorId="0" shapeId="0">
      <text>
        <r>
          <rPr>
            <b/>
            <sz val="9"/>
            <rFont val="宋体"/>
            <family val="3"/>
            <charset val="134"/>
          </rPr>
          <t>In Time</t>
        </r>
        <r>
          <rPr>
            <sz val="9"/>
            <rFont val="宋体"/>
            <family val="3"/>
            <charset val="134"/>
          </rPr>
          <t xml:space="preserve">：问题/任务在计划时间内待处理
（判定条件：1.Closed Date空白且Due Date空白或当前日期&lt;=Due Date；2. Closed Date空白且当前日期&lt;=Revised Due Date）
</t>
        </r>
        <r>
          <rPr>
            <b/>
            <sz val="9"/>
            <rFont val="宋体"/>
            <family val="3"/>
            <charset val="134"/>
          </rPr>
          <t>Overdue</t>
        </r>
        <r>
          <rPr>
            <sz val="9"/>
            <rFont val="宋体"/>
            <family val="3"/>
            <charset val="134"/>
          </rPr>
          <t xml:space="preserve">：问题/任务已经过了计划期限未关闭（判定条件：1.Closed Date未填且当前日期&gt;Revised Date或Due Date（当Revised Date为空））
</t>
        </r>
        <r>
          <rPr>
            <b/>
            <sz val="9"/>
            <rFont val="宋体"/>
            <family val="3"/>
            <charset val="134"/>
          </rPr>
          <t>Done</t>
        </r>
        <r>
          <rPr>
            <sz val="9"/>
            <rFont val="宋体"/>
            <family val="3"/>
            <charset val="134"/>
          </rPr>
          <t xml:space="preserve">：问题/任务已关闭
（判定条件，Closed Date不为空且&lt;=当前日期）
</t>
        </r>
      </text>
    </comment>
    <comment ref="P3" authorId="0" shapeId="0">
      <text>
        <r>
          <rPr>
            <sz val="9"/>
            <rFont val="宋体"/>
            <family val="3"/>
            <charset val="134"/>
          </rPr>
          <t>1.任务/问题比计划延误时，需要填写目前进展和跟进详情
2.其他重要信息</t>
        </r>
      </text>
    </comment>
  </commentList>
</comments>
</file>

<file path=xl/comments9.xml><?xml version="1.0" encoding="utf-8"?>
<comments xmlns="http://schemas.openxmlformats.org/spreadsheetml/2006/main">
  <authors>
    <author>Tang, Dan</author>
  </authors>
  <commentList>
    <comment ref="A1" authorId="0" shapeId="0">
      <text>
        <r>
          <rPr>
            <sz val="9"/>
            <rFont val="宋体"/>
            <family val="3"/>
            <charset val="134"/>
          </rPr>
          <t>&lt;&gt;内填入会议或项目名称；打印时页眉显示公司Logo；J~P列及第二行隐藏了公式，请勿删除和调整</t>
        </r>
      </text>
    </comment>
    <comment ref="B3" authorId="0" shapeId="0">
      <text>
        <r>
          <rPr>
            <sz val="9"/>
            <rFont val="宋体"/>
            <family val="3"/>
            <charset val="134"/>
          </rPr>
          <t>根据会议内容自定义分类类别</t>
        </r>
      </text>
    </comment>
    <comment ref="D3" authorId="0" shapeId="0">
      <text>
        <r>
          <rPr>
            <sz val="9"/>
            <rFont val="宋体"/>
            <family val="3"/>
            <charset val="134"/>
          </rPr>
          <t xml:space="preserve">高, 中, 低
</t>
        </r>
      </text>
    </comment>
    <comment ref="F3" authorId="0" shapeId="0">
      <text>
        <r>
          <rPr>
            <sz val="9"/>
            <rFont val="宋体"/>
            <family val="3"/>
            <charset val="134"/>
          </rPr>
          <t>提出问题的日期
（如果是会议确定的，填写会议日期）</t>
        </r>
      </text>
    </comment>
    <comment ref="G3" authorId="0" shapeId="0">
      <text>
        <r>
          <rPr>
            <sz val="9"/>
            <rFont val="宋体"/>
            <family val="3"/>
            <charset val="134"/>
          </rPr>
          <t>初步计划处理完成问题/任务的日期</t>
        </r>
      </text>
    </comment>
    <comment ref="H3" authorId="0" shapeId="0">
      <text>
        <r>
          <rPr>
            <sz val="9"/>
            <rFont val="宋体"/>
            <family val="3"/>
            <charset val="134"/>
          </rPr>
          <t>1、问题/任务在初步计划完成日期内没有完成，修改完成的日期
2、如果没有变更计划，可不填</t>
        </r>
      </text>
    </comment>
    <comment ref="I3" authorId="0" shapeId="0">
      <text>
        <r>
          <rPr>
            <sz val="9"/>
            <rFont val="宋体"/>
            <family val="3"/>
            <charset val="134"/>
          </rPr>
          <t xml:space="preserve">问题/任务已经完成，关闭的日期
</t>
        </r>
      </text>
    </comment>
    <comment ref="J3" authorId="0" shapeId="0">
      <text>
        <r>
          <rPr>
            <b/>
            <sz val="9"/>
            <rFont val="宋体"/>
            <family val="3"/>
            <charset val="134"/>
          </rPr>
          <t>In Time</t>
        </r>
        <r>
          <rPr>
            <sz val="9"/>
            <rFont val="宋体"/>
            <family val="3"/>
            <charset val="134"/>
          </rPr>
          <t xml:space="preserve">：问题/任务在计划时间内待处理
（判定条件：1.Closed Date空白且Due Date空白或当前日期&lt;=Due Date；2. Closed Date空白且当前日期&lt;=Revised Due Date）
</t>
        </r>
        <r>
          <rPr>
            <b/>
            <sz val="9"/>
            <rFont val="宋体"/>
            <family val="3"/>
            <charset val="134"/>
          </rPr>
          <t>Overdue</t>
        </r>
        <r>
          <rPr>
            <sz val="9"/>
            <rFont val="宋体"/>
            <family val="3"/>
            <charset val="134"/>
          </rPr>
          <t xml:space="preserve">：问题/任务已经过了计划期限未关闭（判定条件：1.Closed Date未填且当前日期&gt;Revised Date或Due Date（当Revised Date为空））
</t>
        </r>
        <r>
          <rPr>
            <b/>
            <sz val="9"/>
            <rFont val="宋体"/>
            <family val="3"/>
            <charset val="134"/>
          </rPr>
          <t>Done</t>
        </r>
        <r>
          <rPr>
            <sz val="9"/>
            <rFont val="宋体"/>
            <family val="3"/>
            <charset val="134"/>
          </rPr>
          <t xml:space="preserve">：问题/任务已关闭
（判定条件，Closed Date不为空且&lt;=当前日期）
</t>
        </r>
      </text>
    </comment>
    <comment ref="P3" authorId="0" shapeId="0">
      <text>
        <r>
          <rPr>
            <sz val="9"/>
            <rFont val="宋体"/>
            <family val="3"/>
            <charset val="134"/>
          </rPr>
          <t>1.任务/问题比计划延误时，需要填写目前进展和跟进详情
2.其他重要信息</t>
        </r>
      </text>
    </comment>
  </commentList>
</comments>
</file>

<file path=xl/comments10.xml><?xml version="1.0" encoding="utf-8"?>
<comments xmlns="http://schemas.openxmlformats.org/spreadsheetml/2006/main">
  <authors>
    <author>Tang, Dan</author>
  </authors>
  <commentList>
    <comment ref="A1" authorId="0" shapeId="0">
      <text>
        <r>
          <rPr>
            <sz val="9"/>
            <rFont val="宋体"/>
            <family val="3"/>
            <charset val="134"/>
          </rPr>
          <t>&lt;&gt;内填入会议或项目名称；打印时页眉显示公司Logo；J~P列及第二行隐藏了公式，请勿删除和调整</t>
        </r>
      </text>
    </comment>
    <comment ref="B3" authorId="0" shapeId="0">
      <text>
        <r>
          <rPr>
            <sz val="9"/>
            <rFont val="宋体"/>
            <family val="3"/>
            <charset val="134"/>
          </rPr>
          <t>根据会议内容自定义分类类别</t>
        </r>
      </text>
    </comment>
    <comment ref="D3" authorId="0" shapeId="0">
      <text>
        <r>
          <rPr>
            <sz val="9"/>
            <rFont val="宋体"/>
            <family val="3"/>
            <charset val="134"/>
          </rPr>
          <t xml:space="preserve">高, 中, 低
</t>
        </r>
      </text>
    </comment>
    <comment ref="F3" authorId="0" shapeId="0">
      <text>
        <r>
          <rPr>
            <sz val="9"/>
            <rFont val="宋体"/>
            <family val="3"/>
            <charset val="134"/>
          </rPr>
          <t>提出问题的日期
（如果是会议确定的，填写会议日期）</t>
        </r>
      </text>
    </comment>
    <comment ref="G3" authorId="0" shapeId="0">
      <text>
        <r>
          <rPr>
            <sz val="9"/>
            <rFont val="宋体"/>
            <family val="3"/>
            <charset val="134"/>
          </rPr>
          <t>初步计划处理完成问题/任务的日期</t>
        </r>
      </text>
    </comment>
    <comment ref="H3" authorId="0" shapeId="0">
      <text>
        <r>
          <rPr>
            <sz val="9"/>
            <rFont val="宋体"/>
            <family val="3"/>
            <charset val="134"/>
          </rPr>
          <t>1、问题/任务在初步计划完成日期内没有完成，修改完成的日期
2、如果没有变更计划，可不填</t>
        </r>
      </text>
    </comment>
    <comment ref="I3" authorId="0" shapeId="0">
      <text>
        <r>
          <rPr>
            <sz val="9"/>
            <rFont val="宋体"/>
            <family val="3"/>
            <charset val="134"/>
          </rPr>
          <t xml:space="preserve">问题/任务已经完成，关闭的日期
</t>
        </r>
      </text>
    </comment>
    <comment ref="J3" authorId="0" shapeId="0">
      <text>
        <r>
          <rPr>
            <b/>
            <sz val="9"/>
            <rFont val="宋体"/>
            <family val="3"/>
            <charset val="134"/>
          </rPr>
          <t>In Time</t>
        </r>
        <r>
          <rPr>
            <sz val="9"/>
            <rFont val="宋体"/>
            <family val="3"/>
            <charset val="134"/>
          </rPr>
          <t xml:space="preserve">：问题/任务在计划时间内待处理
（判定条件：1.Closed Date空白且Due Date空白或当前日期&lt;=Due Date；2. Closed Date空白且当前日期&lt;=Revised Due Date）
</t>
        </r>
        <r>
          <rPr>
            <b/>
            <sz val="9"/>
            <rFont val="宋体"/>
            <family val="3"/>
            <charset val="134"/>
          </rPr>
          <t>Overdue</t>
        </r>
        <r>
          <rPr>
            <sz val="9"/>
            <rFont val="宋体"/>
            <family val="3"/>
            <charset val="134"/>
          </rPr>
          <t xml:space="preserve">：问题/任务已经过了计划期限未关闭（判定条件：1.Closed Date未填且当前日期&gt;Revised Date或Due Date（当Revised Date为空））
</t>
        </r>
        <r>
          <rPr>
            <b/>
            <sz val="9"/>
            <rFont val="宋体"/>
            <family val="3"/>
            <charset val="134"/>
          </rPr>
          <t>Done</t>
        </r>
        <r>
          <rPr>
            <sz val="9"/>
            <rFont val="宋体"/>
            <family val="3"/>
            <charset val="134"/>
          </rPr>
          <t xml:space="preserve">：问题/任务已关闭
（判定条件，Closed Date不为空且&lt;=当前日期）
</t>
        </r>
      </text>
    </comment>
    <comment ref="P3" authorId="0" shapeId="0">
      <text>
        <r>
          <rPr>
            <sz val="9"/>
            <rFont val="宋体"/>
            <family val="3"/>
            <charset val="134"/>
          </rPr>
          <t>1.任务/问题比计划延误时，需要填写目前进展和跟进详情
2.其他重要信息</t>
        </r>
      </text>
    </comment>
  </commentList>
</comments>
</file>

<file path=xl/comments11.xml><?xml version="1.0" encoding="utf-8"?>
<comments xmlns="http://schemas.openxmlformats.org/spreadsheetml/2006/main">
  <authors>
    <author>Tang, Dan</author>
  </authors>
  <commentList>
    <comment ref="A1" authorId="0" shapeId="0">
      <text>
        <r>
          <rPr>
            <sz val="9"/>
            <rFont val="宋体"/>
            <family val="3"/>
            <charset val="134"/>
          </rPr>
          <t>&lt;&gt;内填入会议或项目名称；打印时页眉显示公司Logo；J~P列及第二行隐藏了公式，请勿删除和调整</t>
        </r>
      </text>
    </comment>
    <comment ref="B3" authorId="0" shapeId="0">
      <text>
        <r>
          <rPr>
            <sz val="9"/>
            <rFont val="宋体"/>
            <family val="3"/>
            <charset val="134"/>
          </rPr>
          <t>根据会议内容自定义分类类别</t>
        </r>
      </text>
    </comment>
    <comment ref="D3" authorId="0" shapeId="0">
      <text>
        <r>
          <rPr>
            <sz val="9"/>
            <rFont val="宋体"/>
            <family val="3"/>
            <charset val="134"/>
          </rPr>
          <t xml:space="preserve">高, 中, 低
</t>
        </r>
      </text>
    </comment>
    <comment ref="F3" authorId="0" shapeId="0">
      <text>
        <r>
          <rPr>
            <sz val="9"/>
            <rFont val="宋体"/>
            <family val="3"/>
            <charset val="134"/>
          </rPr>
          <t>提出问题的日期
（如果是会议确定的，填写会议日期）</t>
        </r>
      </text>
    </comment>
    <comment ref="G3" authorId="0" shapeId="0">
      <text>
        <r>
          <rPr>
            <sz val="9"/>
            <rFont val="宋体"/>
            <family val="3"/>
            <charset val="134"/>
          </rPr>
          <t>初步计划处理完成问题/任务的日期</t>
        </r>
      </text>
    </comment>
    <comment ref="H3" authorId="0" shapeId="0">
      <text>
        <r>
          <rPr>
            <sz val="9"/>
            <rFont val="宋体"/>
            <family val="3"/>
            <charset val="134"/>
          </rPr>
          <t>1、问题/任务在初步计划完成日期内没有完成，修改完成的日期
2、如果没有变更计划，可不填</t>
        </r>
      </text>
    </comment>
    <comment ref="I3" authorId="0" shapeId="0">
      <text>
        <r>
          <rPr>
            <sz val="9"/>
            <rFont val="宋体"/>
            <family val="3"/>
            <charset val="134"/>
          </rPr>
          <t xml:space="preserve">问题/任务已经完成，关闭的日期
</t>
        </r>
      </text>
    </comment>
    <comment ref="J3" authorId="0" shapeId="0">
      <text>
        <r>
          <rPr>
            <b/>
            <sz val="9"/>
            <rFont val="宋体"/>
            <family val="3"/>
            <charset val="134"/>
          </rPr>
          <t>In Time</t>
        </r>
        <r>
          <rPr>
            <sz val="9"/>
            <rFont val="宋体"/>
            <family val="3"/>
            <charset val="134"/>
          </rPr>
          <t xml:space="preserve">：问题/任务在计划时间内待处理
（判定条件：1.Closed Date空白且Due Date空白或当前日期&lt;=Due Date；2. Closed Date空白且当前日期&lt;=Revised Due Date）
</t>
        </r>
        <r>
          <rPr>
            <b/>
            <sz val="9"/>
            <rFont val="宋体"/>
            <family val="3"/>
            <charset val="134"/>
          </rPr>
          <t>Overdue</t>
        </r>
        <r>
          <rPr>
            <sz val="9"/>
            <rFont val="宋体"/>
            <family val="3"/>
            <charset val="134"/>
          </rPr>
          <t xml:space="preserve">：问题/任务已经过了计划期限未关闭（判定条件：1.Closed Date未填且当前日期&gt;Revised Date或Due Date（当Revised Date为空））
</t>
        </r>
        <r>
          <rPr>
            <b/>
            <sz val="9"/>
            <rFont val="宋体"/>
            <family val="3"/>
            <charset val="134"/>
          </rPr>
          <t>Done</t>
        </r>
        <r>
          <rPr>
            <sz val="9"/>
            <rFont val="宋体"/>
            <family val="3"/>
            <charset val="134"/>
          </rPr>
          <t xml:space="preserve">：问题/任务已关闭
（判定条件，Closed Date不为空且&lt;=当前日期）
</t>
        </r>
      </text>
    </comment>
    <comment ref="P3" authorId="0" shapeId="0">
      <text>
        <r>
          <rPr>
            <sz val="9"/>
            <rFont val="宋体"/>
            <family val="3"/>
            <charset val="134"/>
          </rPr>
          <t>1.任务/问题比计划延误时，需要填写目前进展和跟进详情
2.其他重要信息</t>
        </r>
      </text>
    </comment>
  </commentList>
</comments>
</file>

<file path=xl/sharedStrings.xml><?xml version="1.0" encoding="utf-8"?>
<sst xmlns="http://schemas.openxmlformats.org/spreadsheetml/2006/main" count="1468" uniqueCount="746">
  <si>
    <t>&lt;UIT&gt; Action Item List</t>
  </si>
  <si>
    <t>Last update:</t>
  </si>
  <si>
    <r>
      <rPr>
        <sz val="10"/>
        <color indexed="10"/>
        <rFont val="宋体"/>
        <family val="3"/>
        <charset val="134"/>
      </rPr>
      <t>此行涉及到公式，请不要做任何动作。故设置隐藏。</t>
    </r>
  </si>
  <si>
    <t>No.</t>
  </si>
  <si>
    <t>Category</t>
  </si>
  <si>
    <t>Problem Description / Action Item</t>
  </si>
  <si>
    <t>Priority</t>
  </si>
  <si>
    <t>Responsible</t>
  </si>
  <si>
    <t>Open Date
dd-Mmm-yy</t>
  </si>
  <si>
    <t>Due Date
dd-Mmm-yy</t>
  </si>
  <si>
    <t>Revised Due Date
dd-Mmm-yy</t>
  </si>
  <si>
    <t>Closed Date
dd-Mmm-yy</t>
  </si>
  <si>
    <t>Status</t>
  </si>
  <si>
    <t>delta</t>
  </si>
  <si>
    <t>o</t>
  </si>
  <si>
    <t>i</t>
  </si>
  <si>
    <t>d</t>
  </si>
  <si>
    <t>delta2</t>
  </si>
  <si>
    <t>Comments</t>
  </si>
  <si>
    <r>
      <rPr>
        <sz val="11"/>
        <color theme="1"/>
        <rFont val="宋体"/>
        <family val="3"/>
        <charset val="134"/>
      </rPr>
      <t>确定</t>
    </r>
    <r>
      <rPr>
        <sz val="11"/>
        <color theme="1"/>
        <rFont val="Arial"/>
        <family val="2"/>
      </rPr>
      <t>UIT</t>
    </r>
    <r>
      <rPr>
        <sz val="11"/>
        <color theme="1"/>
        <rFont val="宋体"/>
        <family val="3"/>
        <charset val="134"/>
      </rPr>
      <t>数据库的位置（与</t>
    </r>
    <r>
      <rPr>
        <sz val="11"/>
        <color theme="1"/>
        <rFont val="Arial"/>
        <family val="2"/>
      </rPr>
      <t>CM</t>
    </r>
    <r>
      <rPr>
        <sz val="11"/>
        <color theme="1"/>
        <rFont val="宋体"/>
        <family val="3"/>
        <charset val="134"/>
      </rPr>
      <t>确认）</t>
    </r>
  </si>
  <si>
    <t>低</t>
  </si>
  <si>
    <t>Pan Rongtao</t>
  </si>
  <si>
    <r>
      <rPr>
        <sz val="10"/>
        <color rgb="FF000000"/>
        <rFont val="Arial"/>
        <family val="2"/>
      </rPr>
      <t>2019/6/25</t>
    </r>
    <r>
      <rPr>
        <sz val="10"/>
        <color rgb="FF000000"/>
        <rFont val="宋体"/>
        <family val="3"/>
        <charset val="134"/>
      </rPr>
      <t>：暂时使用本地工作，等待完成第一个数据库版本后再申请</t>
    </r>
    <r>
      <rPr>
        <sz val="10"/>
        <color rgb="FF000000"/>
        <rFont val="Arial"/>
        <family val="2"/>
      </rPr>
      <t xml:space="preserve">
2019/8/6</t>
    </r>
    <r>
      <rPr>
        <sz val="10"/>
        <color rgb="FF000000"/>
        <rFont val="宋体"/>
        <family val="3"/>
        <charset val="134"/>
      </rPr>
      <t xml:space="preserve">：本周完成
</t>
    </r>
    <r>
      <rPr>
        <sz val="10"/>
        <color rgb="FF000000"/>
        <rFont val="Arial"/>
        <family val="2"/>
      </rPr>
      <t>2019/8/19</t>
    </r>
    <r>
      <rPr>
        <sz val="10"/>
        <color rgb="FF000000"/>
        <rFont val="宋体"/>
        <family val="3"/>
        <charset val="134"/>
      </rPr>
      <t>：完成</t>
    </r>
  </si>
  <si>
    <t>研究Baseline机制的了解，并制定UIT的Baseline，构建第一个版本号</t>
  </si>
  <si>
    <t>高</t>
  </si>
  <si>
    <t xml:space="preserve">Pan Rongtao </t>
  </si>
  <si>
    <r>
      <rPr>
        <sz val="10"/>
        <color rgb="FF000000"/>
        <rFont val="Arial"/>
        <family val="2"/>
      </rPr>
      <t xml:space="preserve">
2019-6-25</t>
    </r>
    <r>
      <rPr>
        <sz val="10"/>
        <color rgb="FF000000"/>
        <rFont val="宋体"/>
        <family val="3"/>
        <charset val="134"/>
      </rPr>
      <t>：本周研究分支策略，并确认构建第一个</t>
    </r>
    <r>
      <rPr>
        <sz val="10"/>
        <color rgb="FF000000"/>
        <rFont val="Arial"/>
        <family val="2"/>
      </rPr>
      <t>UIT</t>
    </r>
    <r>
      <rPr>
        <sz val="10"/>
        <color rgb="FF000000"/>
        <rFont val="宋体"/>
        <family val="3"/>
        <charset val="134"/>
      </rPr>
      <t>版本；同时优化</t>
    </r>
    <r>
      <rPr>
        <sz val="10"/>
        <color rgb="FF000000"/>
        <rFont val="Arial"/>
        <family val="2"/>
      </rPr>
      <t>git</t>
    </r>
    <r>
      <rPr>
        <sz val="10"/>
        <color rgb="FF000000"/>
        <rFont val="宋体"/>
        <family val="3"/>
        <charset val="134"/>
      </rPr>
      <t>提交流程，保证多人开发低冲突。</t>
    </r>
    <r>
      <rPr>
        <sz val="10"/>
        <color rgb="FF000000"/>
        <rFont val="Arial"/>
        <family val="2"/>
      </rPr>
      <t xml:space="preserve">
2019-7-12</t>
    </r>
    <r>
      <rPr>
        <sz val="10"/>
        <color rgb="FF000000"/>
        <rFont val="宋体"/>
        <family val="3"/>
        <charset val="134"/>
      </rPr>
      <t>：已经建立</t>
    </r>
    <r>
      <rPr>
        <sz val="10"/>
        <color rgb="FF000000"/>
        <rFont val="Arial"/>
        <family val="2"/>
      </rPr>
      <t>baseline</t>
    </r>
    <r>
      <rPr>
        <sz val="10"/>
        <color rgb="FF000000"/>
        <rFont val="宋体"/>
        <family val="3"/>
        <charset val="134"/>
      </rPr>
      <t>机制，目前处于</t>
    </r>
    <r>
      <rPr>
        <sz val="10"/>
        <color rgb="FF000000"/>
        <rFont val="Arial"/>
        <family val="2"/>
      </rPr>
      <t>1.0</t>
    </r>
    <r>
      <rPr>
        <sz val="10"/>
        <color rgb="FF000000"/>
        <rFont val="宋体"/>
        <family val="3"/>
        <charset val="134"/>
      </rPr>
      <t>下</t>
    </r>
  </si>
  <si>
    <t>建立UIT数据库结构：要求根据实际开发情况进行分组，考虑不同开发人员的不同需求：框架/模块开发、ui工程开发、跨BU开发、UI工程外包开发等</t>
  </si>
  <si>
    <r>
      <rPr>
        <sz val="10"/>
        <color rgb="FF000000"/>
        <rFont val="Arial"/>
        <family val="2"/>
      </rPr>
      <t xml:space="preserve">
2019-6-25</t>
    </r>
    <r>
      <rPr>
        <sz val="10"/>
        <color rgb="FF000000"/>
        <rFont val="宋体"/>
        <family val="3"/>
        <charset val="134"/>
      </rPr>
      <t>：根据需求划分为</t>
    </r>
    <r>
      <rPr>
        <sz val="10"/>
        <color rgb="FF000000"/>
        <rFont val="Arial"/>
        <family val="2"/>
      </rPr>
      <t>uit-repo</t>
    </r>
    <r>
      <rPr>
        <sz val="10"/>
        <color rgb="FF000000"/>
        <rFont val="宋体"/>
        <family val="3"/>
        <charset val="134"/>
      </rPr>
      <t>、</t>
    </r>
    <r>
      <rPr>
        <sz val="10"/>
        <color rgb="FF000000"/>
        <rFont val="Arial"/>
        <family val="2"/>
      </rPr>
      <t>uit-dist</t>
    </r>
    <r>
      <rPr>
        <sz val="10"/>
        <color rgb="FF000000"/>
        <rFont val="宋体"/>
        <family val="3"/>
        <charset val="134"/>
      </rPr>
      <t>、</t>
    </r>
    <r>
      <rPr>
        <sz val="10"/>
        <color rgb="FF000000"/>
        <rFont val="Arial"/>
        <family val="2"/>
      </rPr>
      <t>ui</t>
    </r>
    <r>
      <rPr>
        <sz val="10"/>
        <color rgb="FF000000"/>
        <rFont val="宋体"/>
        <family val="3"/>
        <charset val="134"/>
      </rPr>
      <t>、</t>
    </r>
    <r>
      <rPr>
        <sz val="10"/>
        <color rgb="FF000000"/>
        <rFont val="Arial"/>
        <family val="2"/>
      </rPr>
      <t>shader</t>
    </r>
    <r>
      <rPr>
        <sz val="10"/>
        <color rgb="FF000000"/>
        <rFont val="宋体"/>
        <family val="3"/>
        <charset val="134"/>
      </rPr>
      <t>。下周开始实施</t>
    </r>
    <r>
      <rPr>
        <sz val="10"/>
        <color rgb="FF000000"/>
        <rFont val="Arial"/>
        <family val="2"/>
      </rPr>
      <t xml:space="preserve">
2019-7-12</t>
    </r>
    <r>
      <rPr>
        <sz val="10"/>
        <color rgb="FF000000"/>
        <rFont val="宋体"/>
        <family val="3"/>
        <charset val="134"/>
      </rPr>
      <t>：建立三个组，</t>
    </r>
    <r>
      <rPr>
        <sz val="10"/>
        <color rgb="FF000000"/>
        <rFont val="Arial"/>
        <family val="2"/>
      </rPr>
      <t>packag</t>
    </r>
    <r>
      <rPr>
        <sz val="10"/>
        <color rgb="FF000000"/>
        <rFont val="宋体"/>
        <family val="3"/>
        <charset val="134"/>
      </rPr>
      <t>、</t>
    </r>
    <r>
      <rPr>
        <sz val="10"/>
        <color rgb="FF000000"/>
        <rFont val="Arial"/>
        <family val="2"/>
      </rPr>
      <t>ui</t>
    </r>
    <r>
      <rPr>
        <sz val="10"/>
        <color rgb="FF000000"/>
        <rFont val="宋体"/>
        <family val="3"/>
        <charset val="134"/>
      </rPr>
      <t>、</t>
    </r>
    <r>
      <rPr>
        <sz val="10"/>
        <color rgb="FF000000"/>
        <rFont val="Arial"/>
        <family val="2"/>
      </rPr>
      <t>platform-sdk</t>
    </r>
  </si>
  <si>
    <t>编译配置环境的统一：支持参数platform、baseline、debug|release、arch</t>
  </si>
  <si>
    <r>
      <rPr>
        <sz val="10"/>
        <color rgb="FF000000"/>
        <rFont val="Arial"/>
        <family val="2"/>
      </rPr>
      <t>2019-6-25</t>
    </r>
    <r>
      <rPr>
        <sz val="10"/>
        <color rgb="FF000000"/>
        <rFont val="宋体"/>
        <family val="3"/>
        <charset val="134"/>
      </rPr>
      <t>：</t>
    </r>
    <r>
      <rPr>
        <sz val="10"/>
        <color rgb="FF000000"/>
        <rFont val="Arial"/>
        <family val="2"/>
      </rPr>
      <t>7-2</t>
    </r>
    <r>
      <rPr>
        <sz val="10"/>
        <color rgb="FF000000"/>
        <rFont val="宋体"/>
        <family val="3"/>
        <charset val="134"/>
      </rPr>
      <t>开始</t>
    </r>
    <r>
      <rPr>
        <sz val="10"/>
        <color rgb="FF000000"/>
        <rFont val="Arial"/>
        <family val="2"/>
      </rPr>
      <t xml:space="preserve">
2019-7-19</t>
    </r>
    <r>
      <rPr>
        <sz val="10"/>
        <color rgb="FF000000"/>
        <rFont val="宋体"/>
        <family val="3"/>
        <charset val="134"/>
      </rPr>
      <t>：</t>
    </r>
  </si>
  <si>
    <r>
      <rPr>
        <sz val="11"/>
        <color rgb="FF000000"/>
        <rFont val="宋体"/>
        <family val="3"/>
        <charset val="134"/>
        <scheme val="minor"/>
      </rPr>
      <t>UIT第三方模块的管理：</t>
    </r>
    <r>
      <rPr>
        <sz val="11"/>
        <color rgb="FF000000"/>
        <rFont val="Arial"/>
        <family val="2"/>
      </rPr>
      <t>Poco</t>
    </r>
    <r>
      <rPr>
        <sz val="11"/>
        <color rgb="FF000000"/>
        <rFont val="宋体"/>
        <family val="3"/>
        <charset val="134"/>
        <scheme val="minor"/>
      </rPr>
      <t>、</t>
    </r>
    <r>
      <rPr>
        <sz val="11"/>
        <color rgb="FF000000"/>
        <rFont val="Arial"/>
        <family val="2"/>
      </rPr>
      <t>Qt</t>
    </r>
    <r>
      <rPr>
        <sz val="11"/>
        <color rgb="FF000000"/>
        <rFont val="宋体"/>
        <family val="3"/>
        <charset val="134"/>
        <scheme val="minor"/>
      </rPr>
      <t>、</t>
    </r>
    <r>
      <rPr>
        <sz val="11"/>
        <color rgb="FF000000"/>
        <rFont val="Arial"/>
        <family val="2"/>
      </rPr>
      <t>someip</t>
    </r>
    <r>
      <rPr>
        <sz val="11"/>
        <color rgb="FF000000"/>
        <rFont val="宋体"/>
        <family val="3"/>
        <charset val="134"/>
        <scheme val="minor"/>
      </rPr>
      <t>、</t>
    </r>
    <r>
      <rPr>
        <sz val="11"/>
        <color rgb="FF000000"/>
        <rFont val="Arial"/>
        <family val="2"/>
      </rPr>
      <t>boost</t>
    </r>
  </si>
  <si>
    <t>Su Zhifei/Pan Rongtao</t>
  </si>
  <si>
    <r>
      <rPr>
        <sz val="10"/>
        <color rgb="FF000000"/>
        <rFont val="Arial"/>
        <family val="2"/>
      </rPr>
      <t>2019-6-25</t>
    </r>
    <r>
      <rPr>
        <sz val="10"/>
        <color rgb="FF000000"/>
        <rFont val="宋体"/>
        <family val="3"/>
        <charset val="134"/>
      </rPr>
      <t>：</t>
    </r>
    <r>
      <rPr>
        <sz val="10"/>
        <color rgb="FF000000"/>
        <rFont val="Arial"/>
        <family val="2"/>
      </rPr>
      <t>SZF</t>
    </r>
    <r>
      <rPr>
        <sz val="10"/>
        <color rgb="FF000000"/>
        <rFont val="宋体"/>
        <family val="3"/>
        <charset val="134"/>
      </rPr>
      <t>开始编译</t>
    </r>
    <r>
      <rPr>
        <sz val="10"/>
        <color rgb="FF000000"/>
        <rFont val="Arial"/>
        <family val="2"/>
      </rPr>
      <t>Qt for win32, linux x11</t>
    </r>
    <r>
      <rPr>
        <sz val="10"/>
        <color rgb="FF000000"/>
        <rFont val="宋体"/>
        <family val="3"/>
        <charset val="134"/>
      </rPr>
      <t>，并使用</t>
    </r>
    <r>
      <rPr>
        <sz val="10"/>
        <color rgb="FF000000"/>
        <rFont val="Arial"/>
        <family val="2"/>
      </rPr>
      <t>cmake</t>
    </r>
    <r>
      <rPr>
        <sz val="10"/>
        <color rgb="FF000000"/>
        <rFont val="宋体"/>
        <family val="3"/>
        <charset val="134"/>
      </rPr>
      <t>构建测试</t>
    </r>
    <r>
      <rPr>
        <sz val="10"/>
        <color rgb="FF000000"/>
        <rFont val="Arial"/>
        <family val="2"/>
      </rPr>
      <t>qml</t>
    </r>
    <r>
      <rPr>
        <sz val="10"/>
        <color rgb="FF000000"/>
        <rFont val="宋体"/>
        <family val="3"/>
        <charset val="134"/>
      </rPr>
      <t>工程。剩余的</t>
    </r>
    <r>
      <rPr>
        <sz val="10"/>
        <color rgb="FF000000"/>
        <rFont val="Arial"/>
        <family val="2"/>
      </rPr>
      <t>arm</t>
    </r>
    <r>
      <rPr>
        <sz val="10"/>
        <color rgb="FF000000"/>
        <rFont val="宋体"/>
        <family val="3"/>
        <charset val="134"/>
      </rPr>
      <t>版本和</t>
    </r>
    <r>
      <rPr>
        <sz val="10"/>
        <color rgb="FF000000"/>
        <rFont val="Arial"/>
        <family val="2"/>
      </rPr>
      <t>qnx</t>
    </r>
    <r>
      <rPr>
        <sz val="10"/>
        <color rgb="FF000000"/>
        <rFont val="宋体"/>
        <family val="3"/>
        <charset val="134"/>
      </rPr>
      <t>版本第二周完成。</t>
    </r>
    <r>
      <rPr>
        <sz val="10"/>
        <color rgb="FF000000"/>
        <rFont val="Arial"/>
        <family val="2"/>
      </rPr>
      <t xml:space="preserve">
2019-7-8</t>
    </r>
    <r>
      <rPr>
        <sz val="10"/>
        <color rgb="FF000000"/>
        <rFont val="宋体"/>
        <family val="3"/>
        <charset val="134"/>
      </rPr>
      <t>：由于</t>
    </r>
    <r>
      <rPr>
        <sz val="10"/>
        <color rgb="FF000000"/>
        <rFont val="Arial"/>
        <family val="2"/>
      </rPr>
      <t>Qt</t>
    </r>
    <r>
      <rPr>
        <sz val="10"/>
        <color rgb="FF000000"/>
        <rFont val="宋体"/>
        <family val="3"/>
        <charset val="134"/>
      </rPr>
      <t>编译耗时久比较麻烦，由</t>
    </r>
    <r>
      <rPr>
        <sz val="10"/>
        <color rgb="FF000000"/>
        <rFont val="Arial"/>
        <family val="2"/>
      </rPr>
      <t>SZF</t>
    </r>
    <r>
      <rPr>
        <sz val="10"/>
        <color rgb="FF000000"/>
        <rFont val="宋体"/>
        <family val="3"/>
        <charset val="134"/>
      </rPr>
      <t>专门负责</t>
    </r>
    <r>
      <rPr>
        <sz val="10"/>
        <color rgb="FF000000"/>
        <rFont val="Arial"/>
        <family val="2"/>
      </rPr>
      <t>Qt</t>
    </r>
    <r>
      <rPr>
        <sz val="10"/>
        <color rgb="FF000000"/>
        <rFont val="宋体"/>
        <family val="3"/>
        <charset val="134"/>
      </rPr>
      <t>模块的编译管理；</t>
    </r>
    <r>
      <rPr>
        <sz val="10"/>
        <color rgb="FF000000"/>
        <rFont val="Arial"/>
        <family val="2"/>
      </rPr>
      <t>Poco</t>
    </r>
    <r>
      <rPr>
        <sz val="10"/>
        <color rgb="FF000000"/>
        <rFont val="宋体"/>
        <family val="3"/>
        <charset val="134"/>
      </rPr>
      <t>、</t>
    </r>
    <r>
      <rPr>
        <sz val="10"/>
        <color rgb="FF000000"/>
        <rFont val="Arial"/>
        <family val="2"/>
      </rPr>
      <t>someip</t>
    </r>
    <r>
      <rPr>
        <sz val="10"/>
        <color rgb="FF000000"/>
        <rFont val="宋体"/>
        <family val="3"/>
        <charset val="134"/>
      </rPr>
      <t>、</t>
    </r>
    <r>
      <rPr>
        <sz val="10"/>
        <color rgb="FF000000"/>
        <rFont val="Arial"/>
        <family val="2"/>
      </rPr>
      <t>boost</t>
    </r>
    <r>
      <rPr>
        <sz val="10"/>
        <color rgb="FF000000"/>
        <rFont val="宋体"/>
        <family val="3"/>
        <charset val="134"/>
      </rPr>
      <t>由</t>
    </r>
    <r>
      <rPr>
        <sz val="10"/>
        <color rgb="FF000000"/>
        <rFont val="Arial"/>
        <family val="2"/>
      </rPr>
      <t>PRT</t>
    </r>
    <r>
      <rPr>
        <sz val="10"/>
        <color rgb="FF000000"/>
        <rFont val="宋体"/>
        <family val="3"/>
        <charset val="134"/>
      </rPr>
      <t>负责。</t>
    </r>
    <r>
      <rPr>
        <sz val="10"/>
        <color rgb="FF000000"/>
        <rFont val="Arial"/>
        <family val="2"/>
      </rPr>
      <t xml:space="preserve">
2019-7-15</t>
    </r>
    <r>
      <rPr>
        <sz val="10"/>
        <color rgb="FF000000"/>
        <rFont val="宋体"/>
        <family val="3"/>
        <charset val="134"/>
      </rPr>
      <t>：</t>
    </r>
    <r>
      <rPr>
        <sz val="10"/>
        <color rgb="FF000000"/>
        <rFont val="Arial"/>
        <family val="2"/>
      </rPr>
      <t>Poco/someip/boost for win32, for linux-x11</t>
    </r>
    <r>
      <rPr>
        <sz val="10"/>
        <color rgb="FF000000"/>
        <rFont val="宋体"/>
        <family val="3"/>
        <charset val="134"/>
      </rPr>
      <t>已经完成；</t>
    </r>
    <r>
      <rPr>
        <sz val="10"/>
        <color rgb="FF000000"/>
        <rFont val="Arial"/>
        <family val="2"/>
      </rPr>
      <t>Qt for win32</t>
    </r>
    <r>
      <rPr>
        <sz val="10"/>
        <color rgb="FF000000"/>
        <rFont val="宋体"/>
        <family val="3"/>
        <charset val="134"/>
      </rPr>
      <t>已完成</t>
    </r>
    <r>
      <rPr>
        <sz val="10"/>
        <color rgb="FF000000"/>
        <rFont val="Arial"/>
        <family val="2"/>
      </rPr>
      <t xml:space="preserve">
2019-8-6</t>
    </r>
    <r>
      <rPr>
        <sz val="10"/>
        <color rgb="FF000000"/>
        <rFont val="宋体"/>
        <family val="3"/>
        <charset val="134"/>
      </rPr>
      <t>：</t>
    </r>
    <r>
      <rPr>
        <sz val="10"/>
        <color rgb="FF000000"/>
        <rFont val="Arial"/>
        <family val="2"/>
      </rPr>
      <t>win32</t>
    </r>
    <r>
      <rPr>
        <sz val="10"/>
        <color rgb="FF000000"/>
        <rFont val="宋体"/>
        <family val="3"/>
        <charset val="134"/>
      </rPr>
      <t>、</t>
    </r>
    <r>
      <rPr>
        <sz val="10"/>
        <color rgb="FF000000"/>
        <rFont val="Arial"/>
        <family val="2"/>
      </rPr>
      <t>linux-11</t>
    </r>
    <r>
      <rPr>
        <sz val="10"/>
        <color rgb="FF000000"/>
        <rFont val="宋体"/>
        <family val="3"/>
        <charset val="134"/>
      </rPr>
      <t>、</t>
    </r>
    <r>
      <rPr>
        <sz val="10"/>
        <color rgb="FF000000"/>
        <rFont val="Arial"/>
        <family val="2"/>
      </rPr>
      <t>linux-arm</t>
    </r>
    <r>
      <rPr>
        <sz val="10"/>
        <color rgb="FF000000"/>
        <rFont val="宋体"/>
        <family val="3"/>
        <charset val="134"/>
      </rPr>
      <t>、</t>
    </r>
    <r>
      <rPr>
        <sz val="10"/>
        <color rgb="FF000000"/>
        <rFont val="Arial"/>
        <family val="2"/>
      </rPr>
      <t>qnx-x86_64</t>
    </r>
    <r>
      <rPr>
        <sz val="10"/>
        <color rgb="FF000000"/>
        <rFont val="宋体"/>
        <family val="3"/>
        <charset val="134"/>
      </rPr>
      <t>、</t>
    </r>
    <r>
      <rPr>
        <sz val="10"/>
        <color rgb="FF000000"/>
        <rFont val="Arial"/>
        <family val="2"/>
      </rPr>
      <t>qnx-aarch64</t>
    </r>
    <r>
      <rPr>
        <sz val="10"/>
        <color rgb="FF000000"/>
        <rFont val="宋体"/>
        <family val="3"/>
        <charset val="134"/>
      </rPr>
      <t>全部编译完成</t>
    </r>
  </si>
  <si>
    <r>
      <rPr>
        <sz val="11"/>
        <color rgb="FF000000"/>
        <rFont val="Arial"/>
        <family val="2"/>
      </rPr>
      <t>UIT</t>
    </r>
    <r>
      <rPr>
        <sz val="11"/>
        <color rgb="FF000000"/>
        <rFont val="宋体"/>
        <family val="3"/>
        <charset val="134"/>
      </rPr>
      <t>运行时脚本</t>
    </r>
    <r>
      <rPr>
        <sz val="11"/>
        <color rgb="FF000000"/>
        <rFont val="Arial"/>
        <family val="2"/>
      </rPr>
      <t>for win32, linux, qnx</t>
    </r>
  </si>
  <si>
    <r>
      <rPr>
        <sz val="10"/>
        <color rgb="FF000000"/>
        <rFont val="Arial"/>
        <family val="2"/>
      </rPr>
      <t>2019-6-25</t>
    </r>
    <r>
      <rPr>
        <sz val="10"/>
        <color rgb="FF000000"/>
        <rFont val="宋体"/>
        <family val="3"/>
        <charset val="134"/>
      </rPr>
      <t>：</t>
    </r>
    <r>
      <rPr>
        <sz val="10"/>
        <color rgb="FF000000"/>
        <rFont val="Arial"/>
        <family val="2"/>
      </rPr>
      <t>8-1</t>
    </r>
    <r>
      <rPr>
        <sz val="10"/>
        <color rgb="FF000000"/>
        <rFont val="宋体"/>
        <family val="3"/>
        <charset val="134"/>
      </rPr>
      <t>开始</t>
    </r>
    <r>
      <rPr>
        <sz val="10"/>
        <color rgb="FF000000"/>
        <rFont val="Arial"/>
        <family val="2"/>
      </rPr>
      <t xml:space="preserve">
2019-7-8</t>
    </r>
    <r>
      <rPr>
        <sz val="10"/>
        <color rgb="FF000000"/>
        <rFont val="宋体"/>
        <family val="3"/>
        <charset val="134"/>
      </rPr>
      <t>：完成</t>
    </r>
    <r>
      <rPr>
        <sz val="10"/>
        <color rgb="FF000000"/>
        <rFont val="Arial"/>
        <family val="2"/>
      </rPr>
      <t>win32</t>
    </r>
    <r>
      <rPr>
        <sz val="10"/>
        <color rgb="FF000000"/>
        <rFont val="宋体"/>
        <family val="3"/>
        <charset val="134"/>
      </rPr>
      <t>版本</t>
    </r>
    <r>
      <rPr>
        <sz val="10"/>
        <color rgb="FF000000"/>
        <rFont val="Arial"/>
        <family val="2"/>
      </rPr>
      <t xml:space="preserve">
2019-7-15</t>
    </r>
    <r>
      <rPr>
        <sz val="10"/>
        <color rgb="FF000000"/>
        <rFont val="宋体"/>
        <family val="3"/>
        <charset val="134"/>
      </rPr>
      <t>：完成</t>
    </r>
    <r>
      <rPr>
        <sz val="10"/>
        <color rgb="FF000000"/>
        <rFont val="Arial"/>
        <family val="2"/>
      </rPr>
      <t>x11</t>
    </r>
    <r>
      <rPr>
        <sz val="10"/>
        <color rgb="FF000000"/>
        <rFont val="宋体"/>
        <family val="3"/>
        <charset val="134"/>
      </rPr>
      <t>版本</t>
    </r>
    <r>
      <rPr>
        <sz val="10"/>
        <color rgb="FF000000"/>
        <rFont val="Arial"/>
        <family val="2"/>
      </rPr>
      <t xml:space="preserve">
2019-8-6</t>
    </r>
    <r>
      <rPr>
        <sz val="10"/>
        <color rgb="FF000000"/>
        <rFont val="宋体"/>
        <family val="3"/>
        <charset val="134"/>
      </rPr>
      <t>：</t>
    </r>
    <r>
      <rPr>
        <sz val="10"/>
        <color rgb="FF000000"/>
        <rFont val="Arial"/>
        <family val="2"/>
      </rPr>
      <t>win32</t>
    </r>
    <r>
      <rPr>
        <sz val="10"/>
        <color rgb="FF000000"/>
        <rFont val="宋体"/>
        <family val="3"/>
        <charset val="134"/>
      </rPr>
      <t>、</t>
    </r>
    <r>
      <rPr>
        <sz val="10"/>
        <color rgb="FF000000"/>
        <rFont val="Arial"/>
        <family val="2"/>
      </rPr>
      <t>linux-11</t>
    </r>
    <r>
      <rPr>
        <sz val="10"/>
        <color rgb="FF000000"/>
        <rFont val="宋体"/>
        <family val="3"/>
        <charset val="134"/>
      </rPr>
      <t>、</t>
    </r>
    <r>
      <rPr>
        <sz val="10"/>
        <color rgb="FF000000"/>
        <rFont val="Arial"/>
        <family val="2"/>
      </rPr>
      <t>linux-arm</t>
    </r>
    <r>
      <rPr>
        <sz val="10"/>
        <color rgb="FF000000"/>
        <rFont val="宋体"/>
        <family val="3"/>
        <charset val="134"/>
      </rPr>
      <t>、</t>
    </r>
    <r>
      <rPr>
        <sz val="10"/>
        <color rgb="FF000000"/>
        <rFont val="Arial"/>
        <family val="2"/>
      </rPr>
      <t>qnx-x86_64</t>
    </r>
    <r>
      <rPr>
        <sz val="10"/>
        <color rgb="FF000000"/>
        <rFont val="宋体"/>
        <family val="3"/>
        <charset val="134"/>
      </rPr>
      <t>、</t>
    </r>
    <r>
      <rPr>
        <sz val="10"/>
        <color rgb="FF000000"/>
        <rFont val="Arial"/>
        <family val="2"/>
      </rPr>
      <t>qnx-aarch64</t>
    </r>
    <r>
      <rPr>
        <sz val="10"/>
        <color rgb="FF000000"/>
        <rFont val="宋体"/>
        <family val="3"/>
        <charset val="134"/>
      </rPr>
      <t>全部完成测试</t>
    </r>
  </si>
  <si>
    <t>优化uit log系统，支持所有系统，并支持文件log和全局开关</t>
  </si>
  <si>
    <t>中</t>
  </si>
  <si>
    <t>Pan Rongtao/All</t>
  </si>
  <si>
    <r>
      <rPr>
        <sz val="10"/>
        <color rgb="FF000000"/>
        <rFont val="Arial"/>
        <family val="2"/>
      </rPr>
      <t>2019-6-25</t>
    </r>
    <r>
      <rPr>
        <sz val="10"/>
        <color rgb="FF000000"/>
        <rFont val="宋体"/>
        <family val="3"/>
        <charset val="134"/>
      </rPr>
      <t>：</t>
    </r>
    <r>
      <rPr>
        <sz val="10"/>
        <color rgb="FF000000"/>
        <rFont val="Arial"/>
        <family val="2"/>
      </rPr>
      <t>7-15</t>
    </r>
    <r>
      <rPr>
        <sz val="10"/>
        <color rgb="FF000000"/>
        <rFont val="宋体"/>
        <family val="3"/>
        <charset val="134"/>
      </rPr>
      <t>开始</t>
    </r>
    <r>
      <rPr>
        <sz val="10"/>
        <color rgb="FF000000"/>
        <rFont val="Arial"/>
        <family val="2"/>
      </rPr>
      <t xml:space="preserve">
2019-7-22</t>
    </r>
    <r>
      <rPr>
        <sz val="10"/>
        <color rgb="FF000000"/>
        <rFont val="宋体"/>
        <family val="3"/>
        <charset val="134"/>
      </rPr>
      <t>：完成，放在</t>
    </r>
    <r>
      <rPr>
        <sz val="10"/>
        <color rgb="FF000000"/>
        <rFont val="Arial"/>
        <family val="2"/>
      </rPr>
      <t>uit/core</t>
    </r>
    <r>
      <rPr>
        <sz val="10"/>
        <color rgb="FF000000"/>
        <rFont val="宋体"/>
        <family val="3"/>
        <charset val="134"/>
      </rPr>
      <t xml:space="preserve">模块，需要大家使用
</t>
    </r>
    <r>
      <rPr>
        <sz val="10"/>
        <color rgb="FF000000"/>
        <rFont val="Arial"/>
        <family val="2"/>
      </rPr>
      <t>2019/8/19</t>
    </r>
    <r>
      <rPr>
        <sz val="10"/>
        <color rgb="FF000000"/>
        <rFont val="宋体"/>
        <family val="3"/>
        <charset val="134"/>
      </rPr>
      <t>：完成</t>
    </r>
  </si>
  <si>
    <t>统一UIT运行时路径，支持所有系统</t>
  </si>
  <si>
    <r>
      <rPr>
        <sz val="10"/>
        <rFont val="Arial"/>
        <family val="2"/>
      </rPr>
      <t>2019-6-25</t>
    </r>
    <r>
      <rPr>
        <sz val="10"/>
        <rFont val="宋体"/>
        <family val="3"/>
        <charset val="134"/>
      </rPr>
      <t>：</t>
    </r>
    <r>
      <rPr>
        <sz val="10"/>
        <rFont val="Arial"/>
        <family val="2"/>
      </rPr>
      <t>8-7</t>
    </r>
    <r>
      <rPr>
        <sz val="10"/>
        <rFont val="宋体"/>
        <family val="3"/>
        <charset val="134"/>
      </rPr>
      <t xml:space="preserve">开始
</t>
    </r>
    <r>
      <rPr>
        <sz val="10"/>
        <rFont val="Arial"/>
        <family val="2"/>
      </rPr>
      <t>2019/8/19</t>
    </r>
    <r>
      <rPr>
        <sz val="10"/>
        <rFont val="宋体"/>
        <family val="3"/>
        <charset val="134"/>
      </rPr>
      <t>：完成各平台</t>
    </r>
  </si>
  <si>
    <t>文档存放路径的优化，需考虑新人接入时完全不知道怎么做的情况</t>
  </si>
  <si>
    <r>
      <rPr>
        <sz val="10"/>
        <color rgb="FF000000"/>
        <rFont val="Arial"/>
        <family val="2"/>
      </rPr>
      <t>2019-6-25</t>
    </r>
    <r>
      <rPr>
        <sz val="10"/>
        <color rgb="FF000000"/>
        <rFont val="宋体"/>
        <family val="3"/>
        <charset val="134"/>
      </rPr>
      <t>：</t>
    </r>
    <r>
      <rPr>
        <sz val="10"/>
        <color rgb="FF000000"/>
        <rFont val="Arial"/>
        <family val="2"/>
      </rPr>
      <t>8-19</t>
    </r>
    <r>
      <rPr>
        <sz val="10"/>
        <color rgb="FF000000"/>
        <rFont val="宋体"/>
        <family val="3"/>
        <charset val="134"/>
      </rPr>
      <t xml:space="preserve">开始
</t>
    </r>
    <r>
      <rPr>
        <sz val="10"/>
        <color rgb="FF000000"/>
        <rFont val="Arial"/>
        <family val="2"/>
      </rPr>
      <t>2019/8/19</t>
    </r>
    <r>
      <rPr>
        <sz val="10"/>
        <color rgb="FF000000"/>
        <rFont val="宋体"/>
        <family val="3"/>
        <charset val="134"/>
      </rPr>
      <t>：提高文档重要性，单独建立一个数据库存放</t>
    </r>
  </si>
  <si>
    <t>UIT框架文档</t>
  </si>
  <si>
    <r>
      <rPr>
        <sz val="10"/>
        <rFont val="Arial"/>
        <family val="2"/>
      </rPr>
      <t>2018-8-6</t>
    </r>
    <r>
      <rPr>
        <sz val="10"/>
        <rFont val="宋体"/>
        <family val="3"/>
        <charset val="134"/>
      </rPr>
      <t xml:space="preserve">：本周完成
</t>
    </r>
    <r>
      <rPr>
        <sz val="10"/>
        <rFont val="Arial"/>
        <family val="2"/>
      </rPr>
      <t>2019/8/19</t>
    </r>
    <r>
      <rPr>
        <sz val="10"/>
        <rFont val="宋体"/>
        <family val="3"/>
        <charset val="134"/>
      </rPr>
      <t>：完成</t>
    </r>
  </si>
  <si>
    <t>图层管理</t>
  </si>
  <si>
    <t>Su Zhifei</t>
  </si>
  <si>
    <r>
      <rPr>
        <sz val="10"/>
        <rFont val="Arial"/>
        <family val="2"/>
      </rPr>
      <t>2019-8-19</t>
    </r>
    <r>
      <rPr>
        <sz val="10"/>
        <rFont val="宋体"/>
        <family val="3"/>
        <charset val="134"/>
      </rPr>
      <t xml:space="preserve">：本周开始
</t>
    </r>
    <r>
      <rPr>
        <sz val="10"/>
        <rFont val="Arial"/>
        <family val="2"/>
      </rPr>
      <t>2019-9-2</t>
    </r>
    <r>
      <rPr>
        <sz val="10"/>
        <rFont val="宋体"/>
        <family val="3"/>
        <charset val="134"/>
      </rPr>
      <t>：研究参照</t>
    </r>
    <r>
      <rPr>
        <sz val="10"/>
        <rFont val="Arial"/>
        <family val="2"/>
      </rPr>
      <t>g6s</t>
    </r>
    <r>
      <rPr>
        <sz val="10"/>
        <rFont val="宋体"/>
        <family val="3"/>
        <charset val="134"/>
      </rPr>
      <t xml:space="preserve">图层管理结构，本周开始设计与编码
</t>
    </r>
    <r>
      <rPr>
        <sz val="10"/>
        <rFont val="Arial"/>
        <family val="2"/>
      </rPr>
      <t>2019-9-16</t>
    </r>
    <r>
      <rPr>
        <sz val="10"/>
        <rFont val="宋体"/>
        <family val="3"/>
        <charset val="134"/>
      </rPr>
      <t>：接口与设计完成初步，正在编码。本周调试</t>
    </r>
    <r>
      <rPr>
        <sz val="10"/>
        <rFont val="Arial"/>
        <family val="2"/>
      </rPr>
      <t>qnx</t>
    </r>
    <r>
      <rPr>
        <sz val="10"/>
        <rFont val="宋体"/>
        <family val="3"/>
        <charset val="134"/>
      </rPr>
      <t xml:space="preserve">下的实现
</t>
    </r>
    <r>
      <rPr>
        <sz val="10"/>
        <rFont val="Arial"/>
        <family val="2"/>
      </rPr>
      <t>2019-10-8</t>
    </r>
    <r>
      <rPr>
        <sz val="10"/>
        <rFont val="宋体"/>
        <family val="3"/>
        <charset val="134"/>
      </rPr>
      <t xml:space="preserve">：编码完成，等待调试
</t>
    </r>
    <r>
      <rPr>
        <sz val="10"/>
        <rFont val="Arial"/>
        <family val="2"/>
      </rPr>
      <t>2019-10-21</t>
    </r>
    <r>
      <rPr>
        <sz val="10"/>
        <rFont val="宋体"/>
        <family val="3"/>
        <charset val="134"/>
      </rPr>
      <t xml:space="preserve">：单元测试优先级高，完成后再继续
</t>
    </r>
    <r>
      <rPr>
        <sz val="10"/>
        <rFont val="Arial"/>
        <family val="2"/>
      </rPr>
      <t>2019-11-4</t>
    </r>
    <r>
      <rPr>
        <sz val="10"/>
        <rFont val="宋体"/>
        <family val="3"/>
        <charset val="134"/>
      </rPr>
      <t xml:space="preserve">：下周继续，本周优先处理《技术大赛》
</t>
    </r>
    <r>
      <rPr>
        <sz val="10"/>
        <rFont val="Arial"/>
        <family val="2"/>
      </rPr>
      <t>2019-11-4</t>
    </r>
    <r>
      <rPr>
        <sz val="10"/>
        <rFont val="宋体"/>
        <family val="3"/>
        <charset val="134"/>
      </rPr>
      <t xml:space="preserve">：本周开始全力进行，预计两周完成
</t>
    </r>
    <r>
      <rPr>
        <sz val="10"/>
        <rFont val="Arial"/>
        <family val="2"/>
      </rPr>
      <t>2019-12-2</t>
    </r>
    <r>
      <rPr>
        <sz val="10"/>
        <rFont val="宋体"/>
        <family val="3"/>
        <charset val="134"/>
      </rPr>
      <t xml:space="preserve">：本周三发布第一个版本。
</t>
    </r>
    <r>
      <rPr>
        <sz val="10"/>
        <rFont val="Arial"/>
        <family val="2"/>
      </rPr>
      <t>2019-12-16</t>
    </r>
    <r>
      <rPr>
        <sz val="10"/>
        <rFont val="宋体"/>
        <family val="3"/>
        <charset val="134"/>
      </rPr>
      <t>：</t>
    </r>
    <r>
      <rPr>
        <sz val="10"/>
        <rFont val="Arial"/>
        <family val="2"/>
      </rPr>
      <t>QNX</t>
    </r>
    <r>
      <rPr>
        <sz val="10"/>
        <rFont val="宋体"/>
        <family val="3"/>
        <charset val="134"/>
      </rPr>
      <t>调试完毕，windows端周三完成。本周确定get方法方案。</t>
    </r>
    <r>
      <rPr>
        <sz val="10"/>
        <rFont val="Arial"/>
        <family val="2"/>
      </rPr>
      <t xml:space="preserve">
2020-2-10</t>
    </r>
    <r>
      <rPr>
        <sz val="10"/>
        <rFont val="宋体"/>
        <family val="3"/>
        <charset val="134"/>
      </rPr>
      <t>：get暂时无法做，不做get需求，目前暂无需求</t>
    </r>
  </si>
  <si>
    <t>针对G6SH的数据驱动 数据事件定义优化：并给出第一版本的Excel说明，输出给到kanzi开发，后期由kanzi开发维护</t>
  </si>
  <si>
    <r>
      <rPr>
        <sz val="10"/>
        <rFont val="Arial"/>
        <family val="2"/>
      </rPr>
      <t>2019-11-18</t>
    </r>
    <r>
      <rPr>
        <sz val="10"/>
        <rFont val="宋体"/>
        <family val="3"/>
        <charset val="134"/>
      </rPr>
      <t xml:space="preserve">：本周完成
</t>
    </r>
    <r>
      <rPr>
        <sz val="10"/>
        <rFont val="Arial"/>
        <family val="2"/>
      </rPr>
      <t>2019-12-2</t>
    </r>
    <r>
      <rPr>
        <sz val="10"/>
        <rFont val="宋体"/>
        <family val="3"/>
        <charset val="134"/>
      </rPr>
      <t>：完成，后续交由</t>
    </r>
    <r>
      <rPr>
        <sz val="10"/>
        <rFont val="Arial"/>
        <family val="2"/>
      </rPr>
      <t>KANZI</t>
    </r>
    <r>
      <rPr>
        <sz val="10"/>
        <rFont val="宋体"/>
        <family val="3"/>
        <charset val="134"/>
      </rPr>
      <t>团队维护</t>
    </r>
  </si>
  <si>
    <r>
      <rPr>
        <sz val="11"/>
        <color theme="1"/>
        <rFont val="Arial"/>
        <family val="2"/>
      </rPr>
      <t>G6SH</t>
    </r>
    <r>
      <rPr>
        <sz val="11"/>
        <color theme="1"/>
        <rFont val="宋体"/>
        <family val="3"/>
        <charset val="134"/>
      </rPr>
      <t>，协调</t>
    </r>
    <r>
      <rPr>
        <sz val="11"/>
        <color theme="1"/>
        <rFont val="Arial"/>
        <family val="2"/>
      </rPr>
      <t>MF</t>
    </r>
    <r>
      <rPr>
        <sz val="11"/>
        <color theme="1"/>
        <rFont val="宋体"/>
        <family val="3"/>
        <charset val="134"/>
      </rPr>
      <t>把</t>
    </r>
    <r>
      <rPr>
        <sz val="11"/>
        <color theme="1"/>
        <rFont val="Arial"/>
        <family val="2"/>
      </rPr>
      <t>UIT</t>
    </r>
    <r>
      <rPr>
        <sz val="11"/>
        <color theme="1"/>
        <rFont val="宋体"/>
        <family val="3"/>
        <charset val="134"/>
      </rPr>
      <t>框架部分提取出来，保证对外发布的一致性</t>
    </r>
  </si>
  <si>
    <r>
      <rPr>
        <sz val="10"/>
        <rFont val="Arial"/>
        <family val="2"/>
      </rPr>
      <t>2019-11-18</t>
    </r>
    <r>
      <rPr>
        <sz val="10"/>
        <rFont val="宋体"/>
        <family val="3"/>
        <charset val="134"/>
      </rPr>
      <t xml:space="preserve">：下周开始
</t>
    </r>
    <r>
      <rPr>
        <sz val="10"/>
        <rFont val="Arial"/>
        <family val="2"/>
      </rPr>
      <t>2019-12-2</t>
    </r>
    <r>
      <rPr>
        <sz val="10"/>
        <rFont val="宋体"/>
        <family val="3"/>
        <charset val="134"/>
      </rPr>
      <t>：kanzi部分未调整完成，等待完成后再找CM，预计明天处理完成。
2019-12-16：已协调服务器流程。</t>
    </r>
  </si>
  <si>
    <t>基本图形的绘制（三角形、圆、球等）、矩阵变换（模型变换、视图变换、颜色等）</t>
  </si>
  <si>
    <r>
      <rPr>
        <sz val="10"/>
        <rFont val="Arial"/>
        <family val="2"/>
      </rPr>
      <t>2019-8-6</t>
    </r>
    <r>
      <rPr>
        <sz val="10"/>
        <rFont val="宋体"/>
        <family val="3"/>
        <charset val="134"/>
      </rPr>
      <t xml:space="preserve">：下周开始
</t>
    </r>
    <r>
      <rPr>
        <sz val="10"/>
        <rFont val="Arial"/>
        <family val="2"/>
      </rPr>
      <t>2019-8-19</t>
    </r>
    <r>
      <rPr>
        <sz val="10"/>
        <rFont val="宋体"/>
        <family val="3"/>
        <charset val="134"/>
      </rPr>
      <t xml:space="preserve">：基本图形绘制展示完成，变换完成。还差球的绘制，本周完成
</t>
    </r>
    <r>
      <rPr>
        <sz val="10"/>
        <rFont val="Arial"/>
        <family val="2"/>
      </rPr>
      <t>2019-9-2</t>
    </r>
    <r>
      <rPr>
        <sz val="10"/>
        <rFont val="宋体"/>
        <family val="3"/>
        <charset val="134"/>
      </rPr>
      <t>：完成</t>
    </r>
  </si>
  <si>
    <t>立方体贴图，用代码覆盖知识点（深度测试、模板测试、面剔除、抗锯齿、混合、帧缓冲）的展示</t>
  </si>
  <si>
    <r>
      <rPr>
        <sz val="10"/>
        <rFont val="Arial"/>
        <family val="2"/>
      </rPr>
      <t>2019-8-19</t>
    </r>
    <r>
      <rPr>
        <sz val="10"/>
        <rFont val="宋体"/>
        <family val="3"/>
        <charset val="134"/>
      </rPr>
      <t xml:space="preserve">：本周开始
</t>
    </r>
    <r>
      <rPr>
        <sz val="10"/>
        <rFont val="Arial"/>
        <family val="2"/>
      </rPr>
      <t>2019-9-2</t>
    </r>
    <r>
      <rPr>
        <sz val="10"/>
        <rFont val="宋体"/>
        <family val="3"/>
        <charset val="134"/>
      </rPr>
      <t xml:space="preserve">：还差模板测试、帧缓冲这两天完成
</t>
    </r>
    <r>
      <rPr>
        <sz val="10"/>
        <rFont val="Arial"/>
        <family val="2"/>
      </rPr>
      <t>2019-9-16</t>
    </r>
    <r>
      <rPr>
        <sz val="10"/>
        <rFont val="宋体"/>
        <family val="3"/>
        <charset val="134"/>
      </rPr>
      <t>：完成</t>
    </r>
  </si>
  <si>
    <r>
      <rPr>
        <sz val="10.5"/>
        <color theme="1"/>
        <rFont val="Calibri"/>
        <family val="2"/>
      </rPr>
      <t>phong</t>
    </r>
    <r>
      <rPr>
        <sz val="10.5"/>
        <color theme="1"/>
        <rFont val="宋体"/>
        <family val="3"/>
        <charset val="134"/>
        <scheme val="minor"/>
      </rPr>
      <t>光照模型、展示光照的完整程序</t>
    </r>
  </si>
  <si>
    <r>
      <rPr>
        <sz val="10"/>
        <rFont val="Arial"/>
        <family val="2"/>
      </rPr>
      <t>2019-9-16</t>
    </r>
    <r>
      <rPr>
        <sz val="10"/>
        <rFont val="宋体"/>
        <family val="3"/>
        <charset val="134"/>
      </rPr>
      <t>：看了理论知识，下一步自己写</t>
    </r>
    <r>
      <rPr>
        <sz val="10"/>
        <rFont val="Arial"/>
        <family val="2"/>
      </rPr>
      <t>demo</t>
    </r>
    <r>
      <rPr>
        <sz val="10"/>
        <rFont val="宋体"/>
        <family val="3"/>
        <charset val="134"/>
      </rPr>
      <t xml:space="preserve">实现
</t>
    </r>
    <r>
      <rPr>
        <sz val="10"/>
        <rFont val="Arial"/>
        <family val="2"/>
      </rPr>
      <t>2019-12-16</t>
    </r>
    <r>
      <rPr>
        <sz val="10"/>
        <rFont val="宋体"/>
        <family val="3"/>
        <charset val="134"/>
      </rPr>
      <t>：</t>
    </r>
    <r>
      <rPr>
        <sz val="10"/>
        <rFont val="Arial"/>
        <family val="2"/>
      </rPr>
      <t>23</t>
    </r>
    <r>
      <rPr>
        <sz val="10"/>
        <rFont val="宋体"/>
        <family val="3"/>
        <charset val="134"/>
      </rPr>
      <t>号继续本任务，预计两周输出。</t>
    </r>
  </si>
  <si>
    <r>
      <rPr>
        <sz val="10.5"/>
        <color theme="1"/>
        <rFont val="宋体"/>
        <family val="3"/>
        <charset val="134"/>
        <scheme val="minor"/>
      </rPr>
      <t>文字渲染，使用</t>
    </r>
    <r>
      <rPr>
        <sz val="10.5"/>
        <color theme="1"/>
        <rFont val="Calibri"/>
        <family val="2"/>
      </rPr>
      <t>freeType</t>
    </r>
    <r>
      <rPr>
        <sz val="10.5"/>
        <color theme="1"/>
        <rFont val="宋体"/>
        <family val="3"/>
        <charset val="134"/>
        <scheme val="minor"/>
      </rPr>
      <t>渲染文字，展示完整程序</t>
    </r>
  </si>
  <si>
    <r>
      <rPr>
        <sz val="10"/>
        <rFont val="Arial"/>
        <family val="2"/>
      </rPr>
      <t>2019-9-16</t>
    </r>
    <r>
      <rPr>
        <sz val="10"/>
        <rFont val="宋体"/>
        <family val="3"/>
        <charset val="134"/>
      </rPr>
      <t>：等待光照模型完成</t>
    </r>
  </si>
  <si>
    <r>
      <rPr>
        <sz val="10.5"/>
        <color theme="1"/>
        <rFont val="宋体"/>
        <family val="3"/>
        <charset val="134"/>
        <scheme val="minor"/>
      </rPr>
      <t>使用</t>
    </r>
    <r>
      <rPr>
        <sz val="10.5"/>
        <color theme="1"/>
        <rFont val="Calibri"/>
        <family val="2"/>
      </rPr>
      <t>Assimp</t>
    </r>
    <r>
      <rPr>
        <sz val="10.5"/>
        <color theme="1"/>
        <rFont val="宋体"/>
        <family val="3"/>
        <charset val="134"/>
        <scheme val="minor"/>
      </rPr>
      <t>加载模型</t>
    </r>
  </si>
  <si>
    <t>展示简单粒子效果</t>
  </si>
  <si>
    <r>
      <rPr>
        <sz val="10.5"/>
        <color theme="1"/>
        <rFont val="宋体"/>
        <family val="3"/>
        <charset val="134"/>
        <scheme val="minor"/>
      </rPr>
      <t>高级数据、高级光照、高级</t>
    </r>
    <r>
      <rPr>
        <sz val="10.5"/>
        <color theme="1"/>
        <rFont val="Calibri"/>
        <family val="2"/>
      </rPr>
      <t>GLSL</t>
    </r>
    <r>
      <rPr>
        <sz val="10.5"/>
        <color theme="1"/>
        <rFont val="宋体"/>
        <family val="3"/>
        <charset val="134"/>
        <scheme val="minor"/>
      </rPr>
      <t>、几何着色器、实例化</t>
    </r>
    <r>
      <rPr>
        <sz val="10.5"/>
        <color theme="1"/>
        <rFont val="Calibri"/>
        <family val="2"/>
      </rPr>
      <t>     ---</t>
    </r>
    <r>
      <rPr>
        <sz val="10.5"/>
        <color theme="1"/>
        <rFont val="宋体"/>
        <family val="3"/>
        <charset val="134"/>
        <scheme val="minor"/>
      </rPr>
      <t>暂时作为了解，先了解原理</t>
    </r>
  </si>
  <si>
    <t>确认项目开发周期慢的原因（UIT相关）</t>
  </si>
  <si>
    <r>
      <rPr>
        <sz val="10"/>
        <rFont val="Arial"/>
        <family val="2"/>
      </rPr>
      <t>2019/6/25</t>
    </r>
    <r>
      <rPr>
        <sz val="10"/>
        <rFont val="宋体"/>
        <family val="3"/>
        <charset val="134"/>
      </rPr>
      <t>：</t>
    </r>
    <r>
      <rPr>
        <sz val="10"/>
        <rFont val="Arial"/>
        <family val="2"/>
      </rPr>
      <t xml:space="preserve">8-1 </t>
    </r>
    <r>
      <rPr>
        <sz val="10"/>
        <rFont val="宋体"/>
        <family val="3"/>
        <charset val="134"/>
      </rPr>
      <t xml:space="preserve">开始
</t>
    </r>
    <r>
      <rPr>
        <sz val="10"/>
        <rFont val="Arial"/>
        <family val="2"/>
      </rPr>
      <t>2019/8/19</t>
    </r>
    <r>
      <rPr>
        <sz val="10"/>
        <rFont val="宋体"/>
        <family val="3"/>
        <charset val="134"/>
      </rPr>
      <t>：</t>
    </r>
    <r>
      <rPr>
        <sz val="10"/>
        <rFont val="Arial"/>
        <family val="2"/>
      </rPr>
      <t>SZF</t>
    </r>
    <r>
      <rPr>
        <sz val="10"/>
        <rFont val="宋体"/>
        <family val="3"/>
        <charset val="134"/>
      </rPr>
      <t>已经与</t>
    </r>
    <r>
      <rPr>
        <sz val="10"/>
        <rFont val="Arial"/>
        <family val="2"/>
      </rPr>
      <t>RN1</t>
    </r>
    <r>
      <rPr>
        <sz val="10"/>
        <rFont val="宋体"/>
        <family val="3"/>
        <charset val="134"/>
      </rPr>
      <t>相关同事了解：与数据驱动相关的问题较少，时间花在</t>
    </r>
    <r>
      <rPr>
        <sz val="10"/>
        <rFont val="Arial"/>
        <family val="2"/>
      </rPr>
      <t xml:space="preserve">KANZI </t>
    </r>
    <r>
      <rPr>
        <sz val="10"/>
        <rFont val="宋体"/>
        <family val="3"/>
        <charset val="134"/>
      </rPr>
      <t>插件和</t>
    </r>
    <r>
      <rPr>
        <sz val="10"/>
        <rFont val="Arial"/>
        <family val="2"/>
      </rPr>
      <t xml:space="preserve">KANZI </t>
    </r>
    <r>
      <rPr>
        <sz val="10"/>
        <rFont val="宋体"/>
        <family val="3"/>
        <charset val="134"/>
      </rPr>
      <t>工程。如有需要，后续</t>
    </r>
    <r>
      <rPr>
        <sz val="10"/>
        <rFont val="Arial"/>
        <family val="2"/>
      </rPr>
      <t>UIT</t>
    </r>
    <r>
      <rPr>
        <sz val="10"/>
        <rFont val="宋体"/>
        <family val="3"/>
        <charset val="134"/>
      </rPr>
      <t>内部再针对此反馈进行讨论。</t>
    </r>
    <r>
      <rPr>
        <sz val="10"/>
        <rFont val="Arial"/>
        <family val="2"/>
      </rPr>
      <t xml:space="preserve">
2019-9-16</t>
    </r>
    <r>
      <rPr>
        <sz val="10"/>
        <rFont val="宋体"/>
        <family val="3"/>
        <charset val="134"/>
      </rPr>
      <t>：</t>
    </r>
    <r>
      <rPr>
        <sz val="10"/>
        <rFont val="Arial"/>
        <family val="2"/>
      </rPr>
      <t>IVI</t>
    </r>
    <r>
      <rPr>
        <sz val="10"/>
        <rFont val="宋体"/>
        <family val="3"/>
        <charset val="134"/>
      </rPr>
      <t>项目让项目自己维护数据事件；</t>
    </r>
    <r>
      <rPr>
        <sz val="10"/>
        <rFont val="Arial"/>
        <family val="2"/>
      </rPr>
      <t>BIC</t>
    </r>
    <r>
      <rPr>
        <sz val="10"/>
        <rFont val="宋体"/>
        <family val="3"/>
        <charset val="134"/>
      </rPr>
      <t>第一个项目由</t>
    </r>
    <r>
      <rPr>
        <sz val="10"/>
        <rFont val="Arial"/>
        <family val="2"/>
      </rPr>
      <t>UIT</t>
    </r>
    <r>
      <rPr>
        <sz val="10"/>
        <rFont val="宋体"/>
        <family val="3"/>
        <charset val="134"/>
      </rPr>
      <t>定义，保持迭代</t>
    </r>
  </si>
  <si>
    <t>评估Altia（从数据驱动、customer shader、粒子效果，以及工具的易用性等方面）</t>
  </si>
  <si>
    <r>
      <rPr>
        <strike/>
        <sz val="10"/>
        <rFont val="Arial"/>
        <family val="2"/>
      </rPr>
      <t>2019-8-19:</t>
    </r>
    <r>
      <rPr>
        <strike/>
        <sz val="10"/>
        <rFont val="宋体"/>
        <family val="3"/>
        <charset val="134"/>
      </rPr>
      <t>挂起</t>
    </r>
  </si>
  <si>
    <t>单元测试</t>
  </si>
  <si>
    <r>
      <rPr>
        <sz val="10"/>
        <rFont val="Arial"/>
        <family val="2"/>
      </rPr>
      <t>2019-8-19</t>
    </r>
    <r>
      <rPr>
        <sz val="10"/>
        <rFont val="宋体"/>
        <family val="3"/>
        <charset val="134"/>
      </rPr>
      <t xml:space="preserve">：供应商解决了编译问题，链接问题未解决等待反馈
</t>
    </r>
    <r>
      <rPr>
        <sz val="10"/>
        <rFont val="Arial"/>
        <family val="2"/>
      </rPr>
      <t>2019-9-2</t>
    </r>
    <r>
      <rPr>
        <sz val="10"/>
        <rFont val="宋体"/>
        <family val="3"/>
        <charset val="134"/>
      </rPr>
      <t xml:space="preserve">：供应商问题已经解决，现在做文本控件单元测试，预计本周完成
</t>
    </r>
    <r>
      <rPr>
        <sz val="10"/>
        <rFont val="Arial"/>
        <family val="2"/>
      </rPr>
      <t>2019-9-16</t>
    </r>
    <r>
      <rPr>
        <sz val="10"/>
        <rFont val="宋体"/>
        <family val="3"/>
        <charset val="134"/>
      </rPr>
      <t>：已经跟</t>
    </r>
    <r>
      <rPr>
        <sz val="10"/>
        <rFont val="Arial"/>
        <family val="2"/>
      </rPr>
      <t>kanzi</t>
    </r>
    <r>
      <rPr>
        <sz val="10"/>
        <rFont val="宋体"/>
        <family val="3"/>
        <charset val="134"/>
      </rPr>
      <t>做了反馈，</t>
    </r>
    <r>
      <rPr>
        <sz val="10"/>
        <rFont val="Arial"/>
        <family val="2"/>
      </rPr>
      <t>kanzi</t>
    </r>
    <r>
      <rPr>
        <sz val="10"/>
        <rFont val="宋体"/>
        <family val="3"/>
        <charset val="134"/>
      </rPr>
      <t>还没回复。自己也再做一些尝试看能否把</t>
    </r>
    <r>
      <rPr>
        <sz val="10"/>
        <rFont val="Arial"/>
        <family val="2"/>
      </rPr>
      <t>kanzi</t>
    </r>
    <r>
      <rPr>
        <sz val="10"/>
        <rFont val="宋体"/>
        <family val="3"/>
        <charset val="134"/>
      </rPr>
      <t xml:space="preserve">代码嵌入到单元测试中
</t>
    </r>
    <r>
      <rPr>
        <sz val="10"/>
        <rFont val="Arial"/>
        <family val="2"/>
      </rPr>
      <t>2019-10-8</t>
    </r>
    <r>
      <rPr>
        <sz val="10"/>
        <rFont val="宋体"/>
        <family val="3"/>
        <charset val="134"/>
      </rPr>
      <t>：由于</t>
    </r>
    <r>
      <rPr>
        <sz val="10"/>
        <rFont val="Arial"/>
        <family val="2"/>
      </rPr>
      <t>kanzi</t>
    </r>
    <r>
      <rPr>
        <sz val="10"/>
        <rFont val="宋体"/>
        <family val="3"/>
        <charset val="134"/>
      </rPr>
      <t>与</t>
    </r>
    <r>
      <rPr>
        <sz val="10"/>
        <rFont val="Arial"/>
        <family val="2"/>
      </rPr>
      <t>testcpp</t>
    </r>
    <r>
      <rPr>
        <sz val="10"/>
        <rFont val="宋体"/>
        <family val="3"/>
        <charset val="134"/>
      </rPr>
      <t>都是封闭框架，因此测试案例覆盖率低下的问题已经无法解决。此研究以此结论结束，后续再研究其他测试框架比如</t>
    </r>
    <r>
      <rPr>
        <sz val="10"/>
        <rFont val="Arial"/>
        <family val="2"/>
      </rPr>
      <t>gtest</t>
    </r>
  </si>
  <si>
    <r>
      <rPr>
        <sz val="11"/>
        <color theme="1"/>
        <rFont val="Arial"/>
        <family val="2"/>
      </rPr>
      <t>MyCar demo</t>
    </r>
    <r>
      <rPr>
        <sz val="11"/>
        <color theme="1"/>
        <rFont val="宋体"/>
        <family val="3"/>
        <charset val="134"/>
      </rPr>
      <t>云服务</t>
    </r>
  </si>
  <si>
    <r>
      <rPr>
        <sz val="10"/>
        <rFont val="Arial"/>
        <family val="2"/>
      </rPr>
      <t>2019-9-16</t>
    </r>
    <r>
      <rPr>
        <sz val="10"/>
        <rFont val="宋体"/>
        <family val="3"/>
        <charset val="134"/>
      </rPr>
      <t>：云服务程序，划分为账号子系统、</t>
    </r>
    <r>
      <rPr>
        <sz val="10"/>
        <rFont val="Arial"/>
        <family val="2"/>
      </rPr>
      <t>IM</t>
    </r>
    <r>
      <rPr>
        <sz val="10"/>
        <rFont val="宋体"/>
        <family val="3"/>
        <charset val="134"/>
      </rPr>
      <t xml:space="preserve">及时通信子系统、我的车子系统。
</t>
    </r>
    <r>
      <rPr>
        <sz val="10"/>
        <rFont val="Arial"/>
        <family val="2"/>
      </rPr>
      <t>2019-10-8</t>
    </r>
    <r>
      <rPr>
        <sz val="10"/>
        <rFont val="宋体"/>
        <family val="3"/>
        <charset val="134"/>
      </rPr>
      <t>：服务端初步完成了账号子系统、终端子系统、剩下</t>
    </r>
    <r>
      <rPr>
        <sz val="10"/>
        <rFont val="Arial"/>
        <family val="2"/>
      </rPr>
      <t>IM</t>
    </r>
    <r>
      <rPr>
        <sz val="10"/>
        <rFont val="宋体"/>
        <family val="3"/>
        <charset val="134"/>
      </rPr>
      <t xml:space="preserve">即时通讯子系统
</t>
    </r>
    <r>
      <rPr>
        <sz val="10"/>
        <rFont val="Arial"/>
        <family val="2"/>
      </rPr>
      <t>2019-10-21</t>
    </r>
    <r>
      <rPr>
        <sz val="10"/>
        <rFont val="宋体"/>
        <family val="3"/>
        <charset val="134"/>
      </rPr>
      <t xml:space="preserve">：基本完成
</t>
    </r>
    <r>
      <rPr>
        <sz val="10"/>
        <rFont val="Arial"/>
        <family val="2"/>
      </rPr>
      <t>2019-11-4</t>
    </r>
    <r>
      <rPr>
        <sz val="10"/>
        <rFont val="宋体"/>
        <family val="3"/>
        <charset val="134"/>
      </rPr>
      <t>：完成并展示，等待后续应用</t>
    </r>
  </si>
  <si>
    <r>
      <rPr>
        <sz val="11"/>
        <color theme="1"/>
        <rFont val="Arial"/>
        <family val="2"/>
      </rPr>
      <t>MyCar demo PC</t>
    </r>
    <r>
      <rPr>
        <sz val="11"/>
        <color theme="1"/>
        <rFont val="宋体"/>
        <family val="3"/>
        <charset val="134"/>
      </rPr>
      <t>客户端</t>
    </r>
  </si>
  <si>
    <r>
      <rPr>
        <sz val="10"/>
        <rFont val="Arial"/>
        <family val="2"/>
      </rPr>
      <t>2019-9-16</t>
    </r>
    <r>
      <rPr>
        <sz val="10"/>
        <rFont val="宋体"/>
        <family val="3"/>
        <charset val="134"/>
      </rPr>
      <t>：使用</t>
    </r>
    <r>
      <rPr>
        <sz val="10"/>
        <rFont val="Arial"/>
        <family val="2"/>
      </rPr>
      <t>Qt</t>
    </r>
    <r>
      <rPr>
        <sz val="10"/>
        <rFont val="宋体"/>
        <family val="3"/>
        <charset val="134"/>
      </rPr>
      <t xml:space="preserve">做客户端界面
</t>
    </r>
    <r>
      <rPr>
        <sz val="10"/>
        <rFont val="Arial"/>
        <family val="2"/>
      </rPr>
      <t>2019-10-8</t>
    </r>
    <r>
      <rPr>
        <sz val="10"/>
        <rFont val="宋体"/>
        <family val="3"/>
        <charset val="134"/>
      </rPr>
      <t xml:space="preserve">：完成了账号子系统的调试
</t>
    </r>
    <r>
      <rPr>
        <sz val="10"/>
        <rFont val="Arial"/>
        <family val="2"/>
      </rPr>
      <t>2019-10-21</t>
    </r>
    <r>
      <rPr>
        <sz val="10"/>
        <rFont val="宋体"/>
        <family val="3"/>
        <charset val="134"/>
      </rPr>
      <t>：基本完成全功能调试，再完善</t>
    </r>
    <r>
      <rPr>
        <sz val="10"/>
        <rFont val="Arial"/>
        <family val="2"/>
      </rPr>
      <t>UI</t>
    </r>
    <r>
      <rPr>
        <sz val="10"/>
        <rFont val="宋体"/>
        <family val="3"/>
        <charset val="134"/>
      </rPr>
      <t>细节</t>
    </r>
  </si>
  <si>
    <r>
      <rPr>
        <sz val="11"/>
        <color theme="1"/>
        <rFont val="Arial"/>
        <family val="2"/>
      </rPr>
      <t xml:space="preserve">MyCar demo </t>
    </r>
    <r>
      <rPr>
        <sz val="11"/>
        <color theme="1"/>
        <rFont val="宋体"/>
        <family val="3"/>
        <charset val="134"/>
      </rPr>
      <t>车机客户端</t>
    </r>
  </si>
  <si>
    <r>
      <rPr>
        <sz val="10"/>
        <rFont val="Arial"/>
        <family val="2"/>
      </rPr>
      <t>2019-9-16</t>
    </r>
    <r>
      <rPr>
        <sz val="10"/>
        <rFont val="宋体"/>
        <family val="3"/>
        <charset val="134"/>
      </rPr>
      <t>：使用</t>
    </r>
    <r>
      <rPr>
        <sz val="10"/>
        <rFont val="Arial"/>
        <family val="2"/>
      </rPr>
      <t>Qt</t>
    </r>
    <r>
      <rPr>
        <sz val="10"/>
        <rFont val="宋体"/>
        <family val="3"/>
        <charset val="134"/>
      </rPr>
      <t xml:space="preserve">做客户端界面
</t>
    </r>
    <r>
      <rPr>
        <sz val="10"/>
        <rFont val="Arial"/>
        <family val="2"/>
      </rPr>
      <t>2019-10-8</t>
    </r>
    <r>
      <rPr>
        <sz val="10"/>
        <rFont val="宋体"/>
        <family val="3"/>
        <charset val="134"/>
      </rPr>
      <t xml:space="preserve">：初步移植到车机，未有功能调试
</t>
    </r>
    <r>
      <rPr>
        <sz val="10"/>
        <rFont val="Arial"/>
        <family val="2"/>
      </rPr>
      <t>2019-10-21</t>
    </r>
    <r>
      <rPr>
        <sz val="10"/>
        <rFont val="宋体"/>
        <family val="3"/>
        <charset val="134"/>
      </rPr>
      <t>：基本完成全功能调试，再完善</t>
    </r>
    <r>
      <rPr>
        <sz val="10"/>
        <rFont val="Arial"/>
        <family val="2"/>
      </rPr>
      <t>UI</t>
    </r>
    <r>
      <rPr>
        <sz val="10"/>
        <rFont val="宋体"/>
        <family val="3"/>
        <charset val="134"/>
      </rPr>
      <t>细节
2019-11-4：完成并展示，等待后续应用</t>
    </r>
  </si>
  <si>
    <r>
      <rPr>
        <sz val="11"/>
        <color theme="1"/>
        <rFont val="Arial"/>
        <family val="2"/>
      </rPr>
      <t xml:space="preserve">MyCar demo </t>
    </r>
    <r>
      <rPr>
        <sz val="11"/>
        <color theme="1"/>
        <rFont val="宋体"/>
        <family val="3"/>
        <charset val="134"/>
      </rPr>
      <t>手机</t>
    </r>
    <r>
      <rPr>
        <sz val="11"/>
        <color theme="1"/>
        <rFont val="Arial"/>
        <family val="2"/>
      </rPr>
      <t>Android</t>
    </r>
    <r>
      <rPr>
        <sz val="11"/>
        <color theme="1"/>
        <rFont val="宋体"/>
        <family val="3"/>
        <charset val="134"/>
      </rPr>
      <t>客户端</t>
    </r>
  </si>
  <si>
    <t xml:space="preserve">Su Zhifei/Pan Rongtao </t>
  </si>
  <si>
    <r>
      <rPr>
        <sz val="10"/>
        <rFont val="Arial"/>
        <family val="2"/>
      </rPr>
      <t>2019-9-16</t>
    </r>
    <r>
      <rPr>
        <sz val="10"/>
        <rFont val="宋体"/>
        <family val="3"/>
        <charset val="134"/>
      </rPr>
      <t xml:space="preserve">：方案待定
</t>
    </r>
    <r>
      <rPr>
        <sz val="10"/>
        <rFont val="Arial"/>
        <family val="2"/>
      </rPr>
      <t>2019-10-8</t>
    </r>
    <r>
      <rPr>
        <sz val="10"/>
        <rFont val="宋体"/>
        <family val="3"/>
        <charset val="134"/>
      </rPr>
      <t>：使用</t>
    </r>
    <r>
      <rPr>
        <sz val="10"/>
        <rFont val="Arial"/>
        <family val="2"/>
      </rPr>
      <t>Qt</t>
    </r>
    <r>
      <rPr>
        <sz val="10"/>
        <rFont val="宋体"/>
        <family val="3"/>
        <charset val="134"/>
      </rPr>
      <t xml:space="preserve">方案移植，初步运行成功，未有实际功能的调试
</t>
    </r>
    <r>
      <rPr>
        <sz val="10"/>
        <rFont val="Arial"/>
        <family val="2"/>
      </rPr>
      <t>2019-10-21</t>
    </r>
    <r>
      <rPr>
        <sz val="10"/>
        <rFont val="宋体"/>
        <family val="3"/>
        <charset val="134"/>
      </rPr>
      <t>：已在</t>
    </r>
    <r>
      <rPr>
        <sz val="10"/>
        <rFont val="Arial"/>
        <family val="2"/>
      </rPr>
      <t>Android</t>
    </r>
    <r>
      <rPr>
        <sz val="10"/>
        <rFont val="宋体"/>
        <family val="3"/>
        <charset val="134"/>
      </rPr>
      <t xml:space="preserve">模拟器完成基本调试，本周完成实机的全部测试
2019-11-4：完成并展示，等待后续应用
</t>
    </r>
  </si>
  <si>
    <t>研究主流单元测试方案，替换CPPTest</t>
  </si>
  <si>
    <r>
      <rPr>
        <sz val="10"/>
        <rFont val="Arial"/>
        <family val="2"/>
      </rPr>
      <t>2019-10-8</t>
    </r>
    <r>
      <rPr>
        <sz val="10"/>
        <rFont val="宋体"/>
        <family val="3"/>
        <charset val="134"/>
      </rPr>
      <t xml:space="preserve">：本周给出计划
</t>
    </r>
    <r>
      <rPr>
        <sz val="10"/>
        <rFont val="Arial"/>
        <family val="2"/>
      </rPr>
      <t>2019-10-21</t>
    </r>
    <r>
      <rPr>
        <sz val="10"/>
        <rFont val="宋体"/>
        <family val="3"/>
        <charset val="134"/>
      </rPr>
      <t>：研究</t>
    </r>
    <r>
      <rPr>
        <sz val="10"/>
        <rFont val="Arial"/>
        <family val="2"/>
      </rPr>
      <t>gtest</t>
    </r>
    <r>
      <rPr>
        <sz val="10"/>
        <rFont val="宋体"/>
        <family val="3"/>
        <charset val="134"/>
      </rPr>
      <t>，基本问题不大，可以测试之前</t>
    </r>
    <r>
      <rPr>
        <sz val="10"/>
        <rFont val="Arial"/>
        <family val="2"/>
      </rPr>
      <t>CPPTest</t>
    </r>
    <r>
      <rPr>
        <sz val="10"/>
        <rFont val="宋体"/>
        <family val="3"/>
        <charset val="134"/>
      </rPr>
      <t>无法达成的测试</t>
    </r>
    <r>
      <rPr>
        <sz val="10"/>
        <rFont val="Arial"/>
        <family val="2"/>
      </rPr>
      <t>case</t>
    </r>
    <r>
      <rPr>
        <sz val="10"/>
        <rFont val="宋体"/>
        <family val="3"/>
        <charset val="134"/>
      </rPr>
      <t>。本周完成</t>
    </r>
    <r>
      <rPr>
        <sz val="10"/>
        <rFont val="Arial"/>
        <family val="2"/>
      </rPr>
      <t>TextBrowser</t>
    </r>
    <r>
      <rPr>
        <sz val="10"/>
        <rFont val="宋体"/>
        <family val="3"/>
        <charset val="134"/>
      </rPr>
      <t xml:space="preserve">控件的流程测试
</t>
    </r>
    <r>
      <rPr>
        <sz val="10"/>
        <rFont val="Arial"/>
        <family val="2"/>
      </rPr>
      <t>2019-11-4</t>
    </r>
    <r>
      <rPr>
        <sz val="10"/>
        <rFont val="宋体"/>
        <family val="3"/>
        <charset val="134"/>
      </rPr>
      <t>：</t>
    </r>
    <r>
      <rPr>
        <sz val="10"/>
        <rFont val="Arial"/>
        <family val="2"/>
      </rPr>
      <t>TextBrowser</t>
    </r>
    <r>
      <rPr>
        <sz val="10"/>
        <rFont val="宋体"/>
        <family val="3"/>
        <charset val="134"/>
      </rPr>
      <t>已经可达成</t>
    </r>
    <r>
      <rPr>
        <sz val="10"/>
        <rFont val="Arial"/>
        <family val="2"/>
      </rPr>
      <t>80%+</t>
    </r>
    <r>
      <rPr>
        <sz val="10"/>
        <rFont val="宋体"/>
        <family val="3"/>
        <charset val="134"/>
      </rPr>
      <t>的覆盖率，该控件的工作到此结束。后续跟进其他控件的使用和支持。</t>
    </r>
  </si>
  <si>
    <t>窗口系统</t>
  </si>
  <si>
    <t>【3rdparty|窗口系统】</t>
  </si>
  <si>
    <r>
      <rPr>
        <sz val="11"/>
        <color theme="1"/>
        <rFont val="Arial"/>
        <family val="2"/>
      </rPr>
      <t>glfw</t>
    </r>
    <r>
      <rPr>
        <sz val="11"/>
        <color theme="1"/>
        <rFont val="宋体"/>
        <family val="3"/>
        <charset val="134"/>
      </rPr>
      <t>多平台编译与测试（Windows、LINUX-X11、linux-arm、qnx、MAC）</t>
    </r>
  </si>
  <si>
    <r>
      <t>2020-1-7</t>
    </r>
    <r>
      <rPr>
        <sz val="10"/>
        <rFont val="宋体"/>
        <family val="3"/>
        <charset val="134"/>
      </rPr>
      <t>：下周开始</t>
    </r>
    <r>
      <rPr>
        <sz val="10"/>
        <rFont val="Arial"/>
        <family val="2"/>
      </rPr>
      <t xml:space="preserve">
2020-2-10</t>
    </r>
    <r>
      <rPr>
        <sz val="10"/>
        <rFont val="宋体"/>
        <family val="3"/>
        <charset val="134"/>
      </rPr>
      <t>：windows、linux-x11已结测试调试通过，目前编译glfw for linux-arm，遇到g6s环境Wayland版本过低的问题，需要自己编译新版本的Wayland for amr
2020-2-24：支持windows/linux-x11/linux-arm/Mac/，</t>
    </r>
    <r>
      <rPr>
        <sz val="10"/>
        <rFont val="Arial"/>
        <family val="2"/>
      </rPr>
      <t>QNX</t>
    </r>
    <r>
      <rPr>
        <sz val="10"/>
        <rFont val="宋体"/>
        <family val="3"/>
        <charset val="134"/>
      </rPr>
      <t>不支持，</t>
    </r>
    <r>
      <rPr>
        <sz val="10"/>
        <color theme="3" tint="0.59999389629810485"/>
        <rFont val="宋体"/>
        <family val="3"/>
        <charset val="134"/>
      </rPr>
      <t>linux-arm尝试多次后编译不过，后续由PRT接手，本任务挂起</t>
    </r>
    <r>
      <rPr>
        <sz val="10"/>
        <rFont val="宋体"/>
        <family val="3"/>
        <charset val="134"/>
      </rPr>
      <t>。</t>
    </r>
  </si>
  <si>
    <t>【熟悉框架】</t>
  </si>
  <si>
    <t>研究现有newbrush结构，并提出探讨性问题</t>
  </si>
  <si>
    <t>【gui|UIElement】</t>
  </si>
  <si>
    <r>
      <rPr>
        <sz val="11"/>
        <color theme="1"/>
        <rFont val="Arial"/>
        <family val="2"/>
      </rPr>
      <t>UIElement</t>
    </r>
    <r>
      <rPr>
        <sz val="11"/>
        <color theme="1"/>
        <rFont val="宋体"/>
        <family val="3"/>
        <charset val="134"/>
      </rPr>
      <t>基类完善所有的属性和事件</t>
    </r>
  </si>
  <si>
    <r>
      <rPr>
        <sz val="10"/>
        <rFont val="Arial"/>
        <family val="2"/>
      </rPr>
      <t>2020-1-7</t>
    </r>
    <r>
      <rPr>
        <sz val="10"/>
        <rFont val="宋体"/>
        <family val="3"/>
        <charset val="134"/>
      </rPr>
      <t>：本周完成</t>
    </r>
    <r>
      <rPr>
        <sz val="10"/>
        <rFont val="Arial"/>
        <family val="2"/>
      </rPr>
      <t xml:space="preserve">
2020-2-10</t>
    </r>
    <r>
      <rPr>
        <sz val="10"/>
        <rFont val="宋体"/>
        <family val="3"/>
        <charset val="134"/>
      </rPr>
      <t>：完成</t>
    </r>
  </si>
  <si>
    <r>
      <rPr>
        <sz val="10"/>
        <rFont val="宋体"/>
        <family val="3"/>
        <charset val="134"/>
      </rPr>
      <t>【</t>
    </r>
    <r>
      <rPr>
        <sz val="10"/>
        <rFont val="Arial"/>
        <family val="2"/>
      </rPr>
      <t>3rdparty|Poco</t>
    </r>
    <r>
      <rPr>
        <sz val="10"/>
        <rFont val="宋体"/>
        <family val="3"/>
        <charset val="134"/>
      </rPr>
      <t>库】</t>
    </r>
  </si>
  <si>
    <r>
      <rPr>
        <sz val="11"/>
        <color theme="1"/>
        <rFont val="宋体"/>
        <family val="3"/>
        <charset val="134"/>
      </rPr>
      <t>加入</t>
    </r>
    <r>
      <rPr>
        <sz val="11"/>
        <color theme="1"/>
        <rFont val="Arial"/>
        <family val="2"/>
      </rPr>
      <t>Poco</t>
    </r>
    <r>
      <rPr>
        <sz val="11"/>
        <color theme="1"/>
        <rFont val="宋体"/>
        <family val="3"/>
        <charset val="134"/>
      </rPr>
      <t>支持，替代一些基础类，如</t>
    </r>
    <r>
      <rPr>
        <sz val="11"/>
        <color theme="1"/>
        <rFont val="Arial"/>
        <family val="2"/>
      </rPr>
      <t>Poco::Var</t>
    </r>
    <r>
      <rPr>
        <sz val="11"/>
        <color theme="1"/>
        <rFont val="宋体"/>
        <family val="3"/>
        <charset val="134"/>
      </rPr>
      <t>替代any</t>
    </r>
  </si>
  <si>
    <r>
      <rPr>
        <sz val="10"/>
        <rFont val="Arial"/>
        <family val="2"/>
      </rPr>
      <t>2020-1-7</t>
    </r>
    <r>
      <rPr>
        <sz val="10"/>
        <rFont val="宋体"/>
        <family val="3"/>
        <charset val="134"/>
      </rPr>
      <t>：本周完成</t>
    </r>
    <r>
      <rPr>
        <sz val="10"/>
        <rFont val="Arial"/>
        <family val="2"/>
      </rPr>
      <t xml:space="preserve">
2020-2-10</t>
    </r>
    <r>
      <rPr>
        <sz val="10"/>
        <rFont val="宋体"/>
        <family val="3"/>
        <charset val="134"/>
      </rPr>
      <t>：替换</t>
    </r>
    <r>
      <rPr>
        <sz val="10"/>
        <rFont val="Arial"/>
        <family val="2"/>
      </rPr>
      <t>nb::any</t>
    </r>
    <r>
      <rPr>
        <sz val="10"/>
        <rFont val="宋体"/>
        <family val="3"/>
        <charset val="134"/>
      </rPr>
      <t>，使用在DependencyObject等地方，完成</t>
    </r>
  </si>
  <si>
    <t>绑定系统</t>
  </si>
  <si>
    <t>【core|绑定系统】</t>
  </si>
  <si>
    <t>绑定系统（初版，能驱动依赖属性的变化）</t>
  </si>
  <si>
    <r>
      <rPr>
        <sz val="10"/>
        <rFont val="Arial"/>
        <family val="2"/>
      </rPr>
      <t>2020-2-10</t>
    </r>
    <r>
      <rPr>
        <sz val="10"/>
        <rFont val="宋体"/>
        <family val="3"/>
        <charset val="134"/>
      </rPr>
      <t>：DateContent绑定数据系统已经可以驱动</t>
    </r>
    <r>
      <rPr>
        <sz val="10"/>
        <rFont val="Arial"/>
        <family val="2"/>
      </rPr>
      <t>UI</t>
    </r>
    <r>
      <rPr>
        <sz val="10"/>
        <rFont val="宋体"/>
        <family val="3"/>
        <charset val="134"/>
      </rPr>
      <t>元素的属性。包括任何类型（bool、int、float、string以及自定义和智能指针类型）</t>
    </r>
  </si>
  <si>
    <t>动画系统</t>
  </si>
  <si>
    <t>【core|动画系统】</t>
  </si>
  <si>
    <t>动画系统-Timeline</t>
  </si>
  <si>
    <r>
      <rPr>
        <sz val="10"/>
        <rFont val="Arial"/>
        <family val="2"/>
      </rPr>
      <t>2020-2-10</t>
    </r>
    <r>
      <rPr>
        <sz val="10"/>
        <rFont val="宋体"/>
        <family val="3"/>
        <charset val="134"/>
      </rPr>
      <t>：完成</t>
    </r>
  </si>
  <si>
    <r>
      <rPr>
        <sz val="11"/>
        <color theme="1"/>
        <rFont val="宋体"/>
        <family val="3"/>
        <charset val="134"/>
      </rPr>
      <t>动画系统</t>
    </r>
    <r>
      <rPr>
        <sz val="11"/>
        <color theme="1"/>
        <rFont val="Arial"/>
        <family val="2"/>
      </rPr>
      <t>-</t>
    </r>
    <r>
      <rPr>
        <sz val="11"/>
        <color theme="1"/>
        <rFont val="宋体"/>
        <family val="3"/>
        <charset val="134"/>
      </rPr>
      <t>属性动画</t>
    </r>
  </si>
  <si>
    <r>
      <t>2020-2-10</t>
    </r>
    <r>
      <rPr>
        <sz val="10"/>
        <rFont val="宋体"/>
        <family val="3"/>
        <charset val="134"/>
      </rPr>
      <t>：包括大多数基础类型动画（bool、int、float等），本周开始</t>
    </r>
    <r>
      <rPr>
        <sz val="10"/>
        <rFont val="Arial"/>
        <family val="2"/>
      </rPr>
      <t xml:space="preserve">
2020-2-24</t>
    </r>
    <r>
      <rPr>
        <sz val="10"/>
        <rFont val="宋体"/>
        <family val="3"/>
        <charset val="134"/>
      </rPr>
      <t>：完成第一版</t>
    </r>
  </si>
  <si>
    <r>
      <rPr>
        <sz val="11"/>
        <color theme="1"/>
        <rFont val="宋体"/>
        <family val="3"/>
        <charset val="134"/>
      </rPr>
      <t>动画系统</t>
    </r>
    <r>
      <rPr>
        <sz val="11"/>
        <color theme="1"/>
        <rFont val="Arial"/>
        <family val="2"/>
      </rPr>
      <t>-</t>
    </r>
    <r>
      <rPr>
        <sz val="11"/>
        <color theme="1"/>
        <rFont val="宋体"/>
        <family val="3"/>
        <charset val="134"/>
      </rPr>
      <t>故事板</t>
    </r>
  </si>
  <si>
    <r>
      <t>2020-2-24</t>
    </r>
    <r>
      <rPr>
        <sz val="10"/>
        <rFont val="宋体"/>
        <family val="3"/>
        <charset val="134"/>
      </rPr>
      <t>：完成第一版</t>
    </r>
  </si>
  <si>
    <t>【studio|shader editor】</t>
  </si>
  <si>
    <t>Su Shifei</t>
  </si>
  <si>
    <t>【core|资源】</t>
  </si>
  <si>
    <t>资源系统，为后续的“样式”和“模板”的基础</t>
  </si>
  <si>
    <r>
      <t>2020-2-24</t>
    </r>
    <r>
      <rPr>
        <sz val="10"/>
        <rFont val="宋体"/>
        <family val="3"/>
        <charset val="134"/>
      </rPr>
      <t>：完成</t>
    </r>
  </si>
  <si>
    <t>【gui|样式系统】</t>
  </si>
  <si>
    <t>样式</t>
  </si>
  <si>
    <t>【gles|外部模型】</t>
  </si>
  <si>
    <t>寻找加载模型的方案，要求支持windows，android,QNX等</t>
  </si>
  <si>
    <t>在此行上方插入新行</t>
  </si>
  <si>
    <t>此行标记项目日程安排的结尾。请勿在此行中输入任何内容。
在此行上方插入新行，以继续构建项目日程安排。</t>
  </si>
  <si>
    <t>这是一个空行</t>
  </si>
  <si>
    <t>日期</t>
  </si>
  <si>
    <t>任务 5</t>
  </si>
  <si>
    <t>潘荣涛</t>
    <phoneticPr fontId="34" type="noConversion"/>
  </si>
  <si>
    <t>状态机StateMachine</t>
    <phoneticPr fontId="34" type="noConversion"/>
  </si>
  <si>
    <t>触发器行为TriggerAction</t>
    <phoneticPr fontId="34" type="noConversion"/>
  </si>
  <si>
    <t>事件触发器EventTrigger</t>
    <phoneticPr fontId="34" type="noConversion"/>
  </si>
  <si>
    <t>多条件数据触发器MultiDataTrigger</t>
    <phoneticPr fontId="34" type="noConversion"/>
  </si>
  <si>
    <t>数据触发器DataTrigger</t>
    <phoneticPr fontId="34" type="noConversion"/>
  </si>
  <si>
    <t>多条件属性触发器MultiTrigger</t>
    <phoneticPr fontId="34" type="noConversion"/>
  </si>
  <si>
    <t>属性触发器Trigger</t>
    <phoneticPr fontId="34" type="noConversion"/>
  </si>
  <si>
    <t>触发器基类TriggerBase</t>
    <phoneticPr fontId="34" type="noConversion"/>
  </si>
  <si>
    <t>事件设置器EventSetter</t>
    <phoneticPr fontId="34" type="noConversion"/>
  </si>
  <si>
    <t>普通设置器Setter</t>
    <phoneticPr fontId="34" type="noConversion"/>
  </si>
  <si>
    <t>设置器基类SetterBase</t>
    <phoneticPr fontId="34" type="noConversion"/>
  </si>
  <si>
    <t>样式Style</t>
    <phoneticPr fontId="34" type="noConversion"/>
  </si>
  <si>
    <t>可视树助手VisualTreeHelper</t>
    <phoneticPr fontId="34" type="noConversion"/>
  </si>
  <si>
    <t>装饰类值边框Border</t>
    <phoneticPr fontId="34" type="noConversion"/>
  </si>
  <si>
    <t>装饰类Decorator基类</t>
    <phoneticPr fontId="34" type="noConversion"/>
  </si>
  <si>
    <t>形状UI元素之椭圆Ellipse</t>
    <phoneticPr fontId="34" type="noConversion"/>
  </si>
  <si>
    <t>形状UI元素之矩形Rectangle</t>
    <phoneticPr fontId="34" type="noConversion"/>
  </si>
  <si>
    <t>形状UI元素之路径Path</t>
    <phoneticPr fontId="34" type="noConversion"/>
  </si>
  <si>
    <t>形状UI元素之多边形Polygen</t>
    <phoneticPr fontId="34" type="noConversion"/>
  </si>
  <si>
    <t>形状UI元素之多段线Polyline</t>
    <phoneticPr fontId="34" type="noConversion"/>
  </si>
  <si>
    <t>形状UI元素之线Line</t>
    <phoneticPr fontId="34" type="noConversion"/>
  </si>
  <si>
    <t>形状类基类Shape</t>
    <phoneticPr fontId="34" type="noConversion"/>
  </si>
  <si>
    <t>富文本框控件RickTextBox</t>
    <phoneticPr fontId="34" type="noConversion"/>
  </si>
  <si>
    <t>文本框控件TextBox</t>
    <phoneticPr fontId="34" type="noConversion"/>
  </si>
  <si>
    <t>文本控件基类TextBoxBase</t>
    <phoneticPr fontId="34" type="noConversion"/>
  </si>
  <si>
    <t>范围控件之拖动条SlideBar</t>
    <phoneticPr fontId="34" type="noConversion"/>
  </si>
  <si>
    <t>范围控件之进度条ProgressBar</t>
    <phoneticPr fontId="34" type="noConversion"/>
  </si>
  <si>
    <t>范围控件之滚动条ScrollBar</t>
    <phoneticPr fontId="34" type="noConversion"/>
  </si>
  <si>
    <t>范围控件基类RangeBase</t>
    <phoneticPr fontId="34" type="noConversion"/>
  </si>
  <si>
    <t>多项控件之菜单Menu</t>
    <phoneticPr fontId="34" type="noConversion"/>
  </si>
  <si>
    <t>多项控件之状态栏StatusBar</t>
    <phoneticPr fontId="34" type="noConversion"/>
  </si>
  <si>
    <t>多项控件之树形视图TreeView</t>
    <phoneticPr fontId="34" type="noConversion"/>
  </si>
  <si>
    <t>多项控件之列表框ListBox</t>
    <phoneticPr fontId="34" type="noConversion"/>
  </si>
  <si>
    <t>多项控件之下拉框ComboBox</t>
    <phoneticPr fontId="34" type="noConversion"/>
  </si>
  <si>
    <t>多项控件基类ItemsControl</t>
    <phoneticPr fontId="34" type="noConversion"/>
  </si>
  <si>
    <t>标题内容控件之Tab项TabItem</t>
    <phoneticPr fontId="34" type="noConversion"/>
  </si>
  <si>
    <t>标题内容控件之拓展器Expander</t>
    <phoneticPr fontId="34" type="noConversion"/>
  </si>
  <si>
    <t>标题内容控件之分组框GroupBox</t>
    <phoneticPr fontId="34" type="noConversion"/>
  </si>
  <si>
    <t>内容控件之带标题控件HeaderedContentControl</t>
    <phoneticPr fontId="34" type="noConversion"/>
  </si>
  <si>
    <t>内容控件之列表框项ListBoxItem</t>
    <phoneticPr fontId="34" type="noConversion"/>
  </si>
  <si>
    <t>内容控件之下拉框项ComboBoxItem</t>
    <phoneticPr fontId="34" type="noConversion"/>
  </si>
  <si>
    <t>内容控件之提示栏ToolTip</t>
    <phoneticPr fontId="34" type="noConversion"/>
  </si>
  <si>
    <t>内容控件之内容滚动控件ScrollViewer</t>
    <phoneticPr fontId="34" type="noConversion"/>
  </si>
  <si>
    <t>内容控件之复选框CheckBox</t>
    <phoneticPr fontId="34" type="noConversion"/>
  </si>
  <si>
    <t>内容控件之单选框RadioBox</t>
    <phoneticPr fontId="34" type="noConversion"/>
  </si>
  <si>
    <t>内容控件之开关按钮ToggleButton</t>
    <phoneticPr fontId="34" type="noConversion"/>
  </si>
  <si>
    <t>内容控件之重复按钮RepeatButton</t>
    <phoneticPr fontId="34" type="noConversion"/>
  </si>
  <si>
    <t>内容控件之普通按钮Button</t>
    <phoneticPr fontId="34" type="noConversion"/>
  </si>
  <si>
    <t>内容控件之按钮基类ButtonBase</t>
    <phoneticPr fontId="34" type="noConversion"/>
  </si>
  <si>
    <t>内容控件之标签控件Label</t>
    <phoneticPr fontId="34" type="noConversion"/>
  </si>
  <si>
    <t>内容控件基类ContentControl</t>
    <phoneticPr fontId="34" type="noConversion"/>
  </si>
  <si>
    <t>控件基类Control</t>
    <phoneticPr fontId="34" type="noConversion"/>
  </si>
  <si>
    <t>容器之均匀网格UniformGrid</t>
    <phoneticPr fontId="34" type="noConversion"/>
  </si>
  <si>
    <t>容器之网格Grid</t>
    <phoneticPr fontId="34" type="noConversion"/>
  </si>
  <si>
    <t>容器之栈容器StackPanel</t>
    <phoneticPr fontId="34" type="noConversion"/>
  </si>
  <si>
    <t>容器之自动换行/列容器WrapPanel</t>
    <phoneticPr fontId="34" type="noConversion"/>
  </si>
  <si>
    <t>容器之停靠容器DockPanel</t>
    <phoneticPr fontId="34" type="noConversion"/>
  </si>
  <si>
    <t>容器之画板Cavas</t>
    <phoneticPr fontId="34" type="noConversion"/>
  </si>
  <si>
    <t>容器类型基类Panel</t>
    <phoneticPr fontId="34" type="noConversion"/>
  </si>
  <si>
    <t>潘荣涛</t>
    <phoneticPr fontId="34" type="noConversion"/>
  </si>
  <si>
    <t>UI元素基类UIElement</t>
    <phoneticPr fontId="34" type="noConversion"/>
  </si>
  <si>
    <t>窗口Window</t>
    <phoneticPr fontId="34" type="noConversion"/>
  </si>
  <si>
    <t>应用程序Application</t>
    <phoneticPr fontId="34" type="noConversion"/>
  </si>
  <si>
    <t>GUI高级用户接口</t>
    <phoneticPr fontId="34" type="noConversion"/>
  </si>
  <si>
    <t>示例阶段标题块</t>
  </si>
  <si>
    <t>粒子系统之粒子系统管理ParticleSystem</t>
    <phoneticPr fontId="34" type="noConversion"/>
  </si>
  <si>
    <t>粒子系统之粒子效果器Affector</t>
    <phoneticPr fontId="34" type="noConversion"/>
  </si>
  <si>
    <t>粒子系统之粒子发射器Emitter</t>
    <phoneticPr fontId="34" type="noConversion"/>
  </si>
  <si>
    <t>粒子系统之粒子Particle</t>
    <phoneticPr fontId="34" type="noConversion"/>
  </si>
  <si>
    <t>VAO顶点数组缓存技术VAO</t>
    <phoneticPr fontId="34" type="noConversion"/>
  </si>
  <si>
    <t>VBO顶点缓存VBO</t>
    <phoneticPr fontId="34" type="noConversion"/>
  </si>
  <si>
    <t>字形工厂（字形缓存）GlyphFactory</t>
    <phoneticPr fontId="34" type="noConversion"/>
  </si>
  <si>
    <t>材质Material</t>
    <phoneticPr fontId="34" type="noConversion"/>
  </si>
  <si>
    <t>研究第三方库Clipper用作不规则形状的顶点获取</t>
    <phoneticPr fontId="34" type="noConversion"/>
  </si>
  <si>
    <t>多级纹理TextureMipmap</t>
    <phoneticPr fontId="34" type="noConversion"/>
  </si>
  <si>
    <t>立方体纹理TextureCubmap</t>
    <phoneticPr fontId="34" type="noConversion"/>
  </si>
  <si>
    <t>2D纹理Texture2D</t>
    <phoneticPr fontId="34" type="noConversion"/>
  </si>
  <si>
    <t>纹理基类Texture</t>
    <phoneticPr fontId="34" type="noConversion"/>
  </si>
  <si>
    <t>苏志飞</t>
    <phoneticPr fontId="34" type="noConversion"/>
  </si>
  <si>
    <t>渲染物：从外部模型加载（依赖于assimp）</t>
    <phoneticPr fontId="34" type="noConversion"/>
  </si>
  <si>
    <t>渲染物RenderObject</t>
    <phoneticPr fontId="34" type="noConversion"/>
  </si>
  <si>
    <t>投射Projection</t>
    <phoneticPr fontId="34" type="noConversion"/>
  </si>
  <si>
    <t>摄像头Camera</t>
    <phoneticPr fontId="34" type="noConversion"/>
  </si>
  <si>
    <t>未有实际应用</t>
    <phoneticPr fontId="34" type="noConversion"/>
  </si>
  <si>
    <t>GLSL程序实体之立方体程序</t>
    <phoneticPr fontId="34" type="noConversion"/>
  </si>
  <si>
    <t>多光源未做考虑</t>
    <phoneticPr fontId="34" type="noConversion"/>
  </si>
  <si>
    <t>GLSL程序实体之光照程序</t>
    <phoneticPr fontId="34" type="noConversion"/>
  </si>
  <si>
    <t>GLSL程序实体之图片程序</t>
    <phoneticPr fontId="34" type="noConversion"/>
  </si>
  <si>
    <t>GLSL程序实体之渐变程序</t>
    <phoneticPr fontId="34" type="noConversion"/>
  </si>
  <si>
    <t>GLSL程序实体之图元程序</t>
    <phoneticPr fontId="34" type="noConversion"/>
  </si>
  <si>
    <t>GLSL程序Program</t>
    <phoneticPr fontId="34" type="noConversion"/>
  </si>
  <si>
    <t>片段着色器FragmentShader</t>
    <phoneticPr fontId="34" type="noConversion"/>
  </si>
  <si>
    <t>顶点着色器VertexShader</t>
    <phoneticPr fontId="34" type="noConversion"/>
  </si>
  <si>
    <t>着色器基类Shader</t>
    <phoneticPr fontId="34" type="noConversion"/>
  </si>
  <si>
    <t>Opengl 渲染实现</t>
    <phoneticPr fontId="34" type="noConversion"/>
  </si>
  <si>
    <t>矩阵组TransformGroup</t>
    <phoneticPr fontId="34" type="noConversion"/>
  </si>
  <si>
    <t>旋转矩阵RotateTransform</t>
    <phoneticPr fontId="34" type="noConversion"/>
  </si>
  <si>
    <t>伸缩矩阵ScaleTransform</t>
    <phoneticPr fontId="34" type="noConversion"/>
  </si>
  <si>
    <t>平移矩阵TranslateTransform</t>
    <phoneticPr fontId="34" type="noConversion"/>
  </si>
  <si>
    <t>矩阵Transform</t>
    <phoneticPr fontId="34" type="noConversion"/>
  </si>
  <si>
    <t>字体相关信息目前应用较少，
仅研究了可生产Bitmap的基础api</t>
    <phoneticPr fontId="34" type="noConversion"/>
  </si>
  <si>
    <t>字形信息GlyphMetrics</t>
    <phoneticPr fontId="34" type="noConversion"/>
  </si>
  <si>
    <t>潘荣涛</t>
    <phoneticPr fontId="34" type="noConversion"/>
  </si>
  <si>
    <t>字体（依赖于FreeType）</t>
    <phoneticPr fontId="34" type="noConversion"/>
  </si>
  <si>
    <t>故事板动画Storyboard</t>
  </si>
  <si>
    <t>点路径动画-PointAnimationUsingPath</t>
    <phoneticPr fontId="34" type="noConversion"/>
  </si>
  <si>
    <t>矩阵路径动画-MatrixAnimationUsingPath</t>
    <phoneticPr fontId="34" type="noConversion"/>
  </si>
  <si>
    <t>浮点路径动画-DoubleAnimationUsingPath</t>
    <phoneticPr fontId="34" type="noConversion"/>
  </si>
  <si>
    <t>浮点路径动画-FloatAnimationUsingPath</t>
    <phoneticPr fontId="34" type="noConversion"/>
  </si>
  <si>
    <t>字符串关键帧动画-StringAnimationUsingKeyFrames</t>
    <phoneticPr fontId="34" type="noConversion"/>
  </si>
  <si>
    <t>颜色关键帧动画-ColorAnimationUsingKeyFrames</t>
    <phoneticPr fontId="34" type="noConversion"/>
  </si>
  <si>
    <t>厚度关键帧动画-ThicknessAnimationUsingKeyFrames</t>
    <phoneticPr fontId="34" type="noConversion"/>
  </si>
  <si>
    <t>矩形关键帧动画-RectAnimationUsingKeyFrames</t>
    <phoneticPr fontId="34" type="noConversion"/>
  </si>
  <si>
    <t>尺寸关键帧动画-SizeAnimationUsingKeyFrames</t>
    <phoneticPr fontId="34" type="noConversion"/>
  </si>
  <si>
    <t>点关键帧动画-PointAnimationUsingKeyFrames</t>
    <phoneticPr fontId="34" type="noConversion"/>
  </si>
  <si>
    <t>浮点关键帧动画-DoubleAnimationUsingKeyFrames</t>
    <phoneticPr fontId="34" type="noConversion"/>
  </si>
  <si>
    <t>浮点关键帧动画-FloatAnimationUsingKeyFrames</t>
    <phoneticPr fontId="34" type="noConversion"/>
  </si>
  <si>
    <t>整型关键帧动画-Int64AnimationUsingKeyFrames</t>
    <phoneticPr fontId="34" type="noConversion"/>
  </si>
  <si>
    <t>整型关键帧动画-Int32AnimationUsingKeyFrames</t>
    <phoneticPr fontId="34" type="noConversion"/>
  </si>
  <si>
    <t>整型关键帧动画-Int16AnimationUsingKeyFrames</t>
    <phoneticPr fontId="34" type="noConversion"/>
  </si>
  <si>
    <t>整型关键帧动画-Int8AnimationUsingKeyFrames</t>
    <phoneticPr fontId="34" type="noConversion"/>
  </si>
  <si>
    <t>布尔关键帧动画-BoolAnimationUsingKeyFrames</t>
    <phoneticPr fontId="34" type="noConversion"/>
  </si>
  <si>
    <t>关键帧动画KeyFrame</t>
    <phoneticPr fontId="34" type="noConversion"/>
  </si>
  <si>
    <t>颜色属性动画-ColorAnimation</t>
    <phoneticPr fontId="34" type="noConversion"/>
  </si>
  <si>
    <t>厚度属性动画-ThicknessAnimation</t>
    <phoneticPr fontId="34" type="noConversion"/>
  </si>
  <si>
    <t>矩形属性动画-RectAnimation</t>
    <phoneticPr fontId="34" type="noConversion"/>
  </si>
  <si>
    <t>尺寸属性动画-SizeAnimation</t>
    <phoneticPr fontId="34" type="noConversion"/>
  </si>
  <si>
    <t>点属性动画-PointAnimation</t>
    <phoneticPr fontId="34" type="noConversion"/>
  </si>
  <si>
    <t>浮点属性动画-FloatAnimation</t>
    <phoneticPr fontId="34" type="noConversion"/>
  </si>
  <si>
    <t>整型属性动画-Int64Animation</t>
    <phoneticPr fontId="34" type="noConversion"/>
  </si>
  <si>
    <t>整型属性动画-Int32Animation</t>
    <phoneticPr fontId="34" type="noConversion"/>
  </si>
  <si>
    <t>整型属性动画-Int16Animation</t>
    <phoneticPr fontId="34" type="noConversion"/>
  </si>
  <si>
    <t>整型属性动画-Int8Animation</t>
    <phoneticPr fontId="34" type="noConversion"/>
  </si>
  <si>
    <t>属性动画基类AnimationTimeline</t>
    <phoneticPr fontId="34" type="noConversion"/>
  </si>
  <si>
    <t>后期可能需要把变量改成依赖属性，
根据后续Studio或应用的感受后决定</t>
    <phoneticPr fontId="34" type="noConversion"/>
  </si>
  <si>
    <t>时间线Timeline</t>
    <phoneticPr fontId="34" type="noConversion"/>
  </si>
  <si>
    <t>遗留部分参数未调试，但不是必要的。
比如弹簧函数的弹跳次数</t>
    <phoneticPr fontId="34" type="noConversion"/>
  </si>
  <si>
    <t>缓动函数Easing，可让动画呈现各种缓动效果</t>
    <phoneticPr fontId="34" type="noConversion"/>
  </si>
  <si>
    <t>图片画刷ImageBrush</t>
    <phoneticPr fontId="34" type="noConversion"/>
  </si>
  <si>
    <t>后续优化不适用依赖属性，且可能不保留BM为变量</t>
    <phoneticPr fontId="34" type="noConversion"/>
  </si>
  <si>
    <t>图片源ImageSource</t>
    <phoneticPr fontId="34" type="noConversion"/>
  </si>
  <si>
    <t>辐射渐变画刷RadialGradientBrush</t>
    <phoneticPr fontId="34" type="noConversion"/>
  </si>
  <si>
    <t>需要shader的参数配合，
但目前找了资料不太好实现</t>
    <phoneticPr fontId="34" type="noConversion"/>
  </si>
  <si>
    <t>线性渐变画刷LinearGradientBrush</t>
    <phoneticPr fontId="34" type="noConversion"/>
  </si>
  <si>
    <t>颜色画刷SolidColorBrush</t>
    <phoneticPr fontId="34" type="noConversion"/>
  </si>
  <si>
    <t>opacity属性和Transform属性都未调试
但目前不影响主线</t>
    <phoneticPr fontId="34" type="noConversion"/>
  </si>
  <si>
    <t>画刷基类Brush</t>
    <phoneticPr fontId="34" type="noConversion"/>
  </si>
  <si>
    <t>厚度Thickness</t>
    <phoneticPr fontId="34" type="noConversion"/>
  </si>
  <si>
    <t>基于stb_image目前发现某些格式兼容性不好，考虑是否替换成SOLID方案</t>
    <phoneticPr fontId="34" type="noConversion"/>
  </si>
  <si>
    <t>位图Bitmap（基于stb_image）</t>
    <phoneticPr fontId="34" type="noConversion"/>
  </si>
  <si>
    <t>完成度很高，不影响主线</t>
    <phoneticPr fontId="34" type="noConversion"/>
  </si>
  <si>
    <t>颜色Color</t>
    <phoneticPr fontId="34" type="noConversion"/>
  </si>
  <si>
    <t>媒体相关</t>
    <phoneticPr fontId="34" type="noConversion"/>
  </si>
  <si>
    <t>右侧的单元格包含第 2 阶段示例标题。
可随时在 B 列中创建新阶段。此项目日程安排不需要阶段。要删除阶段，只需删除该行即可。
要在此行中创建新的阶段块，请在右侧的单元格中输入新的标题。
要继续向上述阶段添加任务，请在此行上方输入一个新行，并按照单元格 A9 的指令填写任务数据。
根据单元格 A8 的指令更新右侧单元格中的阶段详细信息。
继续向下浏览 A 列单元格，了解更多信息。
如果尚未在此工作表中添加任何新行，将在单元格 B20 和 B26 中找到已创建的 2 个其他示例阶段块。否则，请浏览 A 列单元格以查找其他块。
在需要时重复单元格 A8 和 A9 的说明进行操作。</t>
  </si>
  <si>
    <t>还有很多函数未实现，如取消某元素的绑定，多绑定等</t>
    <phoneticPr fontId="34" type="noConversion"/>
  </si>
  <si>
    <t>绑定管理BindingMaster</t>
    <phoneticPr fontId="34" type="noConversion"/>
  </si>
  <si>
    <t>还不确定多数据绑定是否要做</t>
    <phoneticPr fontId="34" type="noConversion"/>
  </si>
  <si>
    <t xml:space="preserve">多绑定MultiBinding </t>
    <phoneticPr fontId="34" type="noConversion"/>
  </si>
  <si>
    <t>未考虑属性绑定属性的情况，
双向绑定情况等</t>
    <phoneticPr fontId="34" type="noConversion"/>
  </si>
  <si>
    <t>绑定Bingding</t>
    <phoneticPr fontId="34" type="noConversion"/>
  </si>
  <si>
    <t>可能遗留部分bug</t>
    <phoneticPr fontId="34" type="noConversion"/>
  </si>
  <si>
    <t>数据上下文DataContent</t>
    <phoneticPr fontId="34" type="noConversion"/>
  </si>
  <si>
    <t>不影响主线较高完成度</t>
    <phoneticPr fontId="34" type="noConversion"/>
  </si>
  <si>
    <t>资源字典ResourceDictionary</t>
    <phoneticPr fontId="34" type="noConversion"/>
  </si>
  <si>
    <t>目前仅支持输出到标准输出设备，后续做Studio后，需要考虑重定向输出到工具窗口</t>
    <phoneticPr fontId="34" type="noConversion"/>
  </si>
  <si>
    <t>潘荣涛</t>
    <phoneticPr fontId="42" type="noConversion"/>
  </si>
  <si>
    <t>日志Log</t>
    <phoneticPr fontId="34" type="noConversion"/>
  </si>
  <si>
    <t>字符串整数RandomS</t>
    <phoneticPr fontId="34" type="noConversion"/>
  </si>
  <si>
    <t>浮点数随机器RandomF</t>
    <phoneticPr fontId="34" type="noConversion"/>
  </si>
  <si>
    <t>整数随机器Random</t>
    <phoneticPr fontId="34" type="noConversion"/>
  </si>
  <si>
    <t>未考虑属性值的多种情况，比如动画设置的值，模板设置的值，样式设置的值等优先级区分。后续跟进</t>
    <phoneticPr fontId="34" type="noConversion"/>
  </si>
  <si>
    <t>依赖属性值容器EffectiveValueEntry</t>
    <phoneticPr fontId="34" type="noConversion"/>
  </si>
  <si>
    <t>依赖属性DependencyProperty</t>
    <phoneticPr fontId="34" type="noConversion"/>
  </si>
  <si>
    <t>不影响主线</t>
    <phoneticPr fontId="34" type="noConversion"/>
  </si>
  <si>
    <t>依赖属性DependencyObject</t>
    <phoneticPr fontId="34" type="noConversion"/>
  </si>
  <si>
    <t>按需添加，不影响主线</t>
    <phoneticPr fontId="34" type="noConversion"/>
  </si>
  <si>
    <t>事件参数EventArgs，包含常用的类型如键盘鼠标触摸事件等</t>
    <phoneticPr fontId="34" type="noConversion"/>
  </si>
  <si>
    <t>路由事件贯穿真个框架的使用，
目前仅限于单元测试，未有很多的实际使用</t>
    <phoneticPr fontId="34" type="noConversion"/>
  </si>
  <si>
    <t>路由事件RoutedEvent</t>
    <phoneticPr fontId="34" type="noConversion"/>
  </si>
  <si>
    <t>不影响主线的部分瑕疵，
后续可能优化为不使用模板</t>
    <phoneticPr fontId="34" type="noConversion"/>
  </si>
  <si>
    <t>普通事件Event</t>
    <phoneticPr fontId="34" type="noConversion"/>
  </si>
  <si>
    <t>矩形Rect</t>
    <phoneticPr fontId="34" type="noConversion"/>
  </si>
  <si>
    <t>尺寸Size</t>
    <phoneticPr fontId="34" type="noConversion"/>
  </si>
  <si>
    <t>点Point</t>
    <phoneticPr fontId="34" type="noConversion"/>
  </si>
  <si>
    <t>时间片段TimeSpan</t>
    <phoneticPr fontId="34" type="noConversion"/>
  </si>
  <si>
    <t>剩下时区相关支持，
不影响主线</t>
    <phoneticPr fontId="34" type="noConversion"/>
  </si>
  <si>
    <t>时间日期DateTime</t>
    <phoneticPr fontId="34" type="noConversion"/>
  </si>
  <si>
    <t>定时器Timer</t>
    <phoneticPr fontId="34" type="noConversion"/>
  </si>
  <si>
    <t>单例数据结构Singleton</t>
    <phoneticPr fontId="34" type="noConversion"/>
  </si>
  <si>
    <t>第 10 行到第 13 行重复第 9 行的模式。
请对此工作表中的所有任务行重复单元格 A9 中的指令。覆盖任何示例数据。
另一个阶段的示例从单元格 A14 开始。
继续在单元格 A10 到 A13 中输入任务或转到单元格 A14 了解详细信息。</t>
  </si>
  <si>
    <t>超级基类Object</t>
    <phoneticPr fontId="34" type="noConversion"/>
  </si>
  <si>
    <t>根据后续需要逐步添加某些全局方法</t>
    <phoneticPr fontId="34" type="noConversion"/>
  </si>
  <si>
    <t>全局宏、函数与方法Def</t>
    <phoneticPr fontId="34" type="noConversion"/>
  </si>
  <si>
    <t xml:space="preserve">单元格 B9 包含示例任务“任务 1”。
在单元格 B9 中输入新的任务名称。
在单元格 C9 中输入任务负责人。
在单元格 D9 中输入任务进度。进度条出现在单元格中，并根据单元格中的数字进行着色。例如，50% 的进度将着色一半的单元格。
在单元格 E9 中输入任务开始日期。
在单元格 F9 中输入任务结束日期。
从单元格 I9 到 BL9 的块中显示输入日期的已着色状态栏。 </t>
  </si>
  <si>
    <t>CORE（相对独立的基础数据结构）</t>
    <phoneticPr fontId="42" type="noConversion"/>
  </si>
  <si>
    <t>单元格 B8 包含第 1 阶段示例标题。
在单元格 B8 中输入新标题。
如果适用于你的项目，请在单元格 C8 中输入名称以指定阶段。
如果适用于你的项目，请在单元格 D8 中输入整个阶段的进度。
如果适用于你的项目，请在单元格 E8 和 F8 中输入整个阶段的开始和结束日期。
甘特图将根据输入的进度自动填充适当的日期和着色。
要仅从任务中删除阶段和工作，只需删除此行即可。</t>
  </si>
  <si>
    <t xml:space="preserve">请勿删除此行。隐藏了此行，以保留用于突出显示项目日程安排中当天的公式。 </t>
  </si>
  <si>
    <t>备注</t>
    <phoneticPr fontId="34" type="noConversion"/>
  </si>
  <si>
    <t>天数</t>
  </si>
  <si>
    <t>结束日期</t>
  </si>
  <si>
    <t>开始日期</t>
  </si>
  <si>
    <t>进度</t>
  </si>
  <si>
    <t>分配
到</t>
  </si>
  <si>
    <t>任务</t>
  </si>
  <si>
    <t>此行包含其后面的项目日程安排的标题。
从 B6 浏览到 BL6 以获取内容。该标题上方日期一周中每一天的首字母，从单元格 I6 开始，直到单元格 BL6。
所有项目日程表图表都是根据输入的开始和结束日期使用条件格式自动生成的。
从单元格 I7 开始的列 I 之后，请勿修改列内单元格中的内容。</t>
  </si>
  <si>
    <t>单元格 I5 到 BL5 包含每个日期单元格上方单元格块中表示的星期的日期数字并且是自动计算得出的。
请勿修改这些单元格。
今天的日期带有红色（十六进制 #AD3815）轮廓（从第 5 行中显示今天日期的列及至项目日程安排结尾的该列）。</t>
  </si>
  <si>
    <t>显示周数：</t>
  </si>
  <si>
    <t>单元格 E4 中的显示周数表示单元格 I4 中项目日程安排内显示的起始周数。项目开始日期视为第 1 周。要更改显示周数，只需单元格 E4 中输入新的周数。
从单元格 E4 的显示周数开始，每周的开始日期从单元格 I4 开始并且说自动计算得出的。在该视图中，从单元格 I4 到单元格 BF4 共有 8 周的时间。
请勿修改这些单元格。
显示周数：标签位于单元格 C4 中。</t>
  </si>
  <si>
    <t>项目开始：</t>
  </si>
  <si>
    <t>UIT</t>
    <phoneticPr fontId="34" type="noConversion"/>
  </si>
  <si>
    <t>在单元格 B3 中输入项目主管的姓名。在单元格 E3 中输入项目开始日期。项目开始：标签位于单元格 C3 中。</t>
  </si>
  <si>
    <t>https://www.vertex42.com/ExcelTemplates/simple-gantt-chart.html</t>
  </si>
  <si>
    <t>德赛西威</t>
    <phoneticPr fontId="34" type="noConversion"/>
  </si>
  <si>
    <t>在单元格 B2 中输入公司名称。</t>
  </si>
  <si>
    <t>Vertex42.com 提供的简单甘特图</t>
  </si>
  <si>
    <t>Newbrush SDK 项目任务管理</t>
    <phoneticPr fontId="34" type="noConversion"/>
  </si>
  <si>
    <t>在此工作表中创建项目日程安排。
在单元格 B1 中输入此项目的标题。
有关如何使用此工作表（包括屏幕阅读器的说明）以及此工作簿作者的信息包含在“关于”工作表中。
继续向下浏览 A 列，获取进一步指示。</t>
  </si>
  <si>
    <t>还未处理多光源</t>
    <phoneticPr fontId="34" type="noConversion"/>
  </si>
  <si>
    <t>未处理调试多光源</t>
    <phoneticPr fontId="34" type="noConversion"/>
  </si>
  <si>
    <t>后续调整是否保留BM变量</t>
    <phoneticPr fontId="34" type="noConversion"/>
  </si>
  <si>
    <t>多级纹理不一定需要，看后续需求</t>
    <phoneticPr fontId="34" type="noConversion"/>
  </si>
  <si>
    <t>仅写了代码，体系未建立</t>
    <phoneticPr fontId="34" type="noConversion"/>
  </si>
  <si>
    <t>属于优化内容，后期做</t>
    <phoneticPr fontId="34" type="noConversion"/>
  </si>
  <si>
    <t>不同的字库不同的缓存问题。仍有大量问题需要考虑</t>
    <phoneticPr fontId="34" type="noConversion"/>
  </si>
  <si>
    <t>未处理多窗口的焦点管理等问题</t>
    <phoneticPr fontId="34" type="noConversion"/>
  </si>
  <si>
    <t>遗留焦点问题，滚轮事件，键盘事件等</t>
    <phoneticPr fontId="34" type="noConversion"/>
  </si>
  <si>
    <t>路由事件未调试节点树</t>
    <phoneticPr fontId="34" type="noConversion"/>
  </si>
  <si>
    <t>后续调整附件属性的方式</t>
    <phoneticPr fontId="34" type="noConversion"/>
  </si>
  <si>
    <t>一些参数边界为做判定</t>
    <phoneticPr fontId="34" type="noConversion"/>
  </si>
  <si>
    <t>大多属性并非做处理</t>
    <phoneticPr fontId="34" type="noConversion"/>
  </si>
  <si>
    <t>图片UI元素Image</t>
    <phoneticPr fontId="34" type="noConversion"/>
  </si>
  <si>
    <t>密码框控件PasswordBox</t>
    <phoneticPr fontId="34" type="noConversion"/>
  </si>
  <si>
    <t>文本块UI元素TextBlock</t>
    <phoneticPr fontId="34" type="noConversion"/>
  </si>
  <si>
    <t>很多属性未考虑，仅显示一行文本</t>
    <phoneticPr fontId="34" type="noConversion"/>
  </si>
  <si>
    <t>在Canvas和非Canvas上坐标点不一样</t>
    <phoneticPr fontId="34" type="noConversion"/>
  </si>
  <si>
    <t>控件模板ControlTemplate</t>
    <phoneticPr fontId="34" type="noConversion"/>
  </si>
  <si>
    <t>&lt;newbrush sdk&gt; Action Item List</t>
    <phoneticPr fontId="34" type="noConversion"/>
  </si>
  <si>
    <t>&lt;newbrush studio&gt; Action Item List</t>
    <phoneticPr fontId="34" type="noConversion"/>
  </si>
  <si>
    <t>Pan Rongtao</t>
    <phoneticPr fontId="34" type="noConversion"/>
  </si>
  <si>
    <t>本表仅记录任务的进度，方便全局的观察整个进度。任务细节请查看【详细任务跟进】</t>
    <phoneticPr fontId="34" type="noConversion"/>
  </si>
  <si>
    <t>里程碑</t>
  </si>
  <si>
    <r>
      <t>2020-2-24</t>
    </r>
    <r>
      <rPr>
        <sz val="10"/>
        <rFont val="宋体"/>
        <family val="3"/>
        <charset val="134"/>
      </rPr>
      <t>：已经找到模型轮子纹理显示异常的原因：模型使用了8位的灰度图片，而转到Opengl纹理时使用32格式引起的。另外，轮子坐标偏移的问题还在查找原因，后续将优先解决轮子坐标偏移的问题
2020-3-9：第一个版本，基本没有大的问题。遗留的一些问题待实际项目需要再升入研究：多光源的处理、锯齿等细节、性能评估，骨骼动画会产生坐标偏移问题</t>
    </r>
    <phoneticPr fontId="34" type="noConversion"/>
  </si>
  <si>
    <r>
      <t>2020-3-9</t>
    </r>
    <r>
      <rPr>
        <sz val="10"/>
        <rFont val="宋体"/>
        <family val="3"/>
        <charset val="134"/>
      </rPr>
      <t>：第一个版本完成，后续更多控件使用样式后进行进一步调试</t>
    </r>
    <phoneticPr fontId="34" type="noConversion"/>
  </si>
  <si>
    <r>
      <t>2020-1-7</t>
    </r>
    <r>
      <rPr>
        <sz val="10"/>
        <rFont val="宋体"/>
        <family val="3"/>
        <charset val="134"/>
      </rPr>
      <t>：持续</t>
    </r>
    <r>
      <rPr>
        <sz val="10"/>
        <rFont val="Arial"/>
        <family val="2"/>
      </rPr>
      <t>1</t>
    </r>
    <r>
      <rPr>
        <sz val="10"/>
        <rFont val="宋体"/>
        <family val="3"/>
        <charset val="134"/>
      </rPr>
      <t>个多月，每周都需要有反馈探讨</t>
    </r>
    <r>
      <rPr>
        <sz val="10"/>
        <rFont val="Arial"/>
        <family val="2"/>
      </rPr>
      <t xml:space="preserve">
2020-2-10</t>
    </r>
    <r>
      <rPr>
        <sz val="10"/>
        <rFont val="宋体"/>
        <family val="3"/>
        <charset val="134"/>
      </rPr>
      <t>：每日讨论相关话题，</t>
    </r>
    <r>
      <rPr>
        <sz val="10"/>
        <rFont val="Arial"/>
        <family val="2"/>
      </rPr>
      <t>PRT</t>
    </r>
    <r>
      <rPr>
        <sz val="10"/>
        <rFont val="宋体"/>
        <family val="3"/>
        <charset val="134"/>
      </rPr>
      <t>跟进</t>
    </r>
    <r>
      <rPr>
        <sz val="10"/>
        <rFont val="Arial"/>
        <family val="2"/>
      </rPr>
      <t>SZF</t>
    </r>
    <r>
      <rPr>
        <sz val="10"/>
        <rFont val="宋体"/>
        <family val="3"/>
        <charset val="134"/>
      </rPr>
      <t>引出的话题进行相关交流</t>
    </r>
    <r>
      <rPr>
        <sz val="10"/>
        <rFont val="Arial"/>
        <family val="2"/>
      </rPr>
      <t xml:space="preserve">
2020-2-24</t>
    </r>
    <r>
      <rPr>
        <sz val="10"/>
        <rFont val="宋体"/>
        <family val="3"/>
        <charset val="134"/>
      </rPr>
      <t xml:space="preserve">：每日进行交流中
</t>
    </r>
    <r>
      <rPr>
        <sz val="10"/>
        <rFont val="Arial"/>
        <family val="2"/>
      </rPr>
      <t>2020-3-9</t>
    </r>
    <r>
      <rPr>
        <sz val="10"/>
        <rFont val="宋体"/>
        <family val="3"/>
        <charset val="134"/>
      </rPr>
      <t>：熟悉并了解了core/gles工程，后续直接参与编码将进一步深入了解</t>
    </r>
    <phoneticPr fontId="34" type="noConversion"/>
  </si>
  <si>
    <r>
      <rPr>
        <sz val="11"/>
        <color theme="1"/>
        <rFont val="宋体"/>
        <family val="3"/>
        <charset val="134"/>
      </rPr>
      <t>针对</t>
    </r>
    <r>
      <rPr>
        <sz val="11"/>
        <color theme="1"/>
        <rFont val="Arial"/>
        <family val="2"/>
      </rPr>
      <t>G6SH</t>
    </r>
    <r>
      <rPr>
        <sz val="11"/>
        <color theme="1"/>
        <rFont val="宋体"/>
        <family val="3"/>
        <charset val="134"/>
      </rPr>
      <t>图层管理模块的单元测试</t>
    </r>
    <phoneticPr fontId="34" type="noConversion"/>
  </si>
  <si>
    <t>Su Zhifei</t>
    <phoneticPr fontId="34" type="noConversion"/>
  </si>
  <si>
    <t>【模型】</t>
    <phoneticPr fontId="34" type="noConversion"/>
  </si>
  <si>
    <t>将模型嵌入到当前框架中</t>
    <phoneticPr fontId="34" type="noConversion"/>
  </si>
  <si>
    <t>Su Zhifei</t>
    <phoneticPr fontId="34" type="noConversion"/>
  </si>
  <si>
    <t>Su Zhifei</t>
    <phoneticPr fontId="34" type="noConversion"/>
  </si>
  <si>
    <t>【矩阵变换】</t>
    <phoneticPr fontId="34" type="noConversion"/>
  </si>
  <si>
    <r>
      <t>Bitmap</t>
    </r>
    <r>
      <rPr>
        <sz val="11"/>
        <color theme="1"/>
        <rFont val="宋体"/>
        <family val="3"/>
        <charset val="134"/>
      </rPr>
      <t>替换原来的stb_image方案为SIOL</t>
    </r>
    <phoneticPr fontId="34" type="noConversion"/>
  </si>
  <si>
    <t>【Bitmap图片加载解析】</t>
    <phoneticPr fontId="34" type="noConversion"/>
  </si>
  <si>
    <t>Su Zhifei</t>
    <phoneticPr fontId="34" type="noConversion"/>
  </si>
  <si>
    <t>Suz Zhifei</t>
    <phoneticPr fontId="34" type="noConversion"/>
  </si>
  <si>
    <t>256</t>
    <phoneticPr fontId="34" type="noConversion"/>
  </si>
  <si>
    <t>【控件|Button】</t>
    <phoneticPr fontId="34" type="noConversion"/>
  </si>
  <si>
    <t>Pan Rongtao</t>
    <phoneticPr fontId="34" type="noConversion"/>
  </si>
  <si>
    <t>【控件|RepeatButton】</t>
    <phoneticPr fontId="34" type="noConversion"/>
  </si>
  <si>
    <r>
      <rPr>
        <sz val="11"/>
        <color theme="1"/>
        <rFont val="宋体"/>
        <family val="3"/>
        <charset val="134"/>
      </rPr>
      <t>实现</t>
    </r>
    <r>
      <rPr>
        <sz val="11"/>
        <color theme="1"/>
        <rFont val="Arial"/>
        <family val="2"/>
      </rPr>
      <t>Button</t>
    </r>
    <r>
      <rPr>
        <sz val="11"/>
        <color theme="1"/>
        <rFont val="宋体"/>
        <family val="3"/>
        <charset val="134"/>
      </rPr>
      <t>类，要求应用模板、样式</t>
    </r>
    <phoneticPr fontId="34" type="noConversion"/>
  </si>
  <si>
    <r>
      <rPr>
        <sz val="11"/>
        <color theme="1"/>
        <rFont val="宋体"/>
        <family val="3"/>
        <charset val="134"/>
      </rPr>
      <t>实现Repeat</t>
    </r>
    <r>
      <rPr>
        <sz val="11"/>
        <color theme="1"/>
        <rFont val="Arial"/>
        <family val="2"/>
      </rPr>
      <t>Button</t>
    </r>
    <r>
      <rPr>
        <sz val="11"/>
        <color theme="1"/>
        <rFont val="宋体"/>
        <family val="3"/>
        <charset val="134"/>
      </rPr>
      <t>类，要求应用模板、样式</t>
    </r>
    <phoneticPr fontId="34" type="noConversion"/>
  </si>
  <si>
    <t>【控件|Image】</t>
    <phoneticPr fontId="34" type="noConversion"/>
  </si>
  <si>
    <t>实现图片类Image</t>
    <phoneticPr fontId="34" type="noConversion"/>
  </si>
  <si>
    <t>【控件|Slider】</t>
    <phoneticPr fontId="34" type="noConversion"/>
  </si>
  <si>
    <r>
      <rPr>
        <sz val="11"/>
        <color theme="1"/>
        <rFont val="宋体"/>
        <family val="3"/>
        <charset val="134"/>
      </rPr>
      <t>实现</t>
    </r>
    <r>
      <rPr>
        <sz val="11"/>
        <color theme="1"/>
        <rFont val="Arial"/>
        <family val="2"/>
      </rPr>
      <t>Slider</t>
    </r>
    <phoneticPr fontId="34" type="noConversion"/>
  </si>
  <si>
    <t>Pan Rongtao</t>
    <phoneticPr fontId="34" type="noConversion"/>
  </si>
  <si>
    <r>
      <t>2020-3-9</t>
    </r>
    <r>
      <rPr>
        <sz val="10"/>
        <rFont val="宋体"/>
        <family val="3"/>
        <charset val="134"/>
      </rPr>
      <t xml:space="preserve">：本周开始
</t>
    </r>
    <r>
      <rPr>
        <sz val="10"/>
        <rFont val="Arial"/>
        <family val="2"/>
      </rPr>
      <t>2020-3-23</t>
    </r>
    <r>
      <rPr>
        <sz val="10"/>
        <rFont val="宋体"/>
        <family val="3"/>
        <charset val="134"/>
      </rPr>
      <t>：已完成初版</t>
    </r>
    <phoneticPr fontId="34" type="noConversion"/>
  </si>
  <si>
    <r>
      <t>2020-3-9</t>
    </r>
    <r>
      <rPr>
        <sz val="10"/>
        <rFont val="宋体"/>
        <family val="3"/>
        <charset val="134"/>
      </rPr>
      <t xml:space="preserve">：本周开始
</t>
    </r>
    <r>
      <rPr>
        <sz val="10"/>
        <rFont val="Arial"/>
        <family val="2"/>
      </rPr>
      <t>2020-3-23</t>
    </r>
    <r>
      <rPr>
        <sz val="10"/>
        <rFont val="宋体"/>
        <family val="3"/>
        <charset val="134"/>
      </rPr>
      <t>：已完成初版</t>
    </r>
    <phoneticPr fontId="34" type="noConversion"/>
  </si>
  <si>
    <r>
      <t>2020-3-9</t>
    </r>
    <r>
      <rPr>
        <sz val="10"/>
        <rFont val="宋体"/>
        <family val="3"/>
        <charset val="134"/>
      </rPr>
      <t xml:space="preserve">：本周开始
</t>
    </r>
    <r>
      <rPr>
        <sz val="10"/>
        <rFont val="Arial"/>
        <family val="2"/>
      </rPr>
      <t>2020-3-23</t>
    </r>
    <r>
      <rPr>
        <sz val="10"/>
        <rFont val="宋体"/>
        <family val="3"/>
        <charset val="134"/>
      </rPr>
      <t xml:space="preserve">：本周开始
</t>
    </r>
    <r>
      <rPr>
        <sz val="10"/>
        <rFont val="Arial"/>
        <family val="2"/>
      </rPr>
      <t/>
    </r>
    <phoneticPr fontId="34" type="noConversion"/>
  </si>
  <si>
    <t>实现Transform、ScaleTransform、RotationTransform、TranslateTransform、TransformGroup</t>
    <phoneticPr fontId="34" type="noConversion"/>
  </si>
  <si>
    <r>
      <rPr>
        <sz val="11"/>
        <color theme="1"/>
        <rFont val="宋体"/>
        <family val="3"/>
        <charset val="134"/>
      </rPr>
      <t>使用</t>
    </r>
    <r>
      <rPr>
        <sz val="11"/>
        <color theme="1"/>
        <rFont val="Arial"/>
        <family val="2"/>
      </rPr>
      <t>WPF</t>
    </r>
    <r>
      <rPr>
        <sz val="11"/>
        <color theme="1"/>
        <rFont val="宋体"/>
        <family val="3"/>
        <charset val="134"/>
      </rPr>
      <t>实现shader Editor，类似于kanzi中的shader编辑器</t>
    </r>
    <phoneticPr fontId="34" type="noConversion"/>
  </si>
  <si>
    <r>
      <t>2020-3-9</t>
    </r>
    <r>
      <rPr>
        <sz val="10"/>
        <rFont val="宋体"/>
        <family val="3"/>
        <charset val="134"/>
      </rPr>
      <t xml:space="preserve">：未开始
</t>
    </r>
    <r>
      <rPr>
        <sz val="10"/>
        <rFont val="Arial"/>
        <family val="2"/>
      </rPr>
      <t>2020-4-3</t>
    </r>
    <r>
      <rPr>
        <sz val="10"/>
        <rFont val="宋体"/>
        <family val="3"/>
        <charset val="134"/>
      </rPr>
      <t>：完成第一版本，可根据自定义shader，自动获取uniform变量，进行调参工作</t>
    </r>
    <phoneticPr fontId="34" type="noConversion"/>
  </si>
  <si>
    <r>
      <t>2020-3-9</t>
    </r>
    <r>
      <rPr>
        <sz val="10"/>
        <rFont val="宋体"/>
        <family val="3"/>
        <charset val="134"/>
      </rPr>
      <t xml:space="preserve">：本周开始
</t>
    </r>
    <r>
      <rPr>
        <sz val="10"/>
        <rFont val="Arial"/>
        <family val="2"/>
      </rPr>
      <t>2020-3-23</t>
    </r>
    <r>
      <rPr>
        <sz val="10"/>
        <rFont val="宋体"/>
        <family val="3"/>
        <charset val="134"/>
      </rPr>
      <t xml:space="preserve">：还存在轮胎偏移问题，纹理渲染问题
</t>
    </r>
    <r>
      <rPr>
        <sz val="10"/>
        <rFont val="Arial"/>
        <family val="2"/>
      </rPr>
      <t>2020-4-3</t>
    </r>
    <r>
      <rPr>
        <sz val="10"/>
        <rFont val="宋体"/>
        <family val="3"/>
        <charset val="134"/>
      </rPr>
      <t>：完成</t>
    </r>
    <phoneticPr fontId="34" type="noConversion"/>
  </si>
  <si>
    <r>
      <t>2020-3-9</t>
    </r>
    <r>
      <rPr>
        <sz val="10"/>
        <rFont val="宋体"/>
        <family val="3"/>
        <charset val="134"/>
      </rPr>
      <t xml:space="preserve">：本周开始
</t>
    </r>
    <r>
      <rPr>
        <sz val="10"/>
        <rFont val="Arial"/>
        <family val="2"/>
      </rPr>
      <t>2020-3-23</t>
    </r>
    <r>
      <rPr>
        <sz val="10"/>
        <rFont val="宋体"/>
        <family val="3"/>
        <charset val="134"/>
      </rPr>
      <t xml:space="preserve">：未开始
</t>
    </r>
    <r>
      <rPr>
        <sz val="10"/>
        <rFont val="Arial"/>
        <family val="2"/>
      </rPr>
      <t>2020-4-3</t>
    </r>
    <r>
      <rPr>
        <sz val="10"/>
        <rFont val="宋体"/>
        <family val="3"/>
        <charset val="134"/>
      </rPr>
      <t>：完成</t>
    </r>
    <phoneticPr fontId="34" type="noConversion"/>
  </si>
  <si>
    <r>
      <t>2020-3-9</t>
    </r>
    <r>
      <rPr>
        <sz val="10"/>
        <rFont val="宋体"/>
        <family val="3"/>
        <charset val="134"/>
      </rPr>
      <t xml:space="preserve">：本周开始
</t>
    </r>
    <r>
      <rPr>
        <sz val="10"/>
        <rFont val="Arial"/>
        <family val="2"/>
      </rPr>
      <t>2020-3-23</t>
    </r>
    <r>
      <rPr>
        <sz val="10"/>
        <rFont val="宋体"/>
        <family val="3"/>
        <charset val="134"/>
      </rPr>
      <t xml:space="preserve">：未开始
</t>
    </r>
    <r>
      <rPr>
        <sz val="10"/>
        <rFont val="Arial"/>
        <family val="2"/>
      </rPr>
      <t>2020-4-3</t>
    </r>
    <r>
      <rPr>
        <sz val="10"/>
        <rFont val="宋体"/>
        <family val="3"/>
        <charset val="134"/>
      </rPr>
      <t>：除了</t>
    </r>
    <r>
      <rPr>
        <sz val="10"/>
        <rFont val="Arial"/>
        <family val="2"/>
      </rPr>
      <t>SkewTransform</t>
    </r>
    <r>
      <rPr>
        <sz val="10"/>
        <rFont val="宋体"/>
        <family val="3"/>
        <charset val="134"/>
      </rPr>
      <t>，其他都完成调试</t>
    </r>
    <phoneticPr fontId="34" type="noConversion"/>
  </si>
  <si>
    <t>主菜单栏设计与命令，要求实现完整的菜单外观，在每个菜单项执行log操作输出</t>
    <phoneticPr fontId="34" type="noConversion"/>
  </si>
  <si>
    <t>Su Zhifei</t>
    <phoneticPr fontId="34" type="noConversion"/>
  </si>
  <si>
    <t>底部状态栏的设计与外观实现</t>
    <phoneticPr fontId="34" type="noConversion"/>
  </si>
  <si>
    <t>Su Zhifei</t>
    <phoneticPr fontId="34" type="noConversion"/>
  </si>
  <si>
    <t>起始页</t>
    <phoneticPr fontId="34" type="noConversion"/>
  </si>
  <si>
    <t>Su Zhifei</t>
    <phoneticPr fontId="34" type="noConversion"/>
  </si>
  <si>
    <t>启动开机界面</t>
    <phoneticPr fontId="34" type="noConversion"/>
  </si>
  <si>
    <t>设计主窗口布局，包括菜单栏区域，节点树区域，nbPlayer区域</t>
    <phoneticPr fontId="34" type="noConversion"/>
  </si>
  <si>
    <r>
      <rPr>
        <sz val="11"/>
        <color theme="1"/>
        <rFont val="宋体"/>
        <family val="3"/>
        <charset val="134"/>
      </rPr>
      <t>实现提供给</t>
    </r>
    <r>
      <rPr>
        <sz val="11"/>
        <color theme="1"/>
        <rFont val="Arial"/>
        <family val="2"/>
      </rPr>
      <t>Studio</t>
    </r>
    <r>
      <rPr>
        <sz val="11"/>
        <color theme="1"/>
        <rFont val="宋体"/>
        <family val="3"/>
        <charset val="134"/>
      </rPr>
      <t>加载的插件机制，提供studio读取控件部分的信息</t>
    </r>
    <phoneticPr fontId="34" type="noConversion"/>
  </si>
  <si>
    <t>提供给studio读取控件属性的能力和接口</t>
    <phoneticPr fontId="34" type="noConversion"/>
  </si>
  <si>
    <r>
      <rPr>
        <sz val="11"/>
        <color theme="1"/>
        <rFont val="宋体"/>
        <family val="3"/>
        <charset val="134"/>
      </rPr>
      <t>提供给</t>
    </r>
    <r>
      <rPr>
        <sz val="11"/>
        <color theme="1"/>
        <rFont val="Arial"/>
        <family val="2"/>
      </rPr>
      <t>studio</t>
    </r>
    <r>
      <rPr>
        <sz val="11"/>
        <color theme="1"/>
        <rFont val="宋体"/>
        <family val="3"/>
        <charset val="134"/>
      </rPr>
      <t>读取控件的能力和接口</t>
    </r>
    <phoneticPr fontId="34" type="noConversion"/>
  </si>
  <si>
    <t>苏志飞</t>
    <phoneticPr fontId="42" type="noConversion"/>
  </si>
  <si>
    <t>苏志飞</t>
    <phoneticPr fontId="42" type="noConversion"/>
  </si>
  <si>
    <t>开机启动界面</t>
    <phoneticPr fontId="34" type="noConversion"/>
  </si>
  <si>
    <t>初始界面（打开项目、新建项目、example等）</t>
    <phoneticPr fontId="34" type="noConversion"/>
  </si>
  <si>
    <t>新建项目界面</t>
    <phoneticPr fontId="34" type="noConversion"/>
  </si>
  <si>
    <t>打开项目界面</t>
    <phoneticPr fontId="34" type="noConversion"/>
  </si>
  <si>
    <t>文档加载与显示</t>
    <phoneticPr fontId="34" type="noConversion"/>
  </si>
  <si>
    <t>开机、项目与状态</t>
    <phoneticPr fontId="42" type="noConversion"/>
  </si>
  <si>
    <t>项目另存为</t>
    <phoneticPr fontId="34" type="noConversion"/>
  </si>
  <si>
    <t>项目设置/状态的保存与设置</t>
    <phoneticPr fontId="34" type="noConversion"/>
  </si>
  <si>
    <t>菜单、工作区、状态栏</t>
    <phoneticPr fontId="34" type="noConversion"/>
  </si>
  <si>
    <t>主菜单</t>
    <phoneticPr fontId="34" type="noConversion"/>
  </si>
  <si>
    <t>状态栏</t>
    <phoneticPr fontId="34" type="noConversion"/>
  </si>
  <si>
    <t>苏志飞</t>
    <phoneticPr fontId="34" type="noConversion"/>
  </si>
  <si>
    <t>可视化节点树界面</t>
  </si>
  <si>
    <t>工作区的整体布局（窗口可内嵌、浮动、伸缩、添加、删除）</t>
    <phoneticPr fontId="34" type="noConversion"/>
  </si>
  <si>
    <t>属性展示与编辑窗口</t>
    <phoneticPr fontId="34" type="noConversion"/>
  </si>
  <si>
    <t>预览渲染窗口</t>
    <phoneticPr fontId="34" type="noConversion"/>
  </si>
  <si>
    <t>潘荣涛</t>
    <phoneticPr fontId="34" type="noConversion"/>
  </si>
  <si>
    <t>输出窗口</t>
    <phoneticPr fontId="34" type="noConversion"/>
  </si>
  <si>
    <t>Resource字典窗口</t>
    <phoneticPr fontId="34" type="noConversion"/>
  </si>
  <si>
    <t>动画编辑窗口</t>
    <phoneticPr fontId="34" type="noConversion"/>
  </si>
  <si>
    <t>动画列表窗口</t>
    <phoneticPr fontId="34" type="noConversion"/>
  </si>
  <si>
    <t>模板窗口</t>
    <phoneticPr fontId="34" type="noConversion"/>
  </si>
  <si>
    <t>资源字典窗口</t>
    <phoneticPr fontId="34" type="noConversion"/>
  </si>
  <si>
    <t>资产窗口（整合各窗口）</t>
    <phoneticPr fontId="34" type="noConversion"/>
  </si>
  <si>
    <t>样式窗口</t>
    <phoneticPr fontId="34" type="noConversion"/>
  </si>
  <si>
    <t>纹理和材质窗口</t>
    <phoneticPr fontId="34" type="noConversion"/>
  </si>
  <si>
    <t>媒体文件窗口</t>
    <phoneticPr fontId="34" type="noConversion"/>
  </si>
  <si>
    <t>状态机窗口</t>
    <phoneticPr fontId="34" type="noConversion"/>
  </si>
  <si>
    <t>数据上下文窗口</t>
    <phoneticPr fontId="34" type="noConversion"/>
  </si>
  <si>
    <t>Newbrush Studio 项目任务管理</t>
    <phoneticPr fontId="34" type="noConversion"/>
  </si>
  <si>
    <t>数据与后台</t>
    <phoneticPr fontId="34" type="noConversion"/>
  </si>
  <si>
    <t>控件元素管理</t>
    <phoneticPr fontId="34" type="noConversion"/>
  </si>
  <si>
    <t>可视化节点树数据</t>
    <phoneticPr fontId="34" type="noConversion"/>
  </si>
  <si>
    <t>模板数据管理</t>
    <phoneticPr fontId="34" type="noConversion"/>
  </si>
  <si>
    <t>属性数据</t>
    <phoneticPr fontId="34" type="noConversion"/>
  </si>
  <si>
    <t>资源字典数据</t>
    <phoneticPr fontId="34" type="noConversion"/>
  </si>
  <si>
    <t>样式管理</t>
    <phoneticPr fontId="34" type="noConversion"/>
  </si>
  <si>
    <t>媒体数据管理-字体</t>
    <phoneticPr fontId="34" type="noConversion"/>
  </si>
  <si>
    <t>媒体数据管理-图片</t>
    <phoneticPr fontId="34" type="noConversion"/>
  </si>
  <si>
    <t>媒体数据管理-音频</t>
    <phoneticPr fontId="34" type="noConversion"/>
  </si>
  <si>
    <t>媒体数据管理-视频</t>
    <phoneticPr fontId="34" type="noConversion"/>
  </si>
  <si>
    <t>媒体数据管理-3D模型</t>
    <phoneticPr fontId="34" type="noConversion"/>
  </si>
  <si>
    <t>动画管理</t>
    <phoneticPr fontId="34" type="noConversion"/>
  </si>
  <si>
    <t>比较基准</t>
    <phoneticPr fontId="34" type="noConversion"/>
  </si>
  <si>
    <t>位置</t>
  </si>
  <si>
    <t>项目详细信息</t>
  </si>
  <si>
    <t>时间表</t>
  </si>
  <si>
    <t xml:space="preserve"> 您的项目</t>
  </si>
  <si>
    <t>媒体相关：动画，画刷达60%成熟度</t>
    <phoneticPr fontId="34" type="noConversion"/>
  </si>
  <si>
    <t>高级用户接口GUI准备好基础类型搭建</t>
    <phoneticPr fontId="34" type="noConversion"/>
  </si>
  <si>
    <t>控件成熟度50%
&gt;常用控件
&gt;模板应用</t>
    <phoneticPr fontId="34" type="noConversion"/>
  </si>
  <si>
    <t>与Studio通信的基础RPC框架可用</t>
    <phoneticPr fontId="34" type="noConversion"/>
  </si>
  <si>
    <t>常用控件成熟度60%，Studio完成基本静态布局</t>
    <phoneticPr fontId="34" type="noConversion"/>
  </si>
  <si>
    <t>SDK启动</t>
    <phoneticPr fontId="34" type="noConversion"/>
  </si>
  <si>
    <t>SDK基础数据结构达到60%成熟度</t>
    <phoneticPr fontId="34" type="noConversion"/>
  </si>
  <si>
    <t>SDK成熟度80%</t>
    <phoneticPr fontId="34" type="noConversion"/>
  </si>
  <si>
    <t>nbb工程文件关联</t>
    <phoneticPr fontId="34" type="noConversion"/>
  </si>
  <si>
    <t>Studio可进行较为完整的工程设计，成熟度50%</t>
    <phoneticPr fontId="34" type="noConversion"/>
  </si>
  <si>
    <t>OpenGL渲染基础达成
成熟度50%</t>
    <phoneticPr fontId="34" type="noConversion"/>
  </si>
  <si>
    <t>Studio项目启动</t>
    <phoneticPr fontId="34" type="noConversion"/>
  </si>
  <si>
    <t>2021-2-30</t>
    <phoneticPr fontId="34" type="noConversion"/>
  </si>
  <si>
    <t>第二次优化</t>
    <phoneticPr fontId="34" type="noConversion"/>
  </si>
  <si>
    <t>多国语言与本地化</t>
    <phoneticPr fontId="34" type="noConversion"/>
  </si>
  <si>
    <t>多主题支持</t>
    <phoneticPr fontId="34" type="noConversion"/>
  </si>
  <si>
    <t>插件机制基本完善</t>
    <phoneticPr fontId="34" type="noConversion"/>
  </si>
  <si>
    <t>第一次SDK优化</t>
    <phoneticPr fontId="34" type="noConversion"/>
  </si>
  <si>
    <t>第二个demo项目</t>
    <phoneticPr fontId="34" type="noConversion"/>
  </si>
  <si>
    <t>第一个ADAS或ID项目demo</t>
    <phoneticPr fontId="34" type="noConversion"/>
  </si>
  <si>
    <t>提升SDK成熟度，
进行结构整合与调整</t>
    <phoneticPr fontId="34" type="noConversion"/>
  </si>
  <si>
    <t>Studio成熟度70%，
包含导出，资源加载部分
序列化</t>
    <phoneticPr fontId="34" type="noConversion"/>
  </si>
  <si>
    <t>Su Zhifei</t>
    <phoneticPr fontId="34" type="noConversion"/>
  </si>
  <si>
    <t>光照和材质</t>
    <phoneticPr fontId="34" type="noConversion"/>
  </si>
  <si>
    <t>研究光照模型，包括多光源等。
实现多种材质叠加的混合效果（比如颜色和纹理）</t>
    <phoneticPr fontId="34" type="noConversion"/>
  </si>
  <si>
    <t>高级光照</t>
    <phoneticPr fontId="34" type="noConversion"/>
  </si>
  <si>
    <t>阴影、法线贴图、UV坐标等</t>
    <phoneticPr fontId="34" type="noConversion"/>
  </si>
  <si>
    <t>模型动画</t>
    <phoneticPr fontId="34" type="noConversion"/>
  </si>
  <si>
    <t>研究模型的动画原理并code实现</t>
    <phoneticPr fontId="34" type="noConversion"/>
  </si>
  <si>
    <t>Pan Rongtao</t>
    <phoneticPr fontId="34" type="noConversion"/>
  </si>
  <si>
    <t>接口定义</t>
    <phoneticPr fontId="34" type="noConversion"/>
  </si>
  <si>
    <t>根据交互需求，定义接口，以头文件和库的形式对外输出</t>
    <phoneticPr fontId="34" type="noConversion"/>
  </si>
  <si>
    <t>研究模型交互需求，为接口定义做准备</t>
    <phoneticPr fontId="34" type="noConversion"/>
  </si>
  <si>
    <t>模型交互需求</t>
    <phoneticPr fontId="34" type="noConversion"/>
  </si>
  <si>
    <t>263</t>
    <phoneticPr fontId="34" type="noConversion"/>
  </si>
  <si>
    <r>
      <t>2020-5-4</t>
    </r>
    <r>
      <rPr>
        <sz val="10"/>
        <rFont val="宋体"/>
        <family val="3"/>
        <charset val="134"/>
      </rPr>
      <t>：已经可以读取类信息</t>
    </r>
    <phoneticPr fontId="34" type="noConversion"/>
  </si>
  <si>
    <r>
      <t>2020-4-7</t>
    </r>
    <r>
      <rPr>
        <sz val="10"/>
        <rFont val="宋体"/>
        <family val="3"/>
        <charset val="134"/>
      </rPr>
      <t xml:space="preserve">：本周开始
</t>
    </r>
    <r>
      <rPr>
        <sz val="10"/>
        <rFont val="Arial"/>
        <family val="2"/>
      </rPr>
      <t>2020-5-4</t>
    </r>
    <r>
      <rPr>
        <sz val="10"/>
        <rFont val="宋体"/>
        <family val="3"/>
        <charset val="134"/>
      </rPr>
      <t>：已完成</t>
    </r>
    <phoneticPr fontId="34" type="noConversion"/>
  </si>
  <si>
    <r>
      <t>2020-3-9</t>
    </r>
    <r>
      <rPr>
        <sz val="10"/>
        <rFont val="宋体"/>
        <family val="3"/>
        <charset val="134"/>
      </rPr>
      <t xml:space="preserve">：本周开始
</t>
    </r>
    <r>
      <rPr>
        <sz val="10"/>
        <rFont val="Arial"/>
        <family val="2"/>
      </rPr>
      <t>2020-4-3</t>
    </r>
    <r>
      <rPr>
        <sz val="10"/>
        <rFont val="宋体"/>
        <family val="3"/>
        <charset val="134"/>
      </rPr>
      <t xml:space="preserve">：下周开始
</t>
    </r>
    <r>
      <rPr>
        <sz val="10"/>
        <rFont val="Arial"/>
        <family val="2"/>
      </rPr>
      <t>2020-5-4</t>
    </r>
    <r>
      <rPr>
        <sz val="10"/>
        <rFont val="宋体"/>
        <family val="3"/>
        <charset val="134"/>
      </rPr>
      <t>：挂起，优先处理插件问题</t>
    </r>
    <phoneticPr fontId="34" type="noConversion"/>
  </si>
  <si>
    <t>Brush属性类型editor定制</t>
    <phoneticPr fontId="34" type="noConversion"/>
  </si>
  <si>
    <t>Pan Rongtao</t>
    <phoneticPr fontId="34" type="noConversion"/>
  </si>
  <si>
    <r>
      <t>2020-5-4</t>
    </r>
    <r>
      <rPr>
        <sz val="10"/>
        <rFont val="宋体"/>
        <family val="3"/>
        <charset val="134"/>
      </rPr>
      <t>：sdk信息已有，还在调试dll获取的方式</t>
    </r>
    <phoneticPr fontId="34" type="noConversion"/>
  </si>
  <si>
    <t>Window图标Icon的编辑格定制和调试</t>
    <phoneticPr fontId="34" type="noConversion"/>
  </si>
  <si>
    <t>模型格式文件全面覆盖测试（FBX,OBJ,fbx;obj;3DS;STL;xml)</t>
    <phoneticPr fontId="34" type="noConversion"/>
  </si>
  <si>
    <r>
      <t>2020-5-4</t>
    </r>
    <r>
      <rPr>
        <sz val="10"/>
        <rFont val="宋体"/>
        <family val="3"/>
        <charset val="134"/>
      </rPr>
      <t>：目前只能读取完整的数据，由于暂时没有模型调试。待后续实际项目完善。</t>
    </r>
    <phoneticPr fontId="34" type="noConversion"/>
  </si>
  <si>
    <r>
      <t>2020-5-4</t>
    </r>
    <r>
      <rPr>
        <sz val="10"/>
        <rFont val="宋体"/>
        <family val="3"/>
        <charset val="134"/>
      </rPr>
      <t xml:space="preserve">：
</t>
    </r>
    <r>
      <rPr>
        <sz val="10"/>
        <rFont val="Arial"/>
        <family val="2"/>
      </rPr>
      <t>2020-6-8</t>
    </r>
    <r>
      <rPr>
        <sz val="10"/>
        <rFont val="宋体"/>
        <family val="3"/>
        <charset val="134"/>
      </rPr>
      <t xml:space="preserve">：本周整理好
</t>
    </r>
    <r>
      <rPr>
        <sz val="10"/>
        <rFont val="Arial"/>
        <family val="2"/>
      </rPr>
      <t>2020-6-22</t>
    </r>
    <r>
      <rPr>
        <sz val="10"/>
        <rFont val="宋体"/>
        <family val="3"/>
        <charset val="134"/>
      </rPr>
      <t>：已经整理好月底输出的需求</t>
    </r>
    <phoneticPr fontId="34" type="noConversion"/>
  </si>
  <si>
    <t>在AB02项目上跑通OpenGL demo</t>
    <phoneticPr fontId="34" type="noConversion"/>
  </si>
  <si>
    <t>调试PC版本的Demo</t>
    <phoneticPr fontId="34" type="noConversion"/>
  </si>
  <si>
    <t>Pan Rongtao</t>
    <phoneticPr fontId="34" type="noConversion"/>
  </si>
  <si>
    <r>
      <t>nb</t>
    </r>
    <r>
      <rPr>
        <sz val="11"/>
        <color theme="1"/>
        <rFont val="宋体"/>
        <family val="2"/>
        <charset val="134"/>
        <scheme val="minor"/>
      </rPr>
      <t>::Point属性类型的单元编辑格定制</t>
    </r>
    <phoneticPr fontId="34" type="noConversion"/>
  </si>
  <si>
    <t>Pan Rongtao</t>
    <phoneticPr fontId="34" type="noConversion"/>
  </si>
  <si>
    <r>
      <t>2020-6-8</t>
    </r>
    <r>
      <rPr>
        <sz val="10"/>
        <rFont val="宋体"/>
        <family val="3"/>
        <charset val="134"/>
      </rPr>
      <t xml:space="preserve">：开始实施
</t>
    </r>
    <r>
      <rPr>
        <sz val="10"/>
        <rFont val="Arial"/>
        <family val="2"/>
      </rPr>
      <t>2020-6-22</t>
    </r>
    <r>
      <rPr>
        <sz val="10"/>
        <rFont val="宋体"/>
        <family val="3"/>
        <charset val="134"/>
      </rPr>
      <t>：完成第一版</t>
    </r>
    <phoneticPr fontId="34" type="noConversion"/>
  </si>
  <si>
    <r>
      <t>2020-6-29</t>
    </r>
    <r>
      <rPr>
        <sz val="10"/>
        <rFont val="宋体"/>
        <family val="3"/>
        <charset val="134"/>
      </rPr>
      <t>：完成</t>
    </r>
    <phoneticPr fontId="34" type="noConversion"/>
  </si>
  <si>
    <t>nb::Transform属性类型单元编辑格定制</t>
    <phoneticPr fontId="34" type="noConversion"/>
  </si>
  <si>
    <r>
      <t>2020-6-29</t>
    </r>
    <r>
      <rPr>
        <sz val="10"/>
        <rFont val="宋体"/>
        <family val="3"/>
        <charset val="134"/>
      </rPr>
      <t>：完成</t>
    </r>
    <phoneticPr fontId="34" type="noConversion"/>
  </si>
  <si>
    <t>普通数据类型（Int8、Int16、Int32、Int64、float、double、string等）的单元编辑格定制</t>
  </si>
  <si>
    <r>
      <t>2020-5-4</t>
    </r>
    <r>
      <rPr>
        <sz val="10"/>
        <rFont val="宋体"/>
        <family val="3"/>
        <charset val="134"/>
      </rPr>
      <t>：</t>
    </r>
    <phoneticPr fontId="34" type="noConversion"/>
  </si>
  <si>
    <r>
      <t>&lt;</t>
    </r>
    <r>
      <rPr>
        <b/>
        <sz val="18"/>
        <rFont val="宋体"/>
        <family val="3"/>
        <charset val="134"/>
      </rPr>
      <t>倒车轨迹线</t>
    </r>
    <r>
      <rPr>
        <b/>
        <sz val="18"/>
        <rFont val="Arial"/>
        <family val="2"/>
      </rPr>
      <t>OpenGL</t>
    </r>
    <r>
      <rPr>
        <b/>
        <sz val="18"/>
        <rFont val="宋体"/>
        <family val="3"/>
        <charset val="134"/>
      </rPr>
      <t>方案</t>
    </r>
    <r>
      <rPr>
        <b/>
        <sz val="18"/>
        <rFont val="Arial"/>
        <family val="2"/>
      </rPr>
      <t>&gt; Action Item List</t>
    </r>
    <phoneticPr fontId="34" type="noConversion"/>
  </si>
  <si>
    <t>Pan Rongtao</t>
    <phoneticPr fontId="34" type="noConversion"/>
  </si>
  <si>
    <r>
      <t>2020-3-9</t>
    </r>
    <r>
      <rPr>
        <sz val="10"/>
        <rFont val="宋体"/>
        <family val="3"/>
        <charset val="134"/>
      </rPr>
      <t>：使用catch2完善原来的测试案例
2020-3-23：已处理了单元测试用例，还需要统计覆盖率输出
2020-7-13：模块未使用，已不需要做单元测试</t>
    </r>
    <phoneticPr fontId="34" type="noConversion"/>
  </si>
  <si>
    <t>3D模型代码整合入NB框架中</t>
    <phoneticPr fontId="34" type="noConversion"/>
  </si>
  <si>
    <t>模型 cubmap天空盒材质</t>
    <phoneticPr fontId="34" type="noConversion"/>
  </si>
  <si>
    <t>Su Zhifei</t>
    <phoneticPr fontId="34" type="noConversion"/>
  </si>
  <si>
    <t>找CM新建Newbrush数据库</t>
    <phoneticPr fontId="34" type="noConversion"/>
  </si>
  <si>
    <r>
      <t>2020-5-4</t>
    </r>
    <r>
      <rPr>
        <sz val="10"/>
        <rFont val="宋体"/>
        <family val="3"/>
        <charset val="134"/>
      </rPr>
      <t xml:space="preserve">：
</t>
    </r>
    <r>
      <rPr>
        <sz val="10"/>
        <rFont val="Arial"/>
        <family val="2"/>
      </rPr>
      <t>2020-6-8</t>
    </r>
    <r>
      <rPr>
        <sz val="10"/>
        <rFont val="宋体"/>
        <family val="3"/>
        <charset val="134"/>
      </rPr>
      <t xml:space="preserve">：调通了，但是动画未对象化，不可控制
</t>
    </r>
    <r>
      <rPr>
        <sz val="10"/>
        <rFont val="Arial"/>
        <family val="2"/>
      </rPr>
      <t>2020-6-22</t>
    </r>
    <r>
      <rPr>
        <sz val="10"/>
        <rFont val="宋体"/>
        <family val="3"/>
        <charset val="134"/>
      </rPr>
      <t xml:space="preserve">：
</t>
    </r>
    <r>
      <rPr>
        <sz val="10"/>
        <rFont val="Arial"/>
        <family val="2"/>
      </rPr>
      <t>2020-6-29</t>
    </r>
    <r>
      <rPr>
        <sz val="10"/>
        <rFont val="宋体"/>
        <family val="3"/>
        <charset val="134"/>
      </rPr>
      <t>：本周调通（会后</t>
    </r>
    <r>
      <rPr>
        <sz val="10"/>
        <rFont val="Arial"/>
        <family val="2"/>
      </rPr>
      <t>PRT</t>
    </r>
    <r>
      <rPr>
        <sz val="10"/>
        <rFont val="宋体"/>
        <family val="3"/>
        <charset val="134"/>
      </rPr>
      <t xml:space="preserve">与SZF review当前代码，以提高调试效率）
2020-7-6：本周完成动画对象化，以便可控制任意节点的动画
2020-7-13：动画已经对象化，本周直接在android车机上调试
2020-7-20：已经在android上基本调试，目前需完善的点：1、旋转中心点设置为模型中心 2、动画支持反向；3、底部黑色mesh贴图；4、cubmap天空盒材质
2020-7-27：已完善，关闭
</t>
    </r>
    <phoneticPr fontId="34" type="noConversion"/>
  </si>
  <si>
    <r>
      <t>2020-7-20</t>
    </r>
    <r>
      <rPr>
        <sz val="10"/>
        <rFont val="宋体"/>
        <family val="3"/>
        <charset val="134"/>
      </rPr>
      <t xml:space="preserve">：本周
</t>
    </r>
    <r>
      <rPr>
        <sz val="10"/>
        <rFont val="Arial"/>
        <family val="2"/>
      </rPr>
      <t>2020-7-27</t>
    </r>
    <r>
      <rPr>
        <sz val="10"/>
        <rFont val="宋体"/>
        <family val="3"/>
        <charset val="134"/>
      </rPr>
      <t>：已经建立</t>
    </r>
    <phoneticPr fontId="34" type="noConversion"/>
  </si>
  <si>
    <r>
      <t>2020-7-20</t>
    </r>
    <r>
      <rPr>
        <sz val="10"/>
        <rFont val="宋体"/>
        <family val="3"/>
        <charset val="134"/>
      </rPr>
      <t xml:space="preserve">：今天给计划，本周先解决中心点等问题，下周开始
</t>
    </r>
    <r>
      <rPr>
        <sz val="10"/>
        <rFont val="Arial"/>
        <family val="2"/>
      </rPr>
      <t>2020-7-27</t>
    </r>
    <r>
      <rPr>
        <sz val="10"/>
        <rFont val="宋体"/>
        <family val="3"/>
        <charset val="134"/>
      </rPr>
      <t xml:space="preserve">：尽可能本周初步调试完成
</t>
    </r>
    <r>
      <rPr>
        <sz val="10"/>
        <rFont val="Arial"/>
        <family val="2"/>
      </rPr>
      <t>2020-8-3</t>
    </r>
    <r>
      <rPr>
        <sz val="10"/>
        <rFont val="宋体"/>
        <family val="3"/>
        <charset val="134"/>
      </rPr>
      <t>：完成</t>
    </r>
    <phoneticPr fontId="34" type="noConversion"/>
  </si>
  <si>
    <r>
      <t>2020-8-3</t>
    </r>
    <r>
      <rPr>
        <sz val="10"/>
        <rFont val="宋体"/>
        <family val="3"/>
        <charset val="134"/>
      </rPr>
      <t>：先思考怎么做，大概做成什么样。本周给出计划</t>
    </r>
    <phoneticPr fontId="34" type="noConversion"/>
  </si>
  <si>
    <t>kanzi2.8.13升级</t>
  </si>
  <si>
    <t>2019-11-18：正在进行
2019-12-2：升级到2.8.13，但是项目概率挂死。</t>
    <phoneticPr fontId="34" type="noConversion"/>
  </si>
  <si>
    <r>
      <rPr>
        <sz val="11"/>
        <color theme="1"/>
        <rFont val="宋体"/>
        <family val="3"/>
        <charset val="134"/>
      </rPr>
      <t>数据驱动替换掉</t>
    </r>
    <r>
      <rPr>
        <sz val="11"/>
        <color theme="1"/>
        <rFont val="Arial"/>
        <family val="2"/>
      </rPr>
      <t>SOMEIP</t>
    </r>
    <r>
      <rPr>
        <sz val="11"/>
        <color theme="1"/>
        <rFont val="宋体"/>
        <family val="3"/>
        <charset val="134"/>
      </rPr>
      <t>方案</t>
    </r>
    <phoneticPr fontId="34" type="noConversion"/>
  </si>
  <si>
    <t>模型demo问题解决：cubemap效果调整，倒影贴图，座位渲染不完整问题，
放大缩小按钮</t>
    <phoneticPr fontId="34" type="noConversion"/>
  </si>
  <si>
    <r>
      <t>2020-8-10</t>
    </r>
    <r>
      <rPr>
        <sz val="10"/>
        <rFont val="宋体"/>
        <family val="3"/>
        <charset val="134"/>
      </rPr>
      <t>：正在调试基于</t>
    </r>
    <r>
      <rPr>
        <sz val="10"/>
        <rFont val="Arial"/>
        <family val="2"/>
      </rPr>
      <t>Poco::Net</t>
    </r>
    <r>
      <rPr>
        <sz val="10"/>
        <rFont val="宋体"/>
        <family val="3"/>
        <charset val="134"/>
      </rPr>
      <t xml:space="preserve">的方案
</t>
    </r>
    <r>
      <rPr>
        <sz val="10"/>
        <rFont val="Arial"/>
        <family val="2"/>
      </rPr>
      <t>2020-8-19</t>
    </r>
    <r>
      <rPr>
        <sz val="10"/>
        <rFont val="宋体"/>
        <family val="3"/>
        <charset val="134"/>
      </rPr>
      <t xml:space="preserve">：已经给到项目做各方面测试
</t>
    </r>
    <r>
      <rPr>
        <sz val="10"/>
        <rFont val="Arial"/>
        <family val="2"/>
      </rPr>
      <t>2020-8-24</t>
    </r>
    <r>
      <rPr>
        <sz val="10"/>
        <rFont val="宋体"/>
        <family val="3"/>
        <charset val="134"/>
      </rPr>
      <t>：项目已经经过压力测试，并集成到了</t>
    </r>
    <r>
      <rPr>
        <sz val="10"/>
        <rFont val="Arial"/>
        <family val="2"/>
      </rPr>
      <t>T1D</t>
    </r>
    <r>
      <rPr>
        <sz val="10"/>
        <rFont val="宋体"/>
        <family val="3"/>
        <charset val="134"/>
      </rPr>
      <t>项目，应该没有问题了。</t>
    </r>
    <phoneticPr fontId="34" type="noConversion"/>
  </si>
  <si>
    <r>
      <t>2020-7-13</t>
    </r>
    <r>
      <rPr>
        <sz val="10"/>
        <rFont val="宋体"/>
        <family val="3"/>
        <charset val="134"/>
      </rPr>
      <t>：本周开始review代码，整理model部分
2020-7-27：整合工作量有点多，暂定还需两周完成初步移植
2020-8-3：正在处理
2020-8-10：先优先处理数据驱动方案
2020-8-19：本周开始可以重点处理次任务
2020-8-24：为了应对新的项目时间要求（9个月全功能+文档），把项目精简了，不再支持STUDIO等功能。目前已经有初版</t>
    </r>
    <phoneticPr fontId="34" type="noConversion"/>
  </si>
  <si>
    <t>丰富材质数据结构，满足更多细节</t>
    <phoneticPr fontId="34" type="noConversion"/>
  </si>
  <si>
    <t>Pan Rongtao</t>
    <phoneticPr fontId="34" type="noConversion"/>
  </si>
  <si>
    <t>提取光照对象</t>
    <phoneticPr fontId="34" type="noConversion"/>
  </si>
  <si>
    <t>考虑AD/DD/RD的形式和做法</t>
    <phoneticPr fontId="34" type="noConversion"/>
  </si>
  <si>
    <t>Su Zhifei</t>
    <phoneticPr fontId="34" type="noConversion"/>
  </si>
  <si>
    <t>Pan Rongtao</t>
    <phoneticPr fontId="34" type="noConversion"/>
  </si>
  <si>
    <r>
      <t>2020-8-19</t>
    </r>
    <r>
      <rPr>
        <sz val="10"/>
        <rFont val="宋体"/>
        <family val="3"/>
        <charset val="134"/>
      </rPr>
      <t xml:space="preserve">：节点顺序引起的渲染顺序问题，新的车模修改了顺序就没有问题了。
</t>
    </r>
    <r>
      <rPr>
        <sz val="10"/>
        <rFont val="Arial"/>
        <family val="2"/>
      </rPr>
      <t>2020-8-24</t>
    </r>
    <r>
      <rPr>
        <sz val="10"/>
        <rFont val="宋体"/>
        <family val="3"/>
        <charset val="134"/>
      </rPr>
      <t>：今天搞定放大缩小问题，本周完成cubemap调整
2020-8-30：已完成</t>
    </r>
    <phoneticPr fontId="34" type="noConversion"/>
  </si>
  <si>
    <r>
      <t>2020-8-24</t>
    </r>
    <r>
      <rPr>
        <sz val="10"/>
        <rFont val="宋体"/>
        <family val="3"/>
        <charset val="134"/>
      </rPr>
      <t xml:space="preserve">：本周开始
</t>
    </r>
    <r>
      <rPr>
        <sz val="10"/>
        <rFont val="Arial"/>
        <family val="2"/>
      </rPr>
      <t>2020-8-30</t>
    </r>
    <r>
      <rPr>
        <sz val="10"/>
        <rFont val="宋体"/>
        <family val="3"/>
        <charset val="134"/>
      </rPr>
      <t>：已完成</t>
    </r>
    <phoneticPr fontId="34" type="noConversion"/>
  </si>
  <si>
    <t>动画系统整合</t>
    <phoneticPr fontId="34" type="noConversion"/>
  </si>
  <si>
    <t>Pan Rongtao</t>
    <phoneticPr fontId="34" type="noConversion"/>
  </si>
  <si>
    <t>节点动画整合</t>
    <phoneticPr fontId="34" type="noConversion"/>
  </si>
  <si>
    <t>矩阵封装</t>
    <phoneticPr fontId="34" type="noConversion"/>
  </si>
  <si>
    <r>
      <t>2020-8-30</t>
    </r>
    <r>
      <rPr>
        <sz val="10"/>
        <rFont val="宋体"/>
        <family val="3"/>
        <charset val="134"/>
      </rPr>
      <t xml:space="preserve">：本周开始
</t>
    </r>
    <r>
      <rPr>
        <sz val="10"/>
        <rFont val="Arial"/>
        <family val="2"/>
      </rPr>
      <t>2020-9-7</t>
    </r>
    <r>
      <rPr>
        <sz val="10"/>
        <rFont val="宋体"/>
        <family val="3"/>
        <charset val="134"/>
      </rPr>
      <t>：完成</t>
    </r>
    <phoneticPr fontId="34" type="noConversion"/>
  </si>
  <si>
    <t>模型展示周边优化：禁用侧边栏、禁用下拉菜单，按钮位置等的重新布局、启动方式方案、小人图标隐藏；展示机器平台选择</t>
    <phoneticPr fontId="34" type="noConversion"/>
  </si>
  <si>
    <t>推介会《NewBrush 3D》课题准备</t>
    <phoneticPr fontId="34" type="noConversion"/>
  </si>
  <si>
    <t>Pan Rongtao</t>
    <phoneticPr fontId="34" type="noConversion"/>
  </si>
  <si>
    <r>
      <t>2020-9-7</t>
    </r>
    <r>
      <rPr>
        <sz val="10"/>
        <rFont val="宋体"/>
        <family val="3"/>
        <charset val="134"/>
      </rPr>
      <t>：完成</t>
    </r>
    <phoneticPr fontId="34" type="noConversion"/>
  </si>
  <si>
    <t>车模背景效果优化（木地板+光照）</t>
    <phoneticPr fontId="34" type="noConversion"/>
  </si>
  <si>
    <t>Su Zhifei</t>
    <phoneticPr fontId="34" type="noConversion"/>
  </si>
  <si>
    <t>推介会《倒车轨迹线》课题准备</t>
    <phoneticPr fontId="34" type="noConversion"/>
  </si>
  <si>
    <r>
      <t>2020-9-7</t>
    </r>
    <r>
      <rPr>
        <sz val="10"/>
        <rFont val="宋体"/>
        <family val="3"/>
        <charset val="134"/>
      </rPr>
      <t xml:space="preserve">：本周开始
</t>
    </r>
    <r>
      <rPr>
        <sz val="10"/>
        <rFont val="Arial"/>
        <family val="2"/>
      </rPr>
      <t>2020-9-14</t>
    </r>
    <r>
      <rPr>
        <sz val="10"/>
        <rFont val="宋体"/>
        <family val="3"/>
        <charset val="134"/>
      </rPr>
      <t>：已完成</t>
    </r>
    <r>
      <rPr>
        <sz val="10"/>
        <rFont val="Arial"/>
        <family val="2"/>
      </rPr>
      <t>PPT</t>
    </r>
    <r>
      <rPr>
        <sz val="10"/>
        <rFont val="宋体"/>
        <family val="3"/>
        <charset val="134"/>
      </rPr>
      <t>，正在调试机器</t>
    </r>
    <phoneticPr fontId="34" type="noConversion"/>
  </si>
  <si>
    <r>
      <t>2020-9-7</t>
    </r>
    <r>
      <rPr>
        <sz val="10"/>
        <rFont val="宋体"/>
        <family val="3"/>
        <charset val="134"/>
      </rPr>
      <t xml:space="preserve">：
</t>
    </r>
    <r>
      <rPr>
        <sz val="10"/>
        <rFont val="Arial"/>
        <family val="2"/>
      </rPr>
      <t>2020-9-14</t>
    </r>
    <r>
      <rPr>
        <sz val="10"/>
        <rFont val="宋体"/>
        <family val="3"/>
        <charset val="134"/>
      </rPr>
      <t>：已完成</t>
    </r>
    <r>
      <rPr>
        <sz val="10"/>
        <rFont val="Arial"/>
        <family val="2"/>
      </rPr>
      <t>PPT</t>
    </r>
    <r>
      <rPr>
        <sz val="10"/>
        <rFont val="宋体"/>
        <family val="3"/>
        <charset val="134"/>
      </rPr>
      <t>，正在调试机器</t>
    </r>
    <phoneticPr fontId="34" type="noConversion"/>
  </si>
  <si>
    <r>
      <t>2020-9-7</t>
    </r>
    <r>
      <rPr>
        <sz val="10"/>
        <rFont val="宋体"/>
        <family val="3"/>
        <charset val="134"/>
      </rPr>
      <t xml:space="preserve">：本周开始
</t>
    </r>
    <r>
      <rPr>
        <sz val="10"/>
        <rFont val="Arial"/>
        <family val="2"/>
      </rPr>
      <t>2020-9-14</t>
    </r>
    <r>
      <rPr>
        <sz val="10"/>
        <rFont val="宋体"/>
        <family val="3"/>
        <charset val="134"/>
      </rPr>
      <t>：光照先不弄，地板完成</t>
    </r>
    <phoneticPr fontId="34" type="noConversion"/>
  </si>
  <si>
    <r>
      <t>2020-9-14</t>
    </r>
    <r>
      <rPr>
        <sz val="10"/>
        <rFont val="宋体"/>
        <family val="3"/>
        <charset val="134"/>
      </rPr>
      <t>：下周开始</t>
    </r>
    <phoneticPr fontId="34" type="noConversion"/>
  </si>
  <si>
    <r>
      <t>2020-8-30</t>
    </r>
    <r>
      <rPr>
        <sz val="10"/>
        <rFont val="宋体"/>
        <family val="3"/>
        <charset val="134"/>
      </rPr>
      <t xml:space="preserve">：本周开始，预计一周完成
</t>
    </r>
    <r>
      <rPr>
        <sz val="10"/>
        <rFont val="Arial"/>
        <family val="2"/>
      </rPr>
      <t>2020-9-7</t>
    </r>
    <r>
      <rPr>
        <sz val="10"/>
        <rFont val="宋体"/>
        <family val="3"/>
        <charset val="134"/>
      </rPr>
      <t xml:space="preserve">：已完成禁用侧边栏、禁用下拉菜单，尽量本周解决掉这些环境方面的问题
</t>
    </r>
    <r>
      <rPr>
        <sz val="10"/>
        <rFont val="Arial"/>
        <family val="2"/>
      </rPr>
      <t>2020-9-14</t>
    </r>
    <r>
      <rPr>
        <sz val="10"/>
        <rFont val="宋体"/>
        <family val="3"/>
        <charset val="134"/>
      </rPr>
      <t>：自启动还没弄，今天先尝试自己弄，不行就问下</t>
    </r>
    <r>
      <rPr>
        <sz val="10"/>
        <rFont val="Arial"/>
        <family val="2"/>
      </rPr>
      <t>Android</t>
    </r>
    <r>
      <rPr>
        <sz val="10"/>
        <rFont val="宋体"/>
        <family val="3"/>
        <charset val="134"/>
      </rPr>
      <t xml:space="preserve">相关人员
</t>
    </r>
    <r>
      <rPr>
        <sz val="10"/>
        <rFont val="Arial"/>
        <family val="2"/>
      </rPr>
      <t>2020-9-21</t>
    </r>
    <r>
      <rPr>
        <sz val="10"/>
        <rFont val="宋体"/>
        <family val="3"/>
        <charset val="134"/>
      </rPr>
      <t>：无法做开机自启动，做成手动点击。但需要把旁边的硬按键遮挡住，今天确认。</t>
    </r>
    <phoneticPr fontId="34" type="noConversion"/>
  </si>
  <si>
    <t>模型视觉意见收集</t>
    <phoneticPr fontId="34" type="noConversion"/>
  </si>
  <si>
    <t>Su, Zhifei</t>
    <phoneticPr fontId="34" type="noConversion"/>
  </si>
  <si>
    <t>模型加载JSON配置文件</t>
  </si>
  <si>
    <t>Pan Rongtao</t>
    <phoneticPr fontId="34" type="noConversion"/>
  </si>
  <si>
    <r>
      <t>2020-9-21</t>
    </r>
    <r>
      <rPr>
        <sz val="10"/>
        <rFont val="宋体"/>
        <family val="3"/>
        <charset val="134"/>
      </rPr>
      <t xml:space="preserve">：本周开始
</t>
    </r>
    <r>
      <rPr>
        <sz val="10"/>
        <rFont val="Arial"/>
        <family val="2"/>
      </rPr>
      <t>2020-9-28</t>
    </r>
    <r>
      <rPr>
        <sz val="10"/>
        <rFont val="宋体"/>
        <family val="3"/>
        <charset val="134"/>
      </rPr>
      <t>：搜集完成，罗列详细优化任务</t>
    </r>
    <phoneticPr fontId="34" type="noConversion"/>
  </si>
  <si>
    <t>创新大赛两个参赛作品</t>
    <phoneticPr fontId="34" type="noConversion"/>
  </si>
  <si>
    <t>PC版本输出纹理</t>
    <phoneticPr fontId="34" type="noConversion"/>
  </si>
  <si>
    <t>系统需求文档和架构设计文档</t>
    <phoneticPr fontId="34" type="noConversion"/>
  </si>
  <si>
    <r>
      <t>2020-9-21</t>
    </r>
    <r>
      <rPr>
        <sz val="10"/>
        <rFont val="宋体"/>
        <family val="3"/>
        <charset val="134"/>
      </rPr>
      <t xml:space="preserve">：本周开始
</t>
    </r>
    <r>
      <rPr>
        <sz val="10"/>
        <rFont val="Arial"/>
        <family val="2"/>
      </rPr>
      <t>2020-9-28</t>
    </r>
    <r>
      <rPr>
        <sz val="10"/>
        <rFont val="宋体"/>
        <family val="3"/>
        <charset val="134"/>
      </rPr>
      <t>：已解析可视部分，正在处理</t>
    </r>
    <r>
      <rPr>
        <sz val="10"/>
        <rFont val="Arial"/>
        <family val="2"/>
      </rPr>
      <t>Library</t>
    </r>
    <r>
      <rPr>
        <sz val="10"/>
        <rFont val="宋体"/>
        <family val="3"/>
        <charset val="134"/>
      </rPr>
      <t xml:space="preserve">部分
</t>
    </r>
    <r>
      <rPr>
        <sz val="10"/>
        <rFont val="Arial"/>
        <family val="2"/>
      </rPr>
      <t>2020-10-12</t>
    </r>
    <r>
      <rPr>
        <sz val="10"/>
        <rFont val="宋体"/>
        <family val="3"/>
        <charset val="134"/>
      </rPr>
      <t>：完成初版，但是不太易用，看后期移植到android上后决定是否使用</t>
    </r>
    <phoneticPr fontId="34" type="noConversion"/>
  </si>
  <si>
    <r>
      <t>2020-9-28</t>
    </r>
    <r>
      <rPr>
        <sz val="10"/>
        <rFont val="宋体"/>
        <family val="3"/>
        <charset val="134"/>
      </rPr>
      <t xml:space="preserve">：国庆假期后开始
</t>
    </r>
    <r>
      <rPr>
        <sz val="10"/>
        <rFont val="Arial"/>
        <family val="2"/>
      </rPr>
      <t>2020-10-12</t>
    </r>
    <r>
      <rPr>
        <sz val="10"/>
        <rFont val="宋体"/>
        <family val="3"/>
        <charset val="134"/>
      </rPr>
      <t>：本周开始，做</t>
    </r>
    <r>
      <rPr>
        <sz val="10"/>
        <rFont val="Arial"/>
        <family val="2"/>
      </rPr>
      <t>SW RD, DD
2020-10-19</t>
    </r>
    <r>
      <rPr>
        <sz val="10"/>
        <rFont val="宋体"/>
        <family val="3"/>
        <charset val="134"/>
      </rPr>
      <t>：只做了</t>
    </r>
    <r>
      <rPr>
        <sz val="10"/>
        <rFont val="Arial"/>
        <family val="2"/>
      </rPr>
      <t>RD</t>
    </r>
    <r>
      <rPr>
        <sz val="10"/>
        <rFont val="宋体"/>
        <family val="3"/>
        <charset val="134"/>
      </rPr>
      <t xml:space="preserve">部分
</t>
    </r>
    <r>
      <rPr>
        <sz val="10"/>
        <rFont val="Arial"/>
        <family val="2"/>
      </rPr>
      <t>2020-10-26</t>
    </r>
    <r>
      <rPr>
        <sz val="10"/>
        <rFont val="宋体"/>
        <family val="3"/>
        <charset val="134"/>
      </rPr>
      <t>：完成</t>
    </r>
    <phoneticPr fontId="34" type="noConversion"/>
  </si>
  <si>
    <r>
      <t>2020-9-28</t>
    </r>
    <r>
      <rPr>
        <sz val="10"/>
        <rFont val="宋体"/>
        <family val="3"/>
        <charset val="134"/>
      </rPr>
      <t xml:space="preserve">：国庆假期后开始
</t>
    </r>
    <r>
      <rPr>
        <sz val="10"/>
        <rFont val="Arial"/>
        <family val="2"/>
      </rPr>
      <t>2020-10-12</t>
    </r>
    <r>
      <rPr>
        <sz val="10"/>
        <rFont val="宋体"/>
        <family val="3"/>
        <charset val="134"/>
      </rPr>
      <t xml:space="preserve">：本周开始，预计两周完成
</t>
    </r>
    <r>
      <rPr>
        <sz val="10"/>
        <rFont val="Arial"/>
        <family val="2"/>
      </rPr>
      <t>2020-10-19</t>
    </r>
    <r>
      <rPr>
        <sz val="10"/>
        <rFont val="宋体"/>
        <family val="3"/>
        <charset val="134"/>
      </rPr>
      <t xml:space="preserve">：系统需求文档已完成
</t>
    </r>
    <r>
      <rPr>
        <sz val="10"/>
        <rFont val="Arial"/>
        <family val="2"/>
      </rPr>
      <t>2020-10-26</t>
    </r>
    <r>
      <rPr>
        <sz val="10"/>
        <rFont val="宋体"/>
        <family val="3"/>
        <charset val="134"/>
      </rPr>
      <t>：完成</t>
    </r>
    <phoneticPr fontId="34" type="noConversion"/>
  </si>
  <si>
    <t>android studio cmake使用研究</t>
    <phoneticPr fontId="34" type="noConversion"/>
  </si>
  <si>
    <t>android studio环境搭建</t>
    <phoneticPr fontId="34" type="noConversion"/>
  </si>
  <si>
    <t>FBX格式各种模型渲染验证</t>
    <phoneticPr fontId="34" type="noConversion"/>
  </si>
  <si>
    <r>
      <t>2020-10-19</t>
    </r>
    <r>
      <rPr>
        <sz val="10"/>
        <rFont val="宋体"/>
        <family val="3"/>
        <charset val="134"/>
      </rPr>
      <t>：本周使用推介会</t>
    </r>
    <r>
      <rPr>
        <sz val="10"/>
        <rFont val="Arial"/>
        <family val="2"/>
      </rPr>
      <t>PPT</t>
    </r>
    <r>
      <rPr>
        <sz val="10"/>
        <rFont val="宋体"/>
        <family val="3"/>
        <charset val="134"/>
      </rPr>
      <t xml:space="preserve">尝试演讲，根据需要做微调。
</t>
    </r>
    <r>
      <rPr>
        <sz val="10"/>
        <rFont val="Arial"/>
        <family val="2"/>
      </rPr>
      <t>2020-9-28</t>
    </r>
    <r>
      <rPr>
        <sz val="10"/>
        <rFont val="宋体"/>
        <family val="3"/>
        <charset val="134"/>
      </rPr>
      <t>：不再重新制作</t>
    </r>
    <r>
      <rPr>
        <sz val="10"/>
        <rFont val="Arial"/>
        <family val="2"/>
      </rPr>
      <t>PPT</t>
    </r>
    <r>
      <rPr>
        <sz val="10"/>
        <rFont val="宋体"/>
        <family val="3"/>
        <charset val="134"/>
      </rPr>
      <t>，使用推介会的</t>
    </r>
    <r>
      <rPr>
        <sz val="10"/>
        <rFont val="Arial"/>
        <family val="2"/>
      </rPr>
      <t>PPT</t>
    </r>
    <r>
      <rPr>
        <sz val="10"/>
        <rFont val="宋体"/>
        <family val="3"/>
        <charset val="134"/>
      </rPr>
      <t xml:space="preserve">，花两天时间模拟演讲完善
</t>
    </r>
    <r>
      <rPr>
        <sz val="10"/>
        <rFont val="Arial"/>
        <family val="2"/>
      </rPr>
      <t>2020-11-2</t>
    </r>
    <r>
      <rPr>
        <sz val="10"/>
        <rFont val="宋体"/>
        <family val="3"/>
        <charset val="134"/>
      </rPr>
      <t>：初选未过，终止</t>
    </r>
    <phoneticPr fontId="34" type="noConversion"/>
  </si>
  <si>
    <r>
      <t>2020-11-2</t>
    </r>
    <r>
      <rPr>
        <sz val="10"/>
        <rFont val="宋体"/>
        <family val="3"/>
        <charset val="134"/>
      </rPr>
      <t>：完成</t>
    </r>
    <phoneticPr fontId="34" type="noConversion"/>
  </si>
  <si>
    <r>
      <t>2020-11-2</t>
    </r>
    <r>
      <rPr>
        <sz val="10"/>
        <rFont val="宋体"/>
        <family val="3"/>
        <charset val="134"/>
      </rPr>
      <t>：第三方库都编译完成，正在编译</t>
    </r>
    <r>
      <rPr>
        <sz val="10"/>
        <rFont val="Arial"/>
        <family val="2"/>
      </rPr>
      <t>NB
2020-11-9</t>
    </r>
    <r>
      <rPr>
        <sz val="10"/>
        <rFont val="宋体"/>
        <family val="3"/>
        <charset val="134"/>
      </rPr>
      <t>：完成</t>
    </r>
    <phoneticPr fontId="34" type="noConversion"/>
  </si>
  <si>
    <t>数据驱动</t>
    <phoneticPr fontId="34" type="noConversion"/>
  </si>
  <si>
    <t>Pan Rongtao</t>
    <phoneticPr fontId="34" type="noConversion"/>
  </si>
  <si>
    <r>
      <t>2020-11-16</t>
    </r>
    <r>
      <rPr>
        <sz val="10"/>
        <rFont val="宋体"/>
        <family val="3"/>
        <charset val="134"/>
      </rPr>
      <t>：完成</t>
    </r>
    <phoneticPr fontId="34" type="noConversion"/>
  </si>
  <si>
    <t>移植JNI与调试</t>
    <phoneticPr fontId="34" type="noConversion"/>
  </si>
  <si>
    <t>Pan Rongtao</t>
    <phoneticPr fontId="34" type="noConversion"/>
  </si>
  <si>
    <t>横向渐变需求</t>
    <phoneticPr fontId="34" type="noConversion"/>
  </si>
  <si>
    <r>
      <t>2020-6-29</t>
    </r>
    <r>
      <rPr>
        <sz val="10"/>
        <rFont val="宋体"/>
        <family val="3"/>
        <charset val="134"/>
      </rPr>
      <t xml:space="preserve">：沟通一下项目，包括机器分配的情况，立项进展
</t>
    </r>
    <r>
      <rPr>
        <sz val="10"/>
        <rFont val="Arial"/>
        <family val="2"/>
      </rPr>
      <t>2020-7-6</t>
    </r>
    <r>
      <rPr>
        <sz val="10"/>
        <rFont val="宋体"/>
        <family val="3"/>
        <charset val="134"/>
      </rPr>
      <t xml:space="preserve">：机器已经拿到，缺摄像头，后续拿到
</t>
    </r>
    <r>
      <rPr>
        <sz val="10"/>
        <rFont val="Arial"/>
        <family val="2"/>
      </rPr>
      <t>2020-7-27</t>
    </r>
    <r>
      <rPr>
        <sz val="10"/>
        <rFont val="宋体"/>
        <family val="3"/>
        <charset val="134"/>
      </rPr>
      <t xml:space="preserve">：尽可能下周开始
</t>
    </r>
    <r>
      <rPr>
        <sz val="10"/>
        <rFont val="Arial"/>
        <family val="2"/>
      </rPr>
      <t>2020-8-3</t>
    </r>
    <r>
      <rPr>
        <sz val="10"/>
        <rFont val="宋体"/>
        <family val="3"/>
        <charset val="134"/>
      </rPr>
      <t xml:space="preserve">：本周开始
</t>
    </r>
    <r>
      <rPr>
        <sz val="10"/>
        <rFont val="Arial"/>
        <family val="2"/>
      </rPr>
      <t>2020-8-10</t>
    </r>
    <r>
      <rPr>
        <sz val="10"/>
        <rFont val="宋体"/>
        <family val="3"/>
        <charset val="134"/>
      </rPr>
      <t>：需要南京配合调试</t>
    </r>
    <r>
      <rPr>
        <sz val="10"/>
        <rFont val="Arial"/>
        <family val="2"/>
      </rPr>
      <t>EGL</t>
    </r>
    <r>
      <rPr>
        <sz val="10"/>
        <rFont val="宋体"/>
        <family val="3"/>
        <charset val="134"/>
      </rPr>
      <t xml:space="preserve">部分，协调人员部分已经给到项目经理。确定了基本的接口，本周可以先按照接口写实现，并调试完成。
</t>
    </r>
    <r>
      <rPr>
        <sz val="10"/>
        <rFont val="Arial"/>
        <family val="2"/>
      </rPr>
      <t>2020-8-19</t>
    </r>
    <r>
      <rPr>
        <sz val="10"/>
        <rFont val="宋体"/>
        <family val="3"/>
        <charset val="134"/>
      </rPr>
      <t xml:space="preserve">：等项目经理协调人力，本周或者下周正式邮件询问进度
</t>
    </r>
    <r>
      <rPr>
        <sz val="10"/>
        <rFont val="Arial"/>
        <family val="2"/>
      </rPr>
      <t>2020-8-24</t>
    </r>
    <r>
      <rPr>
        <sz val="10"/>
        <rFont val="宋体"/>
        <family val="3"/>
        <charset val="134"/>
      </rPr>
      <t xml:space="preserve">：本周发出正式的邮件督促协调人员
</t>
    </r>
    <r>
      <rPr>
        <sz val="10"/>
        <rFont val="Arial"/>
        <family val="2"/>
      </rPr>
      <t>2020-8-31</t>
    </r>
    <r>
      <rPr>
        <sz val="10"/>
        <rFont val="宋体"/>
        <family val="3"/>
        <charset val="134"/>
      </rPr>
      <t xml:space="preserve">：等待原平台解决协调人员、历史各种问题
</t>
    </r>
    <r>
      <rPr>
        <sz val="10"/>
        <rFont val="Arial"/>
        <family val="2"/>
      </rPr>
      <t>2020-11-23</t>
    </r>
    <r>
      <rPr>
        <sz val="10"/>
        <rFont val="宋体"/>
        <family val="3"/>
        <charset val="134"/>
      </rPr>
      <t>：已不需要arm版本</t>
    </r>
    <phoneticPr fontId="34" type="noConversion"/>
  </si>
  <si>
    <r>
      <t>2020-11-16</t>
    </r>
    <r>
      <rPr>
        <sz val="10"/>
        <rFont val="宋体"/>
        <family val="3"/>
        <charset val="134"/>
      </rPr>
      <t xml:space="preserve">：本周开始
</t>
    </r>
    <r>
      <rPr>
        <sz val="10"/>
        <rFont val="Arial"/>
        <family val="2"/>
      </rPr>
      <t>2020-11-23</t>
    </r>
    <r>
      <rPr>
        <sz val="10"/>
        <rFont val="宋体"/>
        <family val="3"/>
        <charset val="134"/>
      </rPr>
      <t xml:space="preserve">：这周完成
</t>
    </r>
    <r>
      <rPr>
        <sz val="10"/>
        <rFont val="Arial"/>
        <family val="2"/>
      </rPr>
      <t>2020-11-30</t>
    </r>
    <r>
      <rPr>
        <sz val="10"/>
        <rFont val="宋体"/>
        <family val="3"/>
        <charset val="134"/>
      </rPr>
      <t>：已经有一个版本，调通</t>
    </r>
    <phoneticPr fontId="34" type="noConversion"/>
  </si>
  <si>
    <t>demo添加下雪下雨晴天三种效果</t>
    <phoneticPr fontId="34" type="noConversion"/>
  </si>
  <si>
    <t>Su Zhifei</t>
    <phoneticPr fontId="34" type="noConversion"/>
  </si>
  <si>
    <r>
      <t>2020-6-29</t>
    </r>
    <r>
      <rPr>
        <sz val="10"/>
        <rFont val="宋体"/>
        <family val="3"/>
        <charset val="134"/>
      </rPr>
      <t xml:space="preserve">：本周开始
</t>
    </r>
    <r>
      <rPr>
        <sz val="10"/>
        <rFont val="Arial"/>
        <family val="2"/>
      </rPr>
      <t>2020-7-6</t>
    </r>
    <r>
      <rPr>
        <sz val="10"/>
        <rFont val="宋体"/>
        <family val="3"/>
        <charset val="134"/>
      </rPr>
      <t xml:space="preserve">：
</t>
    </r>
    <r>
      <rPr>
        <sz val="10"/>
        <rFont val="Arial"/>
        <family val="2"/>
      </rPr>
      <t>2020-7-13</t>
    </r>
    <r>
      <rPr>
        <sz val="10"/>
        <rFont val="宋体"/>
        <family val="3"/>
        <charset val="134"/>
      </rPr>
      <t xml:space="preserve">：基本的线基本可以绘制，接下来研究渐变
</t>
    </r>
    <r>
      <rPr>
        <sz val="10"/>
        <rFont val="Arial"/>
        <family val="2"/>
      </rPr>
      <t>2020-7-27</t>
    </r>
    <r>
      <rPr>
        <sz val="10"/>
        <rFont val="宋体"/>
        <family val="3"/>
        <charset val="134"/>
      </rPr>
      <t xml:space="preserve">：目前有个半弧形缝隙问题仍然在调试，预计本周解决
</t>
    </r>
    <r>
      <rPr>
        <sz val="10"/>
        <rFont val="Arial"/>
        <family val="2"/>
      </rPr>
      <t>2020-8-3</t>
    </r>
    <r>
      <rPr>
        <sz val="10"/>
        <rFont val="宋体"/>
        <family val="3"/>
        <charset val="134"/>
      </rPr>
      <t xml:space="preserve">：半弧问题已经解决，是数据给得有问题。本周等待算法给过来几个项目的数据，然后调试看结果
</t>
    </r>
    <r>
      <rPr>
        <sz val="10"/>
        <rFont val="Arial"/>
        <family val="2"/>
      </rPr>
      <t>2020-8-10</t>
    </r>
    <r>
      <rPr>
        <sz val="10"/>
        <rFont val="宋体"/>
        <family val="3"/>
        <charset val="134"/>
      </rPr>
      <t xml:space="preserve">：已经把模拟程序给到算法调试，本项基本完成
</t>
    </r>
    <r>
      <rPr>
        <sz val="10"/>
        <rFont val="Arial"/>
        <family val="2"/>
      </rPr>
      <t>2020-8-19</t>
    </r>
    <r>
      <rPr>
        <sz val="10"/>
        <rFont val="宋体"/>
        <family val="3"/>
        <charset val="134"/>
      </rPr>
      <t xml:space="preserve">：挂起，后续联调
</t>
    </r>
    <r>
      <rPr>
        <sz val="10"/>
        <rFont val="Arial"/>
        <family val="2"/>
      </rPr>
      <t>2020-11-23</t>
    </r>
    <r>
      <rPr>
        <sz val="10"/>
        <rFont val="宋体"/>
        <family val="3"/>
        <charset val="134"/>
      </rPr>
      <t xml:space="preserve">：协助解决工程挂死问题
</t>
    </r>
    <r>
      <rPr>
        <sz val="10"/>
        <rFont val="Arial"/>
        <family val="2"/>
      </rPr>
      <t>2020-11-30</t>
    </r>
    <r>
      <rPr>
        <sz val="10"/>
        <rFont val="宋体"/>
        <family val="3"/>
        <charset val="134"/>
      </rPr>
      <t>：环境问题已经解决，是对方的配置问题</t>
    </r>
    <phoneticPr fontId="34" type="noConversion"/>
  </si>
  <si>
    <r>
      <t>2020-11-23</t>
    </r>
    <r>
      <rPr>
        <sz val="10"/>
        <rFont val="宋体"/>
        <family val="3"/>
        <charset val="134"/>
      </rPr>
      <t xml:space="preserve">：计划两周完成
</t>
    </r>
    <r>
      <rPr>
        <sz val="10"/>
        <rFont val="Arial"/>
        <family val="2"/>
      </rPr>
      <t>2020-11-30</t>
    </r>
    <r>
      <rPr>
        <sz val="10"/>
        <rFont val="宋体"/>
        <family val="3"/>
        <charset val="134"/>
      </rPr>
      <t>：已完成</t>
    </r>
    <phoneticPr fontId="34" type="noConversion"/>
  </si>
  <si>
    <t>统一android开发环境，SDK版本，NDK版本，安装路径等</t>
    <phoneticPr fontId="34" type="noConversion"/>
  </si>
  <si>
    <t>JNI完善，包括数据驱动等</t>
    <phoneticPr fontId="34" type="noConversion"/>
  </si>
  <si>
    <t>android下模型浏览器，可视化操作</t>
    <phoneticPr fontId="34" type="noConversion"/>
  </si>
  <si>
    <t>Pan Rongtao</t>
    <phoneticPr fontId="34" type="noConversion"/>
  </si>
  <si>
    <r>
      <t>2020-11-20</t>
    </r>
    <r>
      <rPr>
        <sz val="10"/>
        <rFont val="宋体"/>
        <family val="3"/>
        <charset val="134"/>
      </rPr>
      <t xml:space="preserve">：本周开始
</t>
    </r>
    <r>
      <rPr>
        <sz val="10"/>
        <rFont val="Arial"/>
        <family val="2"/>
      </rPr>
      <t>2020-12-7</t>
    </r>
    <r>
      <rPr>
        <sz val="10"/>
        <rFont val="宋体"/>
        <family val="3"/>
        <charset val="134"/>
      </rPr>
      <t>：优先级先放低，先处理倒车轨迹线问题</t>
    </r>
    <phoneticPr fontId="34" type="noConversion"/>
  </si>
  <si>
    <r>
      <t>2020-12-7</t>
    </r>
    <r>
      <rPr>
        <sz val="10"/>
        <rFont val="宋体"/>
        <family val="3"/>
        <charset val="134"/>
      </rPr>
      <t>：完成</t>
    </r>
    <phoneticPr fontId="34" type="noConversion"/>
  </si>
  <si>
    <t>产品创新技术大赛事宜</t>
    <phoneticPr fontId="34" type="noConversion"/>
  </si>
  <si>
    <t>Pan Rongtao/Su Zhifei</t>
    <phoneticPr fontId="34" type="noConversion"/>
  </si>
  <si>
    <r>
      <t>2020-12-7</t>
    </r>
    <r>
      <rPr>
        <sz val="10"/>
        <rFont val="宋体"/>
        <family val="3"/>
        <charset val="134"/>
      </rPr>
      <t xml:space="preserve">：windows上nb </t>
    </r>
    <r>
      <rPr>
        <sz val="10"/>
        <rFont val="Arial"/>
        <family val="2"/>
      </rPr>
      <t>a08</t>
    </r>
    <r>
      <rPr>
        <sz val="10"/>
        <rFont val="宋体"/>
        <family val="3"/>
        <charset val="134"/>
      </rPr>
      <t>占用</t>
    </r>
    <r>
      <rPr>
        <sz val="10"/>
        <rFont val="Arial"/>
        <family val="2"/>
      </rPr>
      <t>13%</t>
    </r>
    <r>
      <rPr>
        <sz val="10"/>
        <rFont val="宋体"/>
        <family val="3"/>
        <charset val="134"/>
      </rPr>
      <t>。Demo占用9%左右。目前nb后续可优化的点transform的value方法；每次都计算renderTransform。</t>
    </r>
    <phoneticPr fontId="34" type="noConversion"/>
  </si>
  <si>
    <r>
      <t>2020-12-7</t>
    </r>
    <r>
      <rPr>
        <sz val="10"/>
        <rFont val="宋体"/>
        <family val="3"/>
        <charset val="134"/>
      </rPr>
      <t>：glfw本身占用20mb的内存，目前nb a08总共占用40mb的内存</t>
    </r>
    <phoneticPr fontId="34" type="noConversion"/>
  </si>
  <si>
    <t>CPU优化（长期任务）</t>
    <phoneticPr fontId="34" type="noConversion"/>
  </si>
  <si>
    <t>内存优化（长期任务）</t>
    <phoneticPr fontId="34" type="noConversion"/>
  </si>
  <si>
    <r>
      <t>2020-12-7</t>
    </r>
    <r>
      <rPr>
        <sz val="10"/>
        <rFont val="宋体"/>
        <family val="3"/>
        <charset val="134"/>
      </rPr>
      <t>：android studio 4.0.1，SDK和NDK在SDKmanager下直接下载操作。Gradle使用6.1.1版本，studio下下载不了，需要手动下载安装
2020-12-14：完成</t>
    </r>
    <phoneticPr fontId="34" type="noConversion"/>
  </si>
  <si>
    <r>
      <t>G7PH</t>
    </r>
    <r>
      <rPr>
        <sz val="11"/>
        <color theme="1"/>
        <rFont val="宋体"/>
        <family val="3"/>
        <charset val="134"/>
      </rPr>
      <t>数据库</t>
    </r>
    <r>
      <rPr>
        <sz val="11"/>
        <color theme="1"/>
        <rFont val="Arial"/>
        <family val="2"/>
      </rPr>
      <t>2.0Baseline</t>
    </r>
    <r>
      <rPr>
        <sz val="11"/>
        <color theme="1"/>
        <rFont val="宋体"/>
        <family val="3"/>
        <charset val="134"/>
      </rPr>
      <t>构建和调试</t>
    </r>
    <phoneticPr fontId="34" type="noConversion"/>
  </si>
  <si>
    <t>Pan Rongtao</t>
    <phoneticPr fontId="34" type="noConversion"/>
  </si>
  <si>
    <r>
      <t>2020-12-14</t>
    </r>
    <r>
      <rPr>
        <sz val="10"/>
        <rFont val="宋体"/>
        <family val="3"/>
        <charset val="134"/>
      </rPr>
      <t>：已经构建并经过调试，jiangfeng，</t>
    </r>
    <r>
      <rPr>
        <sz val="10"/>
        <rFont val="Arial"/>
        <family val="2"/>
      </rPr>
      <t>CM</t>
    </r>
    <r>
      <rPr>
        <sz val="10"/>
        <rFont val="宋体"/>
        <family val="3"/>
        <charset val="134"/>
      </rPr>
      <t>均反馈无问题</t>
    </r>
    <phoneticPr fontId="34" type="noConversion"/>
  </si>
  <si>
    <r>
      <t>2020-12-14</t>
    </r>
    <r>
      <rPr>
        <sz val="10"/>
        <rFont val="宋体"/>
        <family val="3"/>
        <charset val="134"/>
      </rPr>
      <t xml:space="preserve">：正在进行
</t>
    </r>
    <r>
      <rPr>
        <sz val="10"/>
        <rFont val="Arial"/>
        <family val="2"/>
      </rPr>
      <t>2020-12-21</t>
    </r>
    <r>
      <rPr>
        <sz val="10"/>
        <rFont val="宋体"/>
        <family val="3"/>
        <charset val="134"/>
      </rPr>
      <t>：完成</t>
    </r>
    <phoneticPr fontId="34" type="noConversion"/>
  </si>
  <si>
    <r>
      <t>2020-12-7</t>
    </r>
    <r>
      <rPr>
        <sz val="10"/>
        <rFont val="宋体"/>
        <family val="3"/>
        <charset val="134"/>
      </rPr>
      <t xml:space="preserve">：本周开始按举办方的要求准备
</t>
    </r>
    <r>
      <rPr>
        <sz val="10"/>
        <rFont val="Arial"/>
        <family val="2"/>
      </rPr>
      <t>2020-12-14</t>
    </r>
    <r>
      <rPr>
        <sz val="10"/>
        <rFont val="宋体"/>
        <family val="3"/>
        <charset val="134"/>
      </rPr>
      <t xml:space="preserve">：本周五进行
</t>
    </r>
    <r>
      <rPr>
        <sz val="10"/>
        <rFont val="Arial"/>
        <family val="2"/>
      </rPr>
      <t>2020-12-21</t>
    </r>
    <r>
      <rPr>
        <sz val="10"/>
        <rFont val="宋体"/>
        <family val="3"/>
        <charset val="134"/>
      </rPr>
      <t>：完成</t>
    </r>
    <phoneticPr fontId="34" type="noConversion"/>
  </si>
  <si>
    <t>美化（各种效果的东西，材质相关）</t>
    <phoneticPr fontId="34" type="noConversion"/>
  </si>
  <si>
    <r>
      <t>2020-10-19</t>
    </r>
    <r>
      <rPr>
        <sz val="10"/>
        <rFont val="宋体"/>
        <family val="3"/>
        <charset val="134"/>
      </rPr>
      <t>：</t>
    </r>
    <r>
      <rPr>
        <sz val="10"/>
        <rFont val="Arial"/>
        <family val="2"/>
      </rPr>
      <t>11</t>
    </r>
    <r>
      <rPr>
        <sz val="10"/>
        <rFont val="宋体"/>
        <family val="3"/>
        <charset val="134"/>
      </rPr>
      <t xml:space="preserve">月份开始
</t>
    </r>
    <r>
      <rPr>
        <sz val="10"/>
        <rFont val="Arial"/>
        <family val="2"/>
      </rPr>
      <t>2020-10-26</t>
    </r>
    <r>
      <rPr>
        <sz val="10"/>
        <rFont val="宋体"/>
        <family val="3"/>
        <charset val="134"/>
      </rPr>
      <t xml:space="preserve">：本周开始
</t>
    </r>
    <r>
      <rPr>
        <sz val="10"/>
        <rFont val="Arial"/>
        <family val="2"/>
      </rPr>
      <t>2020-11-2</t>
    </r>
    <r>
      <rPr>
        <sz val="10"/>
        <rFont val="宋体"/>
        <family val="3"/>
        <charset val="134"/>
      </rPr>
      <t xml:space="preserve">：本周完成
</t>
    </r>
    <r>
      <rPr>
        <sz val="10"/>
        <rFont val="Arial"/>
        <family val="2"/>
      </rPr>
      <t>2020-11-9</t>
    </r>
    <r>
      <rPr>
        <sz val="10"/>
        <rFont val="宋体"/>
        <family val="3"/>
        <charset val="134"/>
      </rPr>
      <t xml:space="preserve">：意见提供给算法同事，注意反馈
</t>
    </r>
    <r>
      <rPr>
        <sz val="10"/>
        <rFont val="Arial"/>
        <family val="2"/>
      </rPr>
      <t>2020-11-23</t>
    </r>
    <r>
      <rPr>
        <sz val="10"/>
        <rFont val="宋体"/>
        <family val="3"/>
        <charset val="134"/>
      </rPr>
      <t xml:space="preserve">：完成
</t>
    </r>
    <r>
      <rPr>
        <sz val="10"/>
        <rFont val="Arial"/>
        <family val="2"/>
      </rPr>
      <t>2020-12-7</t>
    </r>
    <r>
      <rPr>
        <sz val="10"/>
        <rFont val="宋体"/>
        <family val="3"/>
        <charset val="134"/>
      </rPr>
      <t>：arm版本无法隐藏窗口显示的问题；混合渐变边缘异常的问题
2020-12-14：混合问题已经解决。arm下使用南京提供的方式，解决独立app运行图层冲突问题。
2020-12-21：算法那边已经基本验证，如果仍有其他问题，再开其他任务</t>
    </r>
    <phoneticPr fontId="34" type="noConversion"/>
  </si>
  <si>
    <t>299</t>
    <phoneticPr fontId="34" type="noConversion"/>
  </si>
  <si>
    <t>把nb移植到GS6A上</t>
    <phoneticPr fontId="34" type="noConversion"/>
  </si>
  <si>
    <t>Pan Rongtao</t>
    <phoneticPr fontId="34" type="noConversion"/>
  </si>
  <si>
    <r>
      <t>2020-11-9</t>
    </r>
    <r>
      <rPr>
        <sz val="10"/>
        <rFont val="宋体"/>
        <family val="3"/>
        <charset val="134"/>
      </rPr>
      <t xml:space="preserve">：今天定下样本数量、样本文件格式，今天给出时间。
</t>
    </r>
    <r>
      <rPr>
        <sz val="10"/>
        <rFont val="Arial"/>
        <family val="2"/>
      </rPr>
      <t>2020-11-16</t>
    </r>
    <r>
      <rPr>
        <sz val="10"/>
        <rFont val="宋体"/>
        <family val="3"/>
        <charset val="134"/>
      </rPr>
      <t xml:space="preserve">：本周按计划进行
</t>
    </r>
    <r>
      <rPr>
        <sz val="10"/>
        <rFont val="Arial"/>
        <family val="2"/>
      </rPr>
      <t>2020-11-23</t>
    </r>
    <r>
      <rPr>
        <sz val="10"/>
        <rFont val="宋体"/>
        <family val="3"/>
        <charset val="134"/>
      </rPr>
      <t>：</t>
    </r>
    <r>
      <rPr>
        <sz val="10"/>
        <rFont val="Arial"/>
        <family val="2"/>
      </rPr>
      <t>FBX</t>
    </r>
    <r>
      <rPr>
        <sz val="10"/>
        <rFont val="宋体"/>
        <family val="3"/>
        <charset val="134"/>
      </rPr>
      <t>和</t>
    </r>
    <r>
      <rPr>
        <sz val="10"/>
        <rFont val="Arial"/>
        <family val="2"/>
      </rPr>
      <t>OBJ</t>
    </r>
    <r>
      <rPr>
        <sz val="10"/>
        <rFont val="宋体"/>
        <family val="3"/>
        <charset val="134"/>
      </rPr>
      <t xml:space="preserve">测试了一部分，记录下出现问题的模型，如果已经解决，记录下解决的方式。
</t>
    </r>
    <r>
      <rPr>
        <sz val="10"/>
        <rFont val="Arial"/>
        <family val="2"/>
      </rPr>
      <t>2020-11-30</t>
    </r>
    <r>
      <rPr>
        <sz val="10"/>
        <rFont val="宋体"/>
        <family val="3"/>
        <charset val="134"/>
      </rPr>
      <t xml:space="preserve">：再花两周时间处理完，包括动画的一些样本。
</t>
    </r>
    <r>
      <rPr>
        <sz val="10"/>
        <rFont val="Arial"/>
        <family val="2"/>
      </rPr>
      <t>2020-12-7</t>
    </r>
    <r>
      <rPr>
        <sz val="10"/>
        <rFont val="宋体"/>
        <family val="3"/>
        <charset val="134"/>
      </rPr>
      <t xml:space="preserve">：优先级先放低
</t>
    </r>
    <r>
      <rPr>
        <sz val="10"/>
        <rFont val="Arial"/>
        <family val="2"/>
      </rPr>
      <t>2020-12-21</t>
    </r>
    <r>
      <rPr>
        <sz val="10"/>
        <rFont val="宋体"/>
        <family val="3"/>
        <charset val="134"/>
      </rPr>
      <t xml:space="preserve">：本周完成
</t>
    </r>
    <r>
      <rPr>
        <sz val="10"/>
        <rFont val="Arial"/>
        <family val="2"/>
      </rPr>
      <t>2020-12-28</t>
    </r>
    <r>
      <rPr>
        <sz val="10"/>
        <rFont val="宋体"/>
        <family val="3"/>
        <charset val="134"/>
      </rPr>
      <t>：完成，会后发出相关</t>
    </r>
    <r>
      <rPr>
        <sz val="10"/>
        <rFont val="Arial"/>
        <family val="2"/>
      </rPr>
      <t>Excel</t>
    </r>
    <r>
      <rPr>
        <sz val="10"/>
        <rFont val="宋体"/>
        <family val="3"/>
        <charset val="134"/>
      </rPr>
      <t>记录</t>
    </r>
    <phoneticPr fontId="34" type="noConversion"/>
  </si>
  <si>
    <t>解决野猪模型BUG：纹理加载失败、骨骼动画第一帧不显示</t>
    <phoneticPr fontId="34" type="noConversion"/>
  </si>
  <si>
    <t>小狗模型第一帧不显示</t>
    <phoneticPr fontId="34" type="noConversion"/>
  </si>
  <si>
    <t>银灰色BMW7L模型tif图片加载失败</t>
    <phoneticPr fontId="34" type="noConversion"/>
  </si>
  <si>
    <t>中国59式中型坦克 部分mesh显示不出</t>
    <phoneticPr fontId="34" type="noConversion"/>
  </si>
  <si>
    <t>audi-r8-red-fbx纹理显示异常</t>
    <phoneticPr fontId="34" type="noConversion"/>
  </si>
  <si>
    <t>Parrot_FBX 无法处理多个纹理处理的问题</t>
    <phoneticPr fontId="34" type="noConversion"/>
  </si>
  <si>
    <t>小鸡模型、跳肚皮舞的小男孩无法处理多个纹理的问题</t>
    <phoneticPr fontId="34" type="noConversion"/>
  </si>
  <si>
    <t>某些模型内嵌纹理数据，无法处理的情况</t>
    <phoneticPr fontId="34" type="noConversion"/>
  </si>
  <si>
    <t>Su Zhifei</t>
    <phoneticPr fontId="34" type="noConversion"/>
  </si>
  <si>
    <r>
      <t>2021-1-4</t>
    </r>
    <r>
      <rPr>
        <sz val="10"/>
        <rFont val="宋体"/>
        <family val="3"/>
        <charset val="134"/>
      </rPr>
      <t>：已解决</t>
    </r>
    <phoneticPr fontId="34" type="noConversion"/>
  </si>
  <si>
    <r>
      <t>2021-1-4</t>
    </r>
    <r>
      <rPr>
        <sz val="10"/>
        <rFont val="宋体"/>
        <family val="3"/>
        <charset val="134"/>
      </rPr>
      <t>：已解决内嵌式纹理问题</t>
    </r>
    <phoneticPr fontId="34" type="noConversion"/>
  </si>
  <si>
    <r>
      <t>2021-1-4</t>
    </r>
    <r>
      <rPr>
        <sz val="10"/>
        <rFont val="宋体"/>
        <family val="3"/>
        <charset val="134"/>
      </rPr>
      <t>：尾巴使用了独立的纹理，与基本纹理进行了混合，需要研究下最终的混合方式和算法，</t>
    </r>
    <r>
      <rPr>
        <sz val="10"/>
        <rFont val="Arial"/>
        <family val="2"/>
      </rPr>
      <t>alpha</t>
    </r>
    <r>
      <rPr>
        <sz val="10"/>
        <rFont val="宋体"/>
        <family val="3"/>
        <charset val="134"/>
      </rPr>
      <t>混合</t>
    </r>
    <phoneticPr fontId="34" type="noConversion"/>
  </si>
  <si>
    <r>
      <t>2021-1-4</t>
    </r>
    <r>
      <rPr>
        <sz val="10"/>
        <rFont val="宋体"/>
        <family val="3"/>
        <charset val="134"/>
      </rPr>
      <t>：已解决内嵌式纹理问题</t>
    </r>
    <phoneticPr fontId="34" type="noConversion"/>
  </si>
  <si>
    <t>圆形绘制需求</t>
    <phoneticPr fontId="34" type="noConversion"/>
  </si>
  <si>
    <t>2020-5-4：
2020-6-29：
2020-7-6：</t>
    <phoneticPr fontId="34" type="noConversion"/>
  </si>
  <si>
    <t>Su Zhifei</t>
    <phoneticPr fontId="34" type="noConversion"/>
  </si>
  <si>
    <t>某些模型phong材质有透明通道的有镂空的情况，比如魔兽的模型</t>
    <phoneticPr fontId="34" type="noConversion"/>
  </si>
  <si>
    <r>
      <t>2020-12-21</t>
    </r>
    <r>
      <rPr>
        <sz val="10"/>
        <rFont val="宋体"/>
        <family val="3"/>
        <charset val="134"/>
      </rPr>
      <t xml:space="preserve">：本周开始
</t>
    </r>
    <r>
      <rPr>
        <sz val="10"/>
        <rFont val="Arial"/>
        <family val="2"/>
      </rPr>
      <t>2020-12-28</t>
    </r>
    <r>
      <rPr>
        <sz val="10"/>
        <rFont val="宋体"/>
        <family val="3"/>
        <charset val="134"/>
      </rPr>
      <t xml:space="preserve">：本周开始
</t>
    </r>
    <r>
      <rPr>
        <sz val="10"/>
        <rFont val="Arial"/>
        <family val="2"/>
      </rPr>
      <t>2021-1-4</t>
    </r>
    <r>
      <rPr>
        <sz val="10"/>
        <rFont val="宋体"/>
        <family val="3"/>
        <charset val="134"/>
      </rPr>
      <t>：本周完成
2021-1-12：有模型抖动的问题，找不到原因，用最精简方式做加法解决问题
2021-1-18：已解决，是由于android下多线程，同一帧下不同线程改变uniform引起的</t>
    </r>
    <phoneticPr fontId="34" type="noConversion"/>
  </si>
  <si>
    <r>
      <t>2021-1-12</t>
    </r>
    <r>
      <rPr>
        <sz val="10"/>
        <rFont val="宋体"/>
        <family val="3"/>
        <charset val="134"/>
      </rPr>
      <t xml:space="preserve">：本周重点解决这个问题，估计是顶点数据不对
</t>
    </r>
    <r>
      <rPr>
        <sz val="10"/>
        <rFont val="Arial"/>
        <family val="2"/>
      </rPr>
      <t>2021-1-18</t>
    </r>
    <r>
      <rPr>
        <sz val="10"/>
        <rFont val="宋体"/>
        <family val="3"/>
        <charset val="134"/>
      </rPr>
      <t>：glDrawElement使用short个数indices引起的，mesh的indices个数超过了short上限，改成int的方式可解决。后续需要尝试拆分成mesh，因为gles 2不支持int的模式</t>
    </r>
    <phoneticPr fontId="34" type="noConversion"/>
  </si>
  <si>
    <t>kanzi studio导出三个项目模型apk，测试其CPU/MEM/FPS/面数/启动时间等</t>
    <phoneticPr fontId="34" type="noConversion"/>
  </si>
  <si>
    <t>Su Zhifei</t>
    <phoneticPr fontId="34" type="noConversion"/>
  </si>
  <si>
    <t>开展一次workshop，PPT准备</t>
    <phoneticPr fontId="34" type="noConversion"/>
  </si>
  <si>
    <t>Pan Rongtao</t>
    <phoneticPr fontId="34" type="noConversion"/>
  </si>
  <si>
    <t>Su Zhifei</t>
    <phoneticPr fontId="34" type="noConversion"/>
  </si>
  <si>
    <t>Problem Description / Action Item</t>
    <phoneticPr fontId="34" type="noConversion"/>
  </si>
  <si>
    <r>
      <t>2021-2-1</t>
    </r>
    <r>
      <rPr>
        <sz val="10"/>
        <rFont val="宋体"/>
        <family val="3"/>
        <charset val="134"/>
      </rPr>
      <t>：完成</t>
    </r>
    <phoneticPr fontId="34" type="noConversion"/>
  </si>
  <si>
    <r>
      <t>2021-2-1</t>
    </r>
    <r>
      <rPr>
        <sz val="10"/>
        <rFont val="宋体"/>
        <family val="3"/>
        <charset val="134"/>
      </rPr>
      <t>：已解决，是indices使用short长度，而有些模型顶点数据数量超过该限制引起的，改用int</t>
    </r>
    <phoneticPr fontId="34" type="noConversion"/>
  </si>
  <si>
    <t>处理phong材质的a通道时候，某些模型现实异常（比如魔兽）</t>
    <phoneticPr fontId="34" type="noConversion"/>
  </si>
  <si>
    <t>Su zhifei</t>
    <phoneticPr fontId="34" type="noConversion"/>
  </si>
  <si>
    <r>
      <t>KANZI2.8 CN180S</t>
    </r>
    <r>
      <rPr>
        <sz val="11"/>
        <color theme="1"/>
        <rFont val="宋体"/>
        <family val="3"/>
        <charset val="134"/>
      </rPr>
      <t>开机启动kanzi挂死</t>
    </r>
    <phoneticPr fontId="34" type="noConversion"/>
  </si>
  <si>
    <r>
      <t>2021-1-4</t>
    </r>
    <r>
      <rPr>
        <sz val="10"/>
        <rFont val="宋体"/>
        <family val="3"/>
        <charset val="134"/>
      </rPr>
      <t>：承诺本周完成
2021-1-12：已经完成，未反馈，会后询问
2021-2-1：无反馈，先关闭</t>
    </r>
    <phoneticPr fontId="34" type="noConversion"/>
  </si>
  <si>
    <r>
      <t>2020-2-1</t>
    </r>
    <r>
      <rPr>
        <sz val="10"/>
        <rFont val="宋体"/>
        <family val="3"/>
        <charset val="134"/>
      </rPr>
      <t>：协助加</t>
    </r>
    <r>
      <rPr>
        <sz val="10"/>
        <rFont val="Arial"/>
        <family val="2"/>
      </rPr>
      <t>LOG</t>
    </r>
    <r>
      <rPr>
        <sz val="10"/>
        <rFont val="宋体"/>
        <family val="3"/>
        <charset val="134"/>
      </rPr>
      <t xml:space="preserve">定位挂死位置
</t>
    </r>
    <r>
      <rPr>
        <sz val="10"/>
        <rFont val="Arial"/>
        <family val="2"/>
      </rPr>
      <t>2020-2-8</t>
    </r>
    <r>
      <rPr>
        <sz val="10"/>
        <rFont val="宋体"/>
        <family val="3"/>
        <charset val="134"/>
      </rPr>
      <t>：已协助解决</t>
    </r>
    <phoneticPr fontId="34" type="noConversion"/>
  </si>
  <si>
    <t>轨迹线边缘混合白色问题</t>
    <phoneticPr fontId="34" type="noConversion"/>
  </si>
  <si>
    <t>静态界面开发</t>
    <phoneticPr fontId="34" type="noConversion"/>
  </si>
  <si>
    <t xml:space="preserve">Pan Rongtao </t>
    <phoneticPr fontId="34" type="noConversion"/>
  </si>
  <si>
    <r>
      <t>2021-2-8</t>
    </r>
    <r>
      <rPr>
        <sz val="10"/>
        <rFont val="宋体"/>
        <family val="3"/>
        <charset val="134"/>
      </rPr>
      <t>：已完成初版</t>
    </r>
    <phoneticPr fontId="34" type="noConversion"/>
  </si>
  <si>
    <t>呼吸线开发</t>
    <phoneticPr fontId="34" type="noConversion"/>
  </si>
  <si>
    <t>心跳线开发</t>
    <phoneticPr fontId="34" type="noConversion"/>
  </si>
  <si>
    <r>
      <t>2021-2-8</t>
    </r>
    <r>
      <rPr>
        <sz val="10"/>
        <color rgb="FF000000"/>
        <rFont val="宋体"/>
        <family val="3"/>
        <charset val="134"/>
      </rPr>
      <t>：完成第一版，已反馈给客户</t>
    </r>
    <phoneticPr fontId="34" type="noConversion"/>
  </si>
  <si>
    <t>与服务端数据联调</t>
    <phoneticPr fontId="34" type="noConversion"/>
  </si>
  <si>
    <t>时钟ECO特效DEMO</t>
    <phoneticPr fontId="34" type="noConversion"/>
  </si>
  <si>
    <t>时钟Normal特效第一版</t>
    <phoneticPr fontId="34" type="noConversion"/>
  </si>
  <si>
    <t>时钟SPORT特效第一版</t>
    <phoneticPr fontId="34" type="noConversion"/>
  </si>
  <si>
    <r>
      <t>2021-1-18</t>
    </r>
    <r>
      <rPr>
        <sz val="10"/>
        <rFont val="宋体"/>
        <family val="3"/>
        <charset val="134"/>
      </rPr>
      <t xml:space="preserve">：本周开始
</t>
    </r>
    <r>
      <rPr>
        <sz val="10"/>
        <rFont val="Arial"/>
        <family val="2"/>
      </rPr>
      <t>2021-2-1</t>
    </r>
    <r>
      <rPr>
        <sz val="10"/>
        <rFont val="宋体"/>
        <family val="3"/>
        <charset val="134"/>
      </rPr>
      <t>：已经测试了</t>
    </r>
    <r>
      <rPr>
        <sz val="10"/>
        <rFont val="Arial"/>
        <family val="2"/>
      </rPr>
      <t>2</t>
    </r>
    <r>
      <rPr>
        <sz val="10"/>
        <rFont val="宋体"/>
        <family val="3"/>
        <charset val="134"/>
      </rPr>
      <t xml:space="preserve">个，本周再测试一个；本周完成
</t>
    </r>
    <r>
      <rPr>
        <sz val="10"/>
        <rFont val="Arial"/>
        <family val="2"/>
      </rPr>
      <t>2021-2-1</t>
    </r>
    <r>
      <rPr>
        <sz val="10"/>
        <rFont val="宋体"/>
        <family val="3"/>
        <charset val="134"/>
      </rPr>
      <t xml:space="preserve">：年后第一周
</t>
    </r>
    <r>
      <rPr>
        <sz val="10"/>
        <rFont val="Arial"/>
        <family val="2"/>
      </rPr>
      <t>2021-3-9</t>
    </r>
    <r>
      <rPr>
        <sz val="10"/>
        <rFont val="宋体"/>
        <family val="3"/>
        <charset val="134"/>
      </rPr>
      <t xml:space="preserve">：两周内给出数据
</t>
    </r>
    <phoneticPr fontId="34" type="noConversion"/>
  </si>
  <si>
    <r>
      <t>2021-3-9</t>
    </r>
    <r>
      <rPr>
        <sz val="10"/>
        <rFont val="宋体"/>
        <family val="3"/>
        <charset val="134"/>
      </rPr>
      <t>：已完成</t>
    </r>
    <phoneticPr fontId="34" type="noConversion"/>
  </si>
  <si>
    <t>高</t>
    <phoneticPr fontId="34" type="noConversion"/>
  </si>
  <si>
    <r>
      <t>3D</t>
    </r>
    <r>
      <rPr>
        <sz val="11"/>
        <color theme="1"/>
        <rFont val="宋体"/>
        <family val="3"/>
        <charset val="134"/>
      </rPr>
      <t>模型的demo工程交接</t>
    </r>
    <phoneticPr fontId="34" type="noConversion"/>
  </si>
  <si>
    <r>
      <t>2021-3-9</t>
    </r>
    <r>
      <rPr>
        <sz val="10"/>
        <rFont val="宋体"/>
        <family val="3"/>
        <charset val="134"/>
      </rPr>
      <t xml:space="preserve">：正在装环境，准备联调
</t>
    </r>
    <r>
      <rPr>
        <sz val="10"/>
        <rFont val="Arial"/>
        <family val="2"/>
      </rPr>
      <t>2021-3-22</t>
    </r>
    <r>
      <rPr>
        <sz val="10"/>
        <rFont val="宋体"/>
        <family val="3"/>
        <charset val="134"/>
      </rPr>
      <t>：已经调试整个通路没有问题，今天准备把笔记本交接给算法那边优化雷达部分，</t>
    </r>
    <r>
      <rPr>
        <sz val="10"/>
        <rFont val="Arial"/>
        <family val="2"/>
      </rPr>
      <t>3.25</t>
    </r>
    <r>
      <rPr>
        <sz val="10"/>
        <rFont val="宋体"/>
        <family val="3"/>
        <charset val="134"/>
      </rPr>
      <t xml:space="preserve">做全部软件的联调。
</t>
    </r>
    <r>
      <rPr>
        <sz val="10"/>
        <rFont val="Arial"/>
        <family val="2"/>
      </rPr>
      <t>2021-3-27</t>
    </r>
    <r>
      <rPr>
        <sz val="10"/>
        <rFont val="宋体"/>
        <family val="3"/>
        <charset val="134"/>
      </rPr>
      <t>：完成</t>
    </r>
    <phoneticPr fontId="34" type="noConversion"/>
  </si>
  <si>
    <t>上位机开发</t>
    <phoneticPr fontId="34" type="noConversion"/>
  </si>
  <si>
    <t xml:space="preserve">Cai Zhibing/Pan Rongtao </t>
    <phoneticPr fontId="34" type="noConversion"/>
  </si>
  <si>
    <t>模型调试</t>
    <phoneticPr fontId="34" type="noConversion"/>
  </si>
  <si>
    <r>
      <t>2021-2-8</t>
    </r>
    <r>
      <rPr>
        <sz val="10"/>
        <rFont val="宋体"/>
        <family val="3"/>
        <charset val="134"/>
      </rPr>
      <t>：研究抗锯齿混合算法
2021-2-22：打算采用在最终渲染时shader端实现抗锯齿的方法，生成bin不开启抗锯齿
2021-3-8：大白边问题已解决，是DRM使用参数的问题，XRGB修改为ARGB后解决。会后PRT参与理清方案
2021-3-22：添加抗锯齿接口和clearColor接口，看锯齿在arm下，EGLConfig重新配置有些问题，重点处理这个问题
2021-5-17：项目已结项</t>
    </r>
    <phoneticPr fontId="34" type="noConversion"/>
  </si>
  <si>
    <r>
      <t>2021-5-17</t>
    </r>
    <r>
      <rPr>
        <sz val="10"/>
        <rFont val="宋体"/>
        <family val="3"/>
        <charset val="134"/>
      </rPr>
      <t>：已交接</t>
    </r>
    <phoneticPr fontId="34" type="noConversion"/>
  </si>
  <si>
    <t>Pan Rongtao/Cai Zhibing</t>
    <phoneticPr fontId="34" type="noConversion"/>
  </si>
  <si>
    <t>确定使用NB实现的几个特效</t>
    <phoneticPr fontId="34" type="noConversion"/>
  </si>
  <si>
    <t>Cai Zhibing</t>
    <phoneticPr fontId="34" type="noConversion"/>
  </si>
  <si>
    <r>
      <t>2021-5-31</t>
    </r>
    <r>
      <rPr>
        <sz val="10"/>
        <rFont val="宋体"/>
        <family val="3"/>
        <charset val="134"/>
      </rPr>
      <t>：确定几个用</t>
    </r>
    <r>
      <rPr>
        <sz val="10"/>
        <rFont val="Arial"/>
        <family val="2"/>
      </rPr>
      <t>KANZI</t>
    </r>
    <r>
      <rPr>
        <sz val="10"/>
        <rFont val="宋体"/>
        <family val="3"/>
        <charset val="134"/>
      </rPr>
      <t>做的特效（仪表盘、取色、空调风、天气等），确认后按特效分解任务</t>
    </r>
    <phoneticPr fontId="34" type="noConversion"/>
  </si>
  <si>
    <t>Pan Rongtao</t>
    <phoneticPr fontId="34" type="noConversion"/>
  </si>
  <si>
    <t>系统架构文档</t>
    <phoneticPr fontId="34" type="noConversion"/>
  </si>
  <si>
    <t>模块文档</t>
    <phoneticPr fontId="34" type="noConversion"/>
  </si>
  <si>
    <t>开发文档</t>
    <phoneticPr fontId="34" type="noConversion"/>
  </si>
  <si>
    <t>UIT组员培训</t>
    <phoneticPr fontId="34" type="noConversion"/>
  </si>
  <si>
    <t>研究技术文档工具</t>
    <phoneticPr fontId="34" type="noConversion"/>
  </si>
  <si>
    <r>
      <rPr>
        <sz val="11"/>
        <color theme="1"/>
        <rFont val="宋体"/>
        <family val="3"/>
        <charset val="134"/>
      </rPr>
      <t>第二阶段</t>
    </r>
    <r>
      <rPr>
        <sz val="11"/>
        <color theme="1"/>
        <rFont val="Arial"/>
        <family val="2"/>
      </rPr>
      <t>UI</t>
    </r>
    <phoneticPr fontId="34" type="noConversion"/>
  </si>
  <si>
    <r>
      <t>2021-5-31</t>
    </r>
    <r>
      <rPr>
        <sz val="10"/>
        <rFont val="宋体"/>
        <family val="3"/>
        <charset val="134"/>
      </rPr>
      <t>：本周找茂林聊聊
2021-6-28：目前系统那边找过，PL也准备call会讨论方案的推进，会后找下YZB推进下call会进度</t>
    </r>
    <phoneticPr fontId="34" type="noConversion"/>
  </si>
  <si>
    <r>
      <t>2020-6-28</t>
    </r>
    <r>
      <rPr>
        <sz val="10"/>
        <rFont val="宋体"/>
        <family val="3"/>
        <charset val="134"/>
      </rPr>
      <t>：两周内完成，两周后培训</t>
    </r>
    <phoneticPr fontId="34" type="noConversion"/>
  </si>
  <si>
    <r>
      <t>2020-6-28</t>
    </r>
    <r>
      <rPr>
        <sz val="10"/>
        <rFont val="宋体"/>
        <family val="3"/>
        <charset val="134"/>
      </rPr>
      <t>：特效开发文档</t>
    </r>
    <phoneticPr fontId="34" type="noConversion"/>
  </si>
  <si>
    <t>Cai Zhibing</t>
    <phoneticPr fontId="34" type="noConversion"/>
  </si>
  <si>
    <r>
      <t>2021-5-10</t>
    </r>
    <r>
      <rPr>
        <sz val="10"/>
        <rFont val="宋体"/>
        <family val="3"/>
        <charset val="134"/>
      </rPr>
      <t>：目前存在问题：</t>
    </r>
    <r>
      <rPr>
        <sz val="10"/>
        <rFont val="Arial"/>
        <family val="2"/>
      </rPr>
      <t>1</t>
    </r>
    <r>
      <rPr>
        <sz val="10"/>
        <rFont val="宋体"/>
        <family val="3"/>
        <charset val="134"/>
      </rPr>
      <t>、骨骼动画</t>
    </r>
    <r>
      <rPr>
        <sz val="10"/>
        <rFont val="Arial"/>
        <family val="2"/>
      </rPr>
      <t xml:space="preserve"> 2</t>
    </r>
    <r>
      <rPr>
        <sz val="10"/>
        <rFont val="宋体"/>
        <family val="3"/>
        <charset val="134"/>
      </rPr>
      <t>、材质调整</t>
    </r>
    <r>
      <rPr>
        <sz val="10"/>
        <rFont val="Arial"/>
        <family val="2"/>
      </rPr>
      <t xml:space="preserve"> 3</t>
    </r>
    <r>
      <rPr>
        <sz val="10"/>
        <rFont val="宋体"/>
        <family val="3"/>
        <charset val="134"/>
      </rPr>
      <t>、摄像头</t>
    </r>
    <r>
      <rPr>
        <sz val="10"/>
        <rFont val="Arial"/>
        <family val="2"/>
      </rPr>
      <t xml:space="preserve"> 4</t>
    </r>
    <r>
      <rPr>
        <sz val="10"/>
        <rFont val="宋体"/>
        <family val="3"/>
        <charset val="134"/>
      </rPr>
      <t>、</t>
    </r>
    <r>
      <rPr>
        <sz val="10"/>
        <rFont val="Arial"/>
        <family val="2"/>
      </rPr>
      <t>UI ICON
2021-5-17</t>
    </r>
    <r>
      <rPr>
        <sz val="10"/>
        <rFont val="宋体"/>
        <family val="3"/>
        <charset val="134"/>
      </rPr>
      <t>：摄像头问题已解决，</t>
    </r>
    <r>
      <rPr>
        <sz val="10"/>
        <rFont val="Arial"/>
        <family val="2"/>
      </rPr>
      <t>UI</t>
    </r>
    <r>
      <rPr>
        <sz val="10"/>
        <rFont val="宋体"/>
        <family val="3"/>
        <charset val="134"/>
      </rPr>
      <t>已部分调试，目前重点调试材质效果。</t>
    </r>
    <r>
      <rPr>
        <sz val="10"/>
        <rFont val="Arial"/>
        <family val="2"/>
      </rPr>
      <t>24</t>
    </r>
    <r>
      <rPr>
        <sz val="10"/>
        <rFont val="宋体"/>
        <family val="3"/>
        <charset val="134"/>
      </rPr>
      <t>号再次review。
2021-5-31：骨骼问题已解决；材质问题已解决；摄像机问题已解决；UI ICON已经解决；今天call相关人员review效果</t>
    </r>
    <r>
      <rPr>
        <sz val="10"/>
        <rFont val="Arial"/>
        <family val="2"/>
      </rPr>
      <t xml:space="preserve">
</t>
    </r>
    <r>
      <rPr>
        <sz val="10"/>
        <rFont val="宋体"/>
        <family val="3"/>
        <charset val="134"/>
      </rPr>
      <t>2020/6/28：已完成</t>
    </r>
    <phoneticPr fontId="34" type="noConversion"/>
  </si>
  <si>
    <t>QNX移植</t>
    <phoneticPr fontId="34" type="noConversion"/>
  </si>
  <si>
    <r>
      <t>2020-6-28</t>
    </r>
    <r>
      <rPr>
        <sz val="10"/>
        <rFont val="宋体"/>
        <family val="3"/>
        <charset val="134"/>
      </rPr>
      <t>：</t>
    </r>
    <r>
      <rPr>
        <sz val="10"/>
        <rFont val="Arial"/>
        <family val="2"/>
      </rPr>
      <t>QNX</t>
    </r>
    <r>
      <rPr>
        <sz val="10"/>
        <rFont val="宋体"/>
        <family val="3"/>
        <charset val="134"/>
      </rPr>
      <t>的窗口系统不一样，需要单独调试，目前demo已没问题，需集成进框架里</t>
    </r>
    <phoneticPr fontId="34" type="noConversion"/>
  </si>
  <si>
    <t>NB在ADS业务的推广</t>
    <phoneticPr fontId="34" type="noConversion"/>
  </si>
  <si>
    <t>蓝鲸5.0 语音形象</t>
    <phoneticPr fontId="34" type="noConversion"/>
  </si>
  <si>
    <t>文档列出NB相关的项目情况</t>
    <phoneticPr fontId="34" type="noConversion"/>
  </si>
  <si>
    <r>
      <t>2020-6-28</t>
    </r>
    <r>
      <rPr>
        <sz val="10"/>
        <rFont val="宋体"/>
        <family val="3"/>
        <charset val="134"/>
      </rPr>
      <t>：本周给出</t>
    </r>
    <phoneticPr fontId="34" type="noConversion"/>
  </si>
  <si>
    <t>构建工程IPU02</t>
    <phoneticPr fontId="34" type="noConversion"/>
  </si>
  <si>
    <t>多主题方案设计</t>
    <phoneticPr fontId="34" type="noConversion"/>
  </si>
  <si>
    <t>多语言方案设计</t>
    <phoneticPr fontId="34" type="noConversion"/>
  </si>
  <si>
    <t xml:space="preserve">Pan Rongtao/Li Nanshan </t>
    <phoneticPr fontId="34" type="noConversion"/>
  </si>
  <si>
    <t>页面控件</t>
    <phoneticPr fontId="34" type="noConversion"/>
  </si>
  <si>
    <t>Wang Sibo/Guo Xiaobao</t>
    <phoneticPr fontId="34" type="noConversion"/>
  </si>
  <si>
    <t>Li Nanshan/Xu Yonghong</t>
    <phoneticPr fontId="34" type="noConversion"/>
  </si>
  <si>
    <t>Cai Zhibing/Huai Baosheng</t>
    <phoneticPr fontId="34" type="noConversion"/>
  </si>
  <si>
    <r>
      <t>2021-7-16</t>
    </r>
    <r>
      <rPr>
        <sz val="10"/>
        <rFont val="宋体"/>
        <family val="3"/>
        <charset val="134"/>
      </rPr>
      <t>：已完成</t>
    </r>
    <phoneticPr fontId="34" type="noConversion"/>
  </si>
  <si>
    <t>&lt;ipu02&gt; Action Item List</t>
    <phoneticPr fontId="34" type="noConversion"/>
  </si>
  <si>
    <t>Button</t>
    <phoneticPr fontId="34" type="noConversion"/>
  </si>
  <si>
    <t>NinePathImage</t>
    <phoneticPr fontId="34" type="noConversion"/>
  </si>
  <si>
    <t>TextBlock</t>
    <phoneticPr fontId="34" type="noConversion"/>
  </si>
  <si>
    <t>CheckBox</t>
  </si>
  <si>
    <t>VideoControl</t>
  </si>
  <si>
    <t>TextEditor</t>
    <phoneticPr fontId="34" type="noConversion"/>
  </si>
  <si>
    <t>ProgressBar</t>
  </si>
  <si>
    <t>MultiText</t>
  </si>
  <si>
    <t>2021-7-16：Button可以实现，是否需要单独的控件？
2021-7-21：建议使用Button，不单独实现</t>
    <phoneticPr fontId="34" type="noConversion"/>
  </si>
  <si>
    <r>
      <t>2021-7-16</t>
    </r>
    <r>
      <rPr>
        <sz val="10"/>
        <rFont val="宋体"/>
        <family val="3"/>
        <charset val="134"/>
      </rPr>
      <t xml:space="preserve">：难度高，需要视频解析和视频渲染
</t>
    </r>
    <r>
      <rPr>
        <sz val="10"/>
        <rFont val="Arial"/>
        <family val="2"/>
      </rPr>
      <t>2021-7-21</t>
    </r>
    <r>
      <rPr>
        <sz val="10"/>
        <rFont val="宋体"/>
        <family val="3"/>
        <charset val="134"/>
      </rPr>
      <t>：放到最后</t>
    </r>
    <phoneticPr fontId="34" type="noConversion"/>
  </si>
  <si>
    <r>
      <t>2021-4-27</t>
    </r>
    <r>
      <rPr>
        <sz val="10"/>
        <rFont val="宋体"/>
        <family val="3"/>
        <charset val="134"/>
      </rPr>
      <t>：由</t>
    </r>
    <r>
      <rPr>
        <sz val="10"/>
        <rFont val="Arial"/>
        <family val="2"/>
      </rPr>
      <t xml:space="preserve">DQ </t>
    </r>
    <r>
      <rPr>
        <sz val="10"/>
        <rFont val="宋体"/>
        <family val="3"/>
        <charset val="134"/>
      </rPr>
      <t xml:space="preserve">满意负责车速提取，我们控制视频速度
</t>
    </r>
    <r>
      <rPr>
        <sz val="10"/>
        <rFont val="Arial"/>
        <family val="2"/>
      </rPr>
      <t>2021-5-17</t>
    </r>
    <r>
      <rPr>
        <sz val="10"/>
        <rFont val="宋体"/>
        <family val="3"/>
        <charset val="134"/>
      </rPr>
      <t>：已经可以拿到车速，需要等</t>
    </r>
    <r>
      <rPr>
        <sz val="10"/>
        <rFont val="Arial"/>
        <family val="2"/>
      </rPr>
      <t>LP</t>
    </r>
    <r>
      <rPr>
        <sz val="10"/>
        <rFont val="宋体"/>
        <family val="3"/>
        <charset val="134"/>
      </rPr>
      <t xml:space="preserve">协调车辆，后续再实车上调试和验证。使用上的体验待反馈。问刘鹏要视频
</t>
    </r>
    <r>
      <rPr>
        <sz val="10"/>
        <rFont val="Arial"/>
        <family val="2"/>
      </rPr>
      <t>2021-5-31</t>
    </r>
    <r>
      <rPr>
        <sz val="10"/>
        <rFont val="宋体"/>
        <family val="3"/>
        <charset val="134"/>
      </rPr>
      <t>：视频已经进过一轮测试，待</t>
    </r>
    <r>
      <rPr>
        <sz val="10"/>
        <rFont val="Arial"/>
        <family val="2"/>
      </rPr>
      <t>QA</t>
    </r>
    <r>
      <rPr>
        <sz val="10"/>
        <rFont val="宋体"/>
        <family val="3"/>
        <charset val="134"/>
      </rPr>
      <t xml:space="preserve">组使用反馈
</t>
    </r>
    <r>
      <rPr>
        <sz val="10"/>
        <rFont val="Arial"/>
        <family val="2"/>
      </rPr>
      <t>2021-7-26</t>
    </r>
    <r>
      <rPr>
        <sz val="10"/>
        <rFont val="宋体"/>
        <family val="3"/>
        <charset val="134"/>
      </rPr>
      <t>：不会有新需求了，次任务关闭</t>
    </r>
    <phoneticPr fontId="34" type="noConversion"/>
  </si>
  <si>
    <r>
      <t>2021-3-9</t>
    </r>
    <r>
      <rPr>
        <sz val="10"/>
        <color rgb="FF000000"/>
        <rFont val="宋体"/>
        <family val="3"/>
        <charset val="134"/>
      </rPr>
      <t xml:space="preserve">：本周开始
</t>
    </r>
    <r>
      <rPr>
        <sz val="10"/>
        <color rgb="FF000000"/>
        <rFont val="Arial"/>
        <family val="2"/>
      </rPr>
      <t>2021-3-22</t>
    </r>
    <r>
      <rPr>
        <sz val="10"/>
        <color rgb="FF000000"/>
        <rFont val="宋体"/>
        <family val="3"/>
        <charset val="134"/>
      </rPr>
      <t>：找相关人员召开了workshop，
2021-5-17：试了一个思路，发现效果不理想，后续找XYH支持看，思路拓展；跟PM确认第一个需要集成在内的时间和版本
2021-5-31：PM反馈七月底集成入第一版时钟特效，本周开始着重特效的开发
2020/6/28：目前成熟度60%，本周做过一分钟的效果；整合进android
2021-7-26：只差数字，尝试一下3D模型方式，嘉宝回来找下他</t>
    </r>
    <phoneticPr fontId="34" type="noConversion"/>
  </si>
  <si>
    <r>
      <t>2021-5-31</t>
    </r>
    <r>
      <rPr>
        <sz val="10"/>
        <color rgb="FF000000"/>
        <rFont val="宋体"/>
        <family val="3"/>
        <charset val="134"/>
      </rPr>
      <t>：</t>
    </r>
    <r>
      <rPr>
        <sz val="10"/>
        <color rgb="FF000000"/>
        <rFont val="Arial"/>
        <family val="2"/>
      </rPr>
      <t>PM</t>
    </r>
    <r>
      <rPr>
        <sz val="10"/>
        <color rgb="FF000000"/>
        <rFont val="宋体"/>
        <family val="3"/>
        <charset val="134"/>
      </rPr>
      <t xml:space="preserve">反馈七月底集成入第一版时钟特效，本周开始着重特效的开发
</t>
    </r>
    <r>
      <rPr>
        <sz val="10"/>
        <color rgb="FF000000"/>
        <rFont val="Arial"/>
        <family val="2"/>
      </rPr>
      <t>2020/6/28</t>
    </r>
    <r>
      <rPr>
        <sz val="10"/>
        <color rgb="FF000000"/>
        <rFont val="宋体"/>
        <family val="3"/>
        <charset val="134"/>
      </rPr>
      <t>：目前成熟度</t>
    </r>
    <r>
      <rPr>
        <sz val="10"/>
        <color rgb="FF000000"/>
        <rFont val="Arial"/>
        <family val="2"/>
      </rPr>
      <t>65%</t>
    </r>
    <r>
      <rPr>
        <sz val="10"/>
        <color rgb="FF000000"/>
        <rFont val="宋体"/>
        <family val="3"/>
        <charset val="134"/>
      </rPr>
      <t>，本周做过一分钟的效果；整合进</t>
    </r>
    <r>
      <rPr>
        <sz val="10"/>
        <color rgb="FF000000"/>
        <rFont val="Arial"/>
        <family val="2"/>
      </rPr>
      <t>android
2021-7-26</t>
    </r>
    <r>
      <rPr>
        <sz val="10"/>
        <color rgb="FF000000"/>
        <rFont val="宋体"/>
        <family val="3"/>
        <charset val="134"/>
      </rPr>
      <t>：只差数字，尝试一下</t>
    </r>
    <r>
      <rPr>
        <sz val="10"/>
        <color rgb="FF000000"/>
        <rFont val="Arial"/>
        <family val="2"/>
      </rPr>
      <t>3D</t>
    </r>
    <r>
      <rPr>
        <sz val="10"/>
        <color rgb="FF000000"/>
        <rFont val="宋体"/>
        <family val="3"/>
        <charset val="134"/>
      </rPr>
      <t>模型方式，嘉宝回来找下他</t>
    </r>
    <phoneticPr fontId="34" type="noConversion"/>
  </si>
  <si>
    <r>
      <t>2021-6-28</t>
    </r>
    <r>
      <rPr>
        <sz val="10"/>
        <rFont val="宋体"/>
        <family val="3"/>
        <charset val="134"/>
      </rPr>
      <t>：目前等待设计出效果图/素材
2021-7-26：已经给出第一版本给算法那边使用，等待反馈</t>
    </r>
    <phoneticPr fontId="34" type="noConversion"/>
  </si>
  <si>
    <t>Huai Baosheng</t>
    <phoneticPr fontId="34" type="noConversion"/>
  </si>
  <si>
    <t xml:space="preserve">Guo Xiaobao </t>
    <phoneticPr fontId="34" type="noConversion"/>
  </si>
  <si>
    <t>DotControl</t>
    <phoneticPr fontId="34" type="noConversion"/>
  </si>
  <si>
    <t>图片资源释放机制</t>
    <phoneticPr fontId="34" type="noConversion"/>
  </si>
  <si>
    <t>节点裁剪功能</t>
  </si>
  <si>
    <t>已经被隐藏的界面的按钮还能够响应</t>
  </si>
  <si>
    <t>Clock设计</t>
    <phoneticPr fontId="34" type="noConversion"/>
  </si>
  <si>
    <t>按钮重叠显示后，缺失按钮事件屏蔽功能</t>
  </si>
  <si>
    <t xml:space="preserve">Pan Rongtao/All </t>
    <phoneticPr fontId="34" type="noConversion"/>
  </si>
  <si>
    <t xml:space="preserve">Pan Rongtao/All  </t>
    <phoneticPr fontId="34" type="noConversion"/>
  </si>
  <si>
    <t>加减速模块，输出单元测试，对Node2d的使用场景</t>
    <phoneticPr fontId="34" type="noConversion"/>
  </si>
  <si>
    <t>Huai Baosheng</t>
    <phoneticPr fontId="34" type="noConversion"/>
  </si>
  <si>
    <r>
      <t>2021-8-19</t>
    </r>
    <r>
      <rPr>
        <sz val="10"/>
        <rFont val="宋体"/>
        <family val="3"/>
        <charset val="134"/>
      </rPr>
      <t>：参考</t>
    </r>
    <r>
      <rPr>
        <sz val="10"/>
        <rFont val="Arial"/>
        <family val="2"/>
      </rPr>
      <t>G4</t>
    </r>
    <r>
      <rPr>
        <sz val="10"/>
        <rFont val="宋体"/>
        <family val="3"/>
        <charset val="134"/>
      </rPr>
      <t>模块，先评估方案是否可行</t>
    </r>
    <phoneticPr fontId="34" type="noConversion"/>
  </si>
  <si>
    <t xml:space="preserve">Pan Rongtao/all </t>
    <phoneticPr fontId="34" type="noConversion"/>
  </si>
  <si>
    <t>Pan Rongtao/all</t>
    <phoneticPr fontId="34" type="noConversion"/>
  </si>
  <si>
    <r>
      <t>2021-7-16</t>
    </r>
    <r>
      <rPr>
        <sz val="10"/>
        <rFont val="宋体"/>
        <family val="3"/>
        <charset val="134"/>
      </rPr>
      <t xml:space="preserve">：似乎没有素材
</t>
    </r>
    <r>
      <rPr>
        <sz val="10"/>
        <rFont val="Arial"/>
        <family val="2"/>
      </rPr>
      <t>2021-7-21</t>
    </r>
    <r>
      <rPr>
        <sz val="10"/>
        <rFont val="宋体"/>
        <family val="3"/>
        <charset val="134"/>
      </rPr>
      <t>：zhibing本周上传素材
2021-8-4：18号出第一版
2021-8-19：完成</t>
    </r>
    <phoneticPr fontId="34" type="noConversion"/>
  </si>
  <si>
    <r>
      <t>2021-7-21</t>
    </r>
    <r>
      <rPr>
        <sz val="10"/>
        <rFont val="宋体"/>
        <family val="3"/>
        <charset val="134"/>
      </rPr>
      <t xml:space="preserve">：顶栏界面搭建完成，左边做了一个状态。
</t>
    </r>
    <r>
      <rPr>
        <sz val="10"/>
        <rFont val="Arial"/>
        <family val="2"/>
      </rPr>
      <t>2021-8-4</t>
    </r>
    <r>
      <rPr>
        <sz val="10"/>
        <rFont val="宋体"/>
        <family val="3"/>
        <charset val="134"/>
      </rPr>
      <t xml:space="preserve">：下阶段主要处理主题，页面内交互思考
</t>
    </r>
    <r>
      <rPr>
        <sz val="10"/>
        <rFont val="Arial"/>
        <family val="2"/>
      </rPr>
      <t>2021-8-19</t>
    </r>
    <r>
      <rPr>
        <sz val="10"/>
        <rFont val="宋体"/>
        <family val="3"/>
        <charset val="134"/>
      </rPr>
      <t>：存在的问题：</t>
    </r>
    <r>
      <rPr>
        <sz val="10"/>
        <rFont val="Arial"/>
        <family val="2"/>
      </rPr>
      <t>1</t>
    </r>
    <r>
      <rPr>
        <sz val="10"/>
        <rFont val="宋体"/>
        <family val="3"/>
        <charset val="134"/>
      </rPr>
      <t>、素材问题，</t>
    </r>
    <r>
      <rPr>
        <sz val="10"/>
        <rFont val="Arial"/>
        <family val="2"/>
      </rPr>
      <t>2</t>
    </r>
    <r>
      <rPr>
        <sz val="10"/>
        <rFont val="宋体"/>
        <family val="3"/>
        <charset val="134"/>
      </rPr>
      <t>、设置变黑问题，</t>
    </r>
    <r>
      <rPr>
        <sz val="10"/>
        <rFont val="Arial"/>
        <family val="2"/>
      </rPr>
      <t>3</t>
    </r>
    <r>
      <rPr>
        <sz val="10"/>
        <rFont val="宋体"/>
        <family val="3"/>
        <charset val="134"/>
      </rPr>
      <t>、左侧曲线还未实现只是贴图</t>
    </r>
    <r>
      <rPr>
        <sz val="10"/>
        <rFont val="Arial"/>
        <family val="2"/>
      </rPr>
      <t xml:space="preserve"> 4</t>
    </r>
    <r>
      <rPr>
        <sz val="10"/>
        <rFont val="宋体"/>
        <family val="3"/>
        <charset val="134"/>
      </rPr>
      <t>、交互重叠，交互优化</t>
    </r>
    <r>
      <rPr>
        <sz val="10"/>
        <rFont val="Arial"/>
        <family val="2"/>
      </rPr>
      <t xml:space="preserve"> 5</t>
    </r>
    <r>
      <rPr>
        <sz val="10"/>
        <rFont val="宋体"/>
        <family val="3"/>
        <charset val="134"/>
      </rPr>
      <t>、切换主题偶尔挂死</t>
    </r>
    <r>
      <rPr>
        <sz val="10"/>
        <rFont val="Arial"/>
        <family val="2"/>
      </rPr>
      <t xml:space="preserve"> </t>
    </r>
    <phoneticPr fontId="34" type="noConversion"/>
  </si>
  <si>
    <r>
      <t>2021-7-21</t>
    </r>
    <r>
      <rPr>
        <sz val="10"/>
        <rFont val="宋体"/>
        <family val="3"/>
        <charset val="134"/>
      </rPr>
      <t xml:space="preserve">：开始编码，主要整理了交互需求
</t>
    </r>
    <r>
      <rPr>
        <sz val="10"/>
        <rFont val="Arial"/>
        <family val="2"/>
      </rPr>
      <t>2021-8-4</t>
    </r>
    <r>
      <rPr>
        <sz val="10"/>
        <rFont val="宋体"/>
        <family val="3"/>
        <charset val="134"/>
      </rPr>
      <t xml:space="preserve">：下阶段主要处理主题，页面内交互思考
</t>
    </r>
    <r>
      <rPr>
        <sz val="10"/>
        <rFont val="Arial"/>
        <family val="2"/>
      </rPr>
      <t>2021-8-19</t>
    </r>
    <r>
      <rPr>
        <sz val="10"/>
        <rFont val="宋体"/>
        <family val="3"/>
        <charset val="134"/>
      </rPr>
      <t>：存在的问题：</t>
    </r>
    <r>
      <rPr>
        <sz val="10"/>
        <rFont val="Arial"/>
        <family val="2"/>
      </rPr>
      <t>1</t>
    </r>
    <r>
      <rPr>
        <sz val="10"/>
        <rFont val="宋体"/>
        <family val="3"/>
        <charset val="134"/>
      </rPr>
      <t>、泊出未做</t>
    </r>
    <r>
      <rPr>
        <sz val="10"/>
        <rFont val="Arial"/>
        <family val="2"/>
      </rPr>
      <t xml:space="preserve"> 2</t>
    </r>
    <r>
      <rPr>
        <sz val="10"/>
        <rFont val="宋体"/>
        <family val="3"/>
        <charset val="134"/>
      </rPr>
      <t>、自选车位</t>
    </r>
    <r>
      <rPr>
        <sz val="10"/>
        <rFont val="Arial"/>
        <family val="2"/>
      </rPr>
      <t xml:space="preserve"> </t>
    </r>
    <r>
      <rPr>
        <sz val="10"/>
        <rFont val="宋体"/>
        <family val="3"/>
        <charset val="134"/>
      </rPr>
      <t>选择车位有车的部分显示红色</t>
    </r>
    <r>
      <rPr>
        <sz val="10"/>
        <rFont val="Arial"/>
        <family val="2"/>
      </rPr>
      <t xml:space="preserve"> </t>
    </r>
    <phoneticPr fontId="34" type="noConversion"/>
  </si>
  <si>
    <r>
      <t>2021-7-21</t>
    </r>
    <r>
      <rPr>
        <sz val="10"/>
        <rFont val="宋体"/>
        <family val="3"/>
        <charset val="134"/>
      </rPr>
      <t xml:space="preserve">：内部代码结构做了页区分，后续要做实现每个状态页
</t>
    </r>
    <r>
      <rPr>
        <sz val="10"/>
        <rFont val="Arial"/>
        <family val="2"/>
      </rPr>
      <t>2021-8-4</t>
    </r>
    <r>
      <rPr>
        <sz val="10"/>
        <rFont val="宋体"/>
        <family val="3"/>
        <charset val="134"/>
      </rPr>
      <t xml:space="preserve">：下阶段主要页面内交互思考
</t>
    </r>
    <r>
      <rPr>
        <sz val="10"/>
        <rFont val="Arial"/>
        <family val="2"/>
      </rPr>
      <t>2021-8-19</t>
    </r>
    <r>
      <rPr>
        <sz val="10"/>
        <rFont val="宋体"/>
        <family val="3"/>
        <charset val="134"/>
      </rPr>
      <t xml:space="preserve">：目前使用数据驱动来做交互接口。
</t>
    </r>
    <r>
      <rPr>
        <sz val="10"/>
        <rFont val="Arial"/>
        <family val="2"/>
      </rPr>
      <t/>
    </r>
    <phoneticPr fontId="34" type="noConversion"/>
  </si>
  <si>
    <t>Pan Rongtao</t>
    <phoneticPr fontId="34" type="noConversion"/>
  </si>
  <si>
    <r>
      <t>2021-8-19</t>
    </r>
    <r>
      <rPr>
        <sz val="10"/>
        <rFont val="宋体"/>
        <family val="3"/>
        <charset val="134"/>
      </rPr>
      <t>：已经解决，zhibing check一下</t>
    </r>
    <phoneticPr fontId="34" type="noConversion"/>
  </si>
  <si>
    <t>到最后再考虑，影响很小</t>
    <phoneticPr fontId="34" type="noConversion"/>
  </si>
  <si>
    <r>
      <t>2021-8-19</t>
    </r>
    <r>
      <rPr>
        <sz val="10"/>
        <rFont val="宋体"/>
        <family val="3"/>
        <charset val="134"/>
      </rPr>
      <t>：已经解决，</t>
    </r>
    <r>
      <rPr>
        <sz val="10"/>
        <rFont val="Arial"/>
        <family val="2"/>
      </rPr>
      <t>nanshan check</t>
    </r>
    <r>
      <rPr>
        <sz val="10"/>
        <rFont val="宋体"/>
        <family val="3"/>
        <charset val="134"/>
      </rPr>
      <t>一下</t>
    </r>
    <phoneticPr fontId="34" type="noConversion"/>
  </si>
  <si>
    <r>
      <t>2021-7-16</t>
    </r>
    <r>
      <rPr>
        <sz val="10"/>
        <rFont val="宋体"/>
        <family val="3"/>
        <charset val="134"/>
      </rPr>
      <t xml:space="preserve">：控件还未有
</t>
    </r>
    <r>
      <rPr>
        <sz val="10"/>
        <rFont val="Arial"/>
        <family val="2"/>
      </rPr>
      <t>2021-8-4</t>
    </r>
    <r>
      <rPr>
        <sz val="10"/>
        <rFont val="宋体"/>
        <family val="3"/>
        <charset val="134"/>
      </rPr>
      <t>：</t>
    </r>
    <r>
      <rPr>
        <sz val="10"/>
        <rFont val="Arial"/>
        <family val="2"/>
      </rPr>
      <t>18</t>
    </r>
    <r>
      <rPr>
        <sz val="10"/>
        <rFont val="宋体"/>
        <family val="3"/>
        <charset val="134"/>
      </rPr>
      <t xml:space="preserve">号出第一版
</t>
    </r>
    <r>
      <rPr>
        <sz val="10"/>
        <rFont val="Arial"/>
        <family val="2"/>
      </rPr>
      <t>2021-8-19</t>
    </r>
    <r>
      <rPr>
        <sz val="10"/>
        <rFont val="宋体"/>
        <family val="3"/>
        <charset val="134"/>
      </rPr>
      <t>：第一版本已经使用上。存在的问题：</t>
    </r>
    <r>
      <rPr>
        <sz val="10"/>
        <rFont val="Arial"/>
        <family val="2"/>
      </rPr>
      <t>1</t>
    </r>
    <r>
      <rPr>
        <sz val="10"/>
        <rFont val="宋体"/>
        <family val="3"/>
        <charset val="134"/>
      </rPr>
      <t>、回弹问题，</t>
    </r>
    <r>
      <rPr>
        <sz val="10"/>
        <rFont val="Arial"/>
        <family val="2"/>
      </rPr>
      <t>2</t>
    </r>
    <r>
      <rPr>
        <sz val="10"/>
        <rFont val="宋体"/>
        <family val="3"/>
        <charset val="134"/>
      </rPr>
      <t>、对</t>
    </r>
    <r>
      <rPr>
        <sz val="10"/>
        <rFont val="Arial"/>
        <family val="2"/>
      </rPr>
      <t>DotControl</t>
    </r>
    <r>
      <rPr>
        <sz val="10"/>
        <rFont val="宋体"/>
        <family val="3"/>
        <charset val="134"/>
      </rPr>
      <t>控件的逻辑</t>
    </r>
    <r>
      <rPr>
        <sz val="10"/>
        <rFont val="Arial"/>
        <family val="2"/>
      </rPr>
      <t xml:space="preserve"> 3</t>
    </r>
    <r>
      <rPr>
        <sz val="10"/>
        <rFont val="宋体"/>
        <family val="3"/>
        <charset val="134"/>
      </rPr>
      <t>、缓存机制</t>
    </r>
    <r>
      <rPr>
        <sz val="10"/>
        <rFont val="Arial"/>
        <family val="2"/>
      </rPr>
      <t xml:space="preserve"> </t>
    </r>
    <phoneticPr fontId="34" type="noConversion"/>
  </si>
  <si>
    <r>
      <t>2021-7-26</t>
    </r>
    <r>
      <rPr>
        <sz val="10"/>
        <rFont val="宋体"/>
        <family val="3"/>
        <charset val="134"/>
      </rPr>
      <t xml:space="preserve">：目前建模人员还未到位，此项目持续跟进即可
</t>
    </r>
    <r>
      <rPr>
        <sz val="10"/>
        <rFont val="Arial"/>
        <family val="2"/>
      </rPr>
      <t>2021-8-23</t>
    </r>
    <r>
      <rPr>
        <sz val="10"/>
        <rFont val="宋体"/>
        <family val="3"/>
        <charset val="134"/>
      </rPr>
      <t>：第一版已经输出给</t>
    </r>
    <r>
      <rPr>
        <sz val="10"/>
        <rFont val="Arial"/>
        <family val="2"/>
      </rPr>
      <t>IOV</t>
    </r>
    <r>
      <rPr>
        <sz val="10"/>
        <rFont val="宋体"/>
        <family val="3"/>
        <charset val="134"/>
      </rPr>
      <t>，包含一个动作</t>
    </r>
    <phoneticPr fontId="34" type="noConversion"/>
  </si>
  <si>
    <r>
      <t>2021-7-21</t>
    </r>
    <r>
      <rPr>
        <sz val="10"/>
        <rFont val="宋体"/>
        <family val="3"/>
        <charset val="134"/>
      </rPr>
      <t>：</t>
    </r>
    <r>
      <rPr>
        <sz val="10"/>
        <rFont val="Arial"/>
        <family val="2"/>
      </rPr>
      <t>18</t>
    </r>
    <r>
      <rPr>
        <sz val="10"/>
        <rFont val="宋体"/>
        <family val="3"/>
        <charset val="134"/>
      </rPr>
      <t xml:space="preserve">号给出计划
</t>
    </r>
    <r>
      <rPr>
        <sz val="10"/>
        <rFont val="Arial"/>
        <family val="2"/>
      </rPr>
      <t>2021-8-19</t>
    </r>
    <r>
      <rPr>
        <sz val="10"/>
        <rFont val="宋体"/>
        <family val="3"/>
        <charset val="134"/>
      </rPr>
      <t>：</t>
    </r>
    <r>
      <rPr>
        <sz val="10"/>
        <rFont val="Arial"/>
        <family val="2"/>
      </rPr>
      <t>9.1</t>
    </r>
    <r>
      <rPr>
        <sz val="10"/>
        <rFont val="宋体"/>
        <family val="3"/>
        <charset val="134"/>
      </rPr>
      <t xml:space="preserve">开始
</t>
    </r>
    <r>
      <rPr>
        <sz val="10"/>
        <rFont val="Arial"/>
        <family val="2"/>
      </rPr>
      <t>2021-10-8</t>
    </r>
    <r>
      <rPr>
        <sz val="10"/>
        <rFont val="宋体"/>
        <family val="3"/>
        <charset val="134"/>
      </rPr>
      <t>：TextBlock已实现，使用SetWrap接口，支持\n回车换行符</t>
    </r>
    <phoneticPr fontId="34" type="noConversion"/>
  </si>
  <si>
    <r>
      <t>2021-7-16</t>
    </r>
    <r>
      <rPr>
        <sz val="10"/>
        <rFont val="宋体"/>
        <family val="3"/>
        <charset val="134"/>
      </rPr>
      <t xml:space="preserve">：静态界面完成后考虑
</t>
    </r>
    <r>
      <rPr>
        <sz val="10"/>
        <rFont val="Arial"/>
        <family val="2"/>
      </rPr>
      <t>2021-8-4</t>
    </r>
    <r>
      <rPr>
        <sz val="10"/>
        <rFont val="宋体"/>
        <family val="3"/>
        <charset val="134"/>
      </rPr>
      <t>：已经有第一版。Sibo，nanshan在23号内完成
2021-8-19：sibo完成第一版本，23号多主题全搞定。Nanshan：还在整理素材，23号搞定
2021-10-8：界面已经全部使用上（PAP界面无多主题需求）</t>
    </r>
    <phoneticPr fontId="34" type="noConversion"/>
  </si>
  <si>
    <r>
      <t>2021-7-16</t>
    </r>
    <r>
      <rPr>
        <sz val="10"/>
        <rFont val="宋体"/>
        <family val="3"/>
        <charset val="134"/>
      </rPr>
      <t xml:space="preserve">：静态界面完成后考虑
</t>
    </r>
    <r>
      <rPr>
        <sz val="10"/>
        <rFont val="Arial"/>
        <family val="2"/>
      </rPr>
      <t>2021-8-4</t>
    </r>
    <r>
      <rPr>
        <sz val="10"/>
        <rFont val="宋体"/>
        <family val="3"/>
        <charset val="134"/>
      </rPr>
      <t>：已经有第一版。每个界面负责人负责，在</t>
    </r>
    <r>
      <rPr>
        <sz val="10"/>
        <rFont val="Arial"/>
        <family val="2"/>
      </rPr>
      <t>23</t>
    </r>
    <r>
      <rPr>
        <sz val="10"/>
        <rFont val="宋体"/>
        <family val="3"/>
        <charset val="134"/>
      </rPr>
      <t xml:space="preserve">号内完成
</t>
    </r>
    <r>
      <rPr>
        <sz val="10"/>
        <rFont val="Arial"/>
        <family val="2"/>
      </rPr>
      <t>2021-8-19</t>
    </r>
    <r>
      <rPr>
        <sz val="10"/>
        <rFont val="宋体"/>
        <family val="3"/>
        <charset val="134"/>
      </rPr>
      <t>：</t>
    </r>
    <r>
      <rPr>
        <sz val="10"/>
        <rFont val="Arial"/>
        <family val="2"/>
      </rPr>
      <t>23</t>
    </r>
    <r>
      <rPr>
        <sz val="10"/>
        <rFont val="宋体"/>
        <family val="3"/>
        <charset val="134"/>
      </rPr>
      <t xml:space="preserve">号整理出翻译需求。
</t>
    </r>
    <r>
      <rPr>
        <sz val="10"/>
        <rFont val="Arial"/>
        <family val="2"/>
      </rPr>
      <t>2021-10-8</t>
    </r>
    <r>
      <rPr>
        <sz val="10"/>
        <rFont val="宋体"/>
        <family val="3"/>
        <charset val="134"/>
      </rPr>
      <t>：界面已经全部使用上，</t>
    </r>
    <r>
      <rPr>
        <sz val="10"/>
        <rFont val="Arial"/>
        <family val="2"/>
      </rPr>
      <t>PAP</t>
    </r>
    <r>
      <rPr>
        <sz val="10"/>
        <rFont val="宋体"/>
        <family val="3"/>
        <charset val="134"/>
      </rPr>
      <t>界面还未使用</t>
    </r>
    <phoneticPr fontId="34" type="noConversion"/>
  </si>
  <si>
    <r>
      <t>SwitchButton</t>
    </r>
    <r>
      <rPr>
        <sz val="11"/>
        <color theme="1"/>
        <rFont val="宋体"/>
        <family val="3"/>
        <charset val="134"/>
      </rPr>
      <t>（SlideButton）</t>
    </r>
    <phoneticPr fontId="34" type="noConversion"/>
  </si>
  <si>
    <r>
      <t>2021-7-16</t>
    </r>
    <r>
      <rPr>
        <sz val="10"/>
        <rFont val="宋体"/>
        <family val="3"/>
        <charset val="134"/>
      </rPr>
      <t xml:space="preserve">：控件还未有
</t>
    </r>
    <r>
      <rPr>
        <sz val="10"/>
        <rFont val="Arial"/>
        <family val="2"/>
      </rPr>
      <t>2021-7-21</t>
    </r>
    <r>
      <rPr>
        <sz val="10"/>
        <rFont val="宋体"/>
        <family val="3"/>
        <charset val="134"/>
      </rPr>
      <t>：</t>
    </r>
    <r>
      <rPr>
        <sz val="10"/>
        <rFont val="Arial"/>
        <family val="2"/>
      </rPr>
      <t>7-28</t>
    </r>
    <r>
      <rPr>
        <sz val="10"/>
        <rFont val="宋体"/>
        <family val="3"/>
        <charset val="134"/>
      </rPr>
      <t xml:space="preserve">发出第一个版本
</t>
    </r>
    <r>
      <rPr>
        <sz val="10"/>
        <rFont val="Arial"/>
        <family val="2"/>
      </rPr>
      <t>2021-8-4</t>
    </r>
    <r>
      <rPr>
        <sz val="10"/>
        <rFont val="宋体"/>
        <family val="3"/>
        <charset val="134"/>
      </rPr>
      <t>：</t>
    </r>
    <r>
      <rPr>
        <sz val="10"/>
        <rFont val="Arial"/>
        <family val="2"/>
      </rPr>
      <t>ToggleButton</t>
    </r>
    <r>
      <rPr>
        <sz val="10"/>
        <rFont val="宋体"/>
        <family val="3"/>
        <charset val="134"/>
      </rPr>
      <t>做了，顶部设计成</t>
    </r>
    <r>
      <rPr>
        <sz val="10"/>
        <rFont val="Arial"/>
        <family val="2"/>
      </rPr>
      <t>Tab</t>
    </r>
    <r>
      <rPr>
        <sz val="10"/>
        <rFont val="宋体"/>
        <family val="3"/>
        <charset val="134"/>
      </rPr>
      <t>。</t>
    </r>
    <r>
      <rPr>
        <sz val="10"/>
        <rFont val="Arial"/>
        <family val="2"/>
      </rPr>
      <t>LNS 18</t>
    </r>
    <r>
      <rPr>
        <sz val="10"/>
        <rFont val="宋体"/>
        <family val="3"/>
        <charset val="134"/>
      </rPr>
      <t xml:space="preserve">号出第一版
</t>
    </r>
    <r>
      <rPr>
        <sz val="10"/>
        <rFont val="Arial"/>
        <family val="2"/>
      </rPr>
      <t>2021-8-19</t>
    </r>
    <r>
      <rPr>
        <sz val="10"/>
        <rFont val="宋体"/>
        <family val="3"/>
        <charset val="134"/>
      </rPr>
      <t>：第一版本已经出来，还为应用到界面。还存在的问题：</t>
    </r>
    <r>
      <rPr>
        <sz val="10"/>
        <rFont val="Arial"/>
        <family val="2"/>
      </rPr>
      <t>1</t>
    </r>
    <r>
      <rPr>
        <sz val="10"/>
        <rFont val="宋体"/>
        <family val="3"/>
        <charset val="134"/>
      </rPr>
      <t>、完善每个item的状态需要完善；2、切换动画还没有。
2021-10-8：PRT 已经参考G4设计SliderButton控件，已在界面上使用</t>
    </r>
    <phoneticPr fontId="34" type="noConversion"/>
  </si>
  <si>
    <r>
      <t>2021-7-16</t>
    </r>
    <r>
      <rPr>
        <sz val="10"/>
        <rFont val="宋体"/>
        <family val="3"/>
        <charset val="134"/>
      </rPr>
      <t xml:space="preserve">：还不支持文本内容
</t>
    </r>
    <r>
      <rPr>
        <sz val="10"/>
        <rFont val="Arial"/>
        <family val="2"/>
      </rPr>
      <t>2021-8-4</t>
    </r>
    <r>
      <rPr>
        <sz val="10"/>
        <rFont val="宋体"/>
        <family val="3"/>
        <charset val="134"/>
      </rPr>
      <t>：本周开始，需完善至少支持一个文本，一个</t>
    </r>
    <r>
      <rPr>
        <sz val="10"/>
        <rFont val="Arial"/>
        <family val="2"/>
      </rPr>
      <t>icon</t>
    </r>
    <r>
      <rPr>
        <sz val="10"/>
        <rFont val="宋体"/>
        <family val="3"/>
        <charset val="134"/>
      </rPr>
      <t xml:space="preserve">。按钮消息不往下传的需求，出个初版，下周出第一版
</t>
    </r>
    <r>
      <rPr>
        <sz val="10"/>
        <rFont val="Arial"/>
        <family val="2"/>
      </rPr>
      <t>2021-8-19</t>
    </r>
    <r>
      <rPr>
        <sz val="10"/>
        <rFont val="宋体"/>
        <family val="3"/>
        <charset val="134"/>
      </rPr>
      <t>：已经完成，自带一个icon+文本。9.2下次例会前替换原来的临时方案
2021-10-8：已完成</t>
    </r>
    <phoneticPr fontId="34" type="noConversion"/>
  </si>
  <si>
    <r>
      <t>2021-7-16</t>
    </r>
    <r>
      <rPr>
        <sz val="10"/>
        <rFont val="宋体"/>
        <family val="3"/>
        <charset val="134"/>
      </rPr>
      <t xml:space="preserve">：控件还未有
</t>
    </r>
    <r>
      <rPr>
        <sz val="10"/>
        <rFont val="Arial"/>
        <family val="2"/>
      </rPr>
      <t>2021-8-4</t>
    </r>
    <r>
      <rPr>
        <sz val="10"/>
        <rFont val="宋体"/>
        <family val="3"/>
        <charset val="134"/>
      </rPr>
      <t>：</t>
    </r>
    <r>
      <rPr>
        <sz val="10"/>
        <rFont val="Arial"/>
        <family val="2"/>
      </rPr>
      <t>18</t>
    </r>
    <r>
      <rPr>
        <sz val="10"/>
        <rFont val="宋体"/>
        <family val="3"/>
        <charset val="134"/>
      </rPr>
      <t xml:space="preserve">号出第一版
</t>
    </r>
    <r>
      <rPr>
        <sz val="10"/>
        <rFont val="Arial"/>
        <family val="2"/>
      </rPr>
      <t>2021-8-19</t>
    </r>
    <r>
      <rPr>
        <sz val="10"/>
        <rFont val="宋体"/>
        <family val="3"/>
        <charset val="134"/>
      </rPr>
      <t xml:space="preserve">：已经出第一个版本，存在的问题：素材差一个像素产生的问题
</t>
    </r>
    <r>
      <rPr>
        <sz val="10"/>
        <rFont val="Arial"/>
        <family val="2"/>
      </rPr>
      <t>2021-10-8</t>
    </r>
    <r>
      <rPr>
        <sz val="10"/>
        <rFont val="宋体"/>
        <family val="3"/>
        <charset val="134"/>
      </rPr>
      <t>：已完成，且在多个界面上应用</t>
    </r>
    <phoneticPr fontId="34" type="noConversion"/>
  </si>
  <si>
    <r>
      <t>2021-7-21</t>
    </r>
    <r>
      <rPr>
        <sz val="10"/>
        <rFont val="宋体"/>
        <family val="3"/>
        <charset val="134"/>
      </rPr>
      <t>：</t>
    </r>
    <r>
      <rPr>
        <sz val="10"/>
        <rFont val="Arial"/>
        <family val="2"/>
      </rPr>
      <t>18</t>
    </r>
    <r>
      <rPr>
        <sz val="10"/>
        <rFont val="宋体"/>
        <family val="3"/>
        <charset val="134"/>
      </rPr>
      <t xml:space="preserve">号给出计划
</t>
    </r>
    <r>
      <rPr>
        <sz val="10"/>
        <rFont val="Arial"/>
        <family val="2"/>
      </rPr>
      <t>2021-8-19</t>
    </r>
    <r>
      <rPr>
        <sz val="10"/>
        <rFont val="宋体"/>
        <family val="3"/>
        <charset val="134"/>
      </rPr>
      <t>：</t>
    </r>
    <r>
      <rPr>
        <sz val="10"/>
        <rFont val="Arial"/>
        <family val="2"/>
      </rPr>
      <t>9.1</t>
    </r>
    <r>
      <rPr>
        <sz val="10"/>
        <rFont val="宋体"/>
        <family val="3"/>
        <charset val="134"/>
      </rPr>
      <t xml:space="preserve">开始
</t>
    </r>
    <r>
      <rPr>
        <sz val="10"/>
        <rFont val="Arial"/>
        <family val="2"/>
      </rPr>
      <t>2021-10-8</t>
    </r>
    <r>
      <rPr>
        <sz val="10"/>
        <rFont val="宋体"/>
        <family val="3"/>
        <charset val="134"/>
      </rPr>
      <t>：未完成</t>
    </r>
    <phoneticPr fontId="34" type="noConversion"/>
  </si>
  <si>
    <t>泊车影像界面（AVM）</t>
    <phoneticPr fontId="34" type="noConversion"/>
  </si>
  <si>
    <t>智能泊车（AI）</t>
    <phoneticPr fontId="34" type="noConversion"/>
  </si>
  <si>
    <t>记忆泊车（PAP）</t>
    <phoneticPr fontId="34" type="noConversion"/>
  </si>
  <si>
    <t>方案待考虑
2021-8-19：在优化阶段再考虑
2021-10-8：目前不释放的情况，整个项目内存占用不会太高100mb+，可以考虑不做释放；如果做，则在切换界面时释放其他界面图片资源</t>
    <phoneticPr fontId="34" type="noConversion"/>
  </si>
  <si>
    <r>
      <t>2021-8-19</t>
    </r>
    <r>
      <rPr>
        <sz val="10"/>
        <rFont val="宋体"/>
        <family val="3"/>
        <charset val="134"/>
      </rPr>
      <t xml:space="preserve">：两周内先给出第一个版本
</t>
    </r>
    <r>
      <rPr>
        <sz val="10"/>
        <rFont val="Arial"/>
        <family val="2"/>
      </rPr>
      <t>2021-10-8</t>
    </r>
    <r>
      <rPr>
        <sz val="10"/>
        <rFont val="宋体"/>
        <family val="3"/>
        <charset val="134"/>
      </rPr>
      <t>：已完成，且在自选车位界面中使用上</t>
    </r>
    <phoneticPr fontId="34" type="noConversion"/>
  </si>
  <si>
    <r>
      <t>2021-7-16</t>
    </r>
    <r>
      <rPr>
        <sz val="10"/>
        <rFont val="宋体"/>
        <family val="3"/>
        <charset val="134"/>
      </rPr>
      <t xml:space="preserve">：还不支持设置颜色
</t>
    </r>
    <r>
      <rPr>
        <sz val="10"/>
        <rFont val="Arial"/>
        <family val="2"/>
      </rPr>
      <t>2021-7-21</t>
    </r>
    <r>
      <rPr>
        <sz val="10"/>
        <rFont val="宋体"/>
        <family val="3"/>
        <charset val="134"/>
      </rPr>
      <t xml:space="preserve">：本周内给出设置颜色的实现
</t>
    </r>
    <r>
      <rPr>
        <sz val="10"/>
        <rFont val="Arial"/>
        <family val="2"/>
      </rPr>
      <t>2021-8-4</t>
    </r>
    <r>
      <rPr>
        <sz val="10"/>
        <rFont val="宋体"/>
        <family val="3"/>
        <charset val="134"/>
      </rPr>
      <t xml:space="preserve">：颜色已经给出接口。还需要设计字体接口和居中对齐
</t>
    </r>
    <r>
      <rPr>
        <sz val="10"/>
        <rFont val="Arial"/>
        <family val="2"/>
      </rPr>
      <t>2021-8-19</t>
    </r>
    <r>
      <rPr>
        <sz val="10"/>
        <rFont val="宋体"/>
        <family val="3"/>
        <charset val="134"/>
      </rPr>
      <t>：需要添加设计setFontSize接口，各界面先使用setFont
2021-10-8：已添加setFontSize接口</t>
    </r>
    <phoneticPr fontId="34" type="noConversion"/>
  </si>
  <si>
    <r>
      <t xml:space="preserve">2021-7-21：
2021-8-4：9月初给出计划
2021-10-8：X3V项目暂无需求（键盘需求未确认）
</t>
    </r>
    <r>
      <rPr>
        <sz val="10"/>
        <rFont val="Arial"/>
        <family val="2"/>
      </rPr>
      <t/>
    </r>
    <phoneticPr fontId="34"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</si>
</sst>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6">
    <numFmt numFmtId="176" formatCode="[$-409]d/mmm/yy;@"/>
    <numFmt numFmtId="177" formatCode="m/d/yy;@"/>
    <numFmt numFmtId="178" formatCode="yy/m/d;@"/>
    <numFmt numFmtId="179" formatCode="d"/>
    <numFmt numFmtId="180" formatCode="aaa\,\ yyyy/m/d"/>
    <numFmt numFmtId="181" formatCode="dd/mm/yyyy"/>
  </numFmts>
  <fonts count="63" x14ac:knownFonts="1">
    <font>
      <sz val="11"/>
      <color theme="1"/>
      <name val="宋体"/>
      <charset val="134"/>
      <scheme val="minor"/>
    </font>
    <font>
      <sz val="11"/>
      <color theme="1"/>
      <name val="宋体"/>
      <family val="2"/>
      <charset val="134"/>
      <scheme val="minor"/>
    </font>
    <font>
      <sz val="11"/>
      <color theme="1"/>
      <name val="宋体"/>
      <family val="2"/>
      <charset val="134"/>
      <scheme val="minor"/>
    </font>
    <font>
      <sz val="11"/>
      <color theme="1"/>
      <name val="Arial"/>
      <family val="2"/>
    </font>
    <font>
      <b/>
      <sz val="18"/>
      <name val="Arial"/>
      <family val="2"/>
    </font>
    <font>
      <b/>
      <sz val="10"/>
      <name val="Arial"/>
      <family val="2"/>
    </font>
    <font>
      <sz val="10"/>
      <color rgb="FFFF0000"/>
      <name val="Arial"/>
      <family val="2"/>
    </font>
    <font>
      <sz val="10"/>
      <name val="Arial"/>
      <family val="2"/>
    </font>
    <font>
      <sz val="11"/>
      <color rgb="FFFFFFFF"/>
      <name val="宋体"/>
      <family val="3"/>
      <charset val="134"/>
      <scheme val="minor"/>
    </font>
    <font>
      <sz val="10"/>
      <name val="宋体"/>
      <family val="3"/>
      <charset val="134"/>
    </font>
    <font>
      <sz val="11"/>
      <color theme="1"/>
      <name val="宋体"/>
      <family val="3"/>
      <charset val="134"/>
    </font>
    <font>
      <sz val="12"/>
      <name val="Arial"/>
      <family val="2"/>
    </font>
    <font>
      <sz val="11"/>
      <color rgb="FF000000"/>
      <name val="宋体"/>
      <family val="3"/>
      <charset val="134"/>
      <scheme val="minor"/>
    </font>
    <font>
      <sz val="10"/>
      <color rgb="FF000000"/>
      <name val="宋体"/>
      <family val="3"/>
      <charset val="134"/>
    </font>
    <font>
      <sz val="10"/>
      <color rgb="FF000000"/>
      <name val="Arial"/>
      <family val="2"/>
    </font>
    <font>
      <strike/>
      <sz val="10"/>
      <name val="Arial"/>
      <family val="2"/>
    </font>
    <font>
      <strike/>
      <sz val="11"/>
      <color rgb="FF000000"/>
      <name val="宋体"/>
      <family val="3"/>
      <charset val="134"/>
      <scheme val="minor"/>
    </font>
    <font>
      <strike/>
      <sz val="10"/>
      <color rgb="FF000000"/>
      <name val="宋体"/>
      <family val="3"/>
      <charset val="134"/>
    </font>
    <font>
      <strike/>
      <sz val="10"/>
      <color rgb="FF000000"/>
      <name val="Arial"/>
      <family val="2"/>
    </font>
    <font>
      <sz val="10.5"/>
      <color theme="1"/>
      <name val="Calibri"/>
      <family val="2"/>
    </font>
    <font>
      <sz val="10.5"/>
      <color theme="1"/>
      <name val="宋体"/>
      <family val="3"/>
      <charset val="134"/>
      <scheme val="minor"/>
    </font>
    <font>
      <sz val="11"/>
      <color rgb="FF000000"/>
      <name val="Arial"/>
      <family val="2"/>
    </font>
    <font>
      <sz val="11"/>
      <name val="Arial"/>
      <family val="2"/>
    </font>
    <font>
      <sz val="12"/>
      <name val="宋体"/>
      <family val="3"/>
      <charset val="134"/>
    </font>
    <font>
      <sz val="11"/>
      <color theme="1"/>
      <name val="宋体"/>
      <family val="3"/>
      <charset val="134"/>
      <scheme val="minor"/>
    </font>
    <font>
      <sz val="10"/>
      <color indexed="10"/>
      <name val="宋体"/>
      <family val="3"/>
      <charset val="134"/>
    </font>
    <font>
      <sz val="10"/>
      <color theme="3" tint="0.59999389629810485"/>
      <name val="宋体"/>
      <family val="3"/>
      <charset val="134"/>
    </font>
    <font>
      <strike/>
      <sz val="10"/>
      <name val="宋体"/>
      <family val="3"/>
      <charset val="134"/>
    </font>
    <font>
      <sz val="11"/>
      <color rgb="FF000000"/>
      <name val="宋体"/>
      <family val="3"/>
      <charset val="134"/>
    </font>
    <font>
      <sz val="9"/>
      <name val="宋体"/>
      <family val="3"/>
      <charset val="134"/>
    </font>
    <font>
      <b/>
      <sz val="9"/>
      <name val="宋体"/>
      <family val="3"/>
      <charset val="134"/>
    </font>
    <font>
      <sz val="11"/>
      <color theme="1"/>
      <name val="宋体"/>
      <family val="3"/>
      <charset val="134"/>
      <scheme val="minor"/>
    </font>
    <font>
      <b/>
      <sz val="11"/>
      <color rgb="FF000000"/>
      <name val="Arial"/>
      <family val="2"/>
    </font>
    <font>
      <sz val="11"/>
      <color theme="1"/>
      <name val="Microsoft YaHei UI"/>
      <family val="2"/>
      <charset val="134"/>
    </font>
    <font>
      <sz val="9"/>
      <name val="宋体"/>
      <family val="3"/>
      <charset val="134"/>
      <scheme val="minor"/>
    </font>
    <font>
      <sz val="11"/>
      <color theme="0"/>
      <name val="Microsoft YaHei UI"/>
      <family val="2"/>
      <charset val="134"/>
    </font>
    <font>
      <u/>
      <sz val="11"/>
      <color indexed="12"/>
      <name val="Microsoft YaHei UI"/>
      <family val="2"/>
      <charset val="134"/>
    </font>
    <font>
      <sz val="10"/>
      <color theme="1" tint="0.499984740745262"/>
      <name val="Microsoft YaHei UI"/>
      <family val="2"/>
      <charset val="134"/>
    </font>
    <font>
      <b/>
      <sz val="11"/>
      <color theme="1" tint="0.499984740745262"/>
      <name val="Microsoft YaHei UI"/>
      <family val="2"/>
      <charset val="134"/>
    </font>
    <font>
      <sz val="11"/>
      <name val="Microsoft YaHei UI"/>
      <family val="2"/>
      <charset val="134"/>
    </font>
    <font>
      <i/>
      <sz val="9"/>
      <color theme="1"/>
      <name val="Microsoft YaHei UI"/>
      <family val="2"/>
      <charset val="134"/>
    </font>
    <font>
      <b/>
      <sz val="11"/>
      <color rgb="FF3F3F3F"/>
      <name val="宋体"/>
      <family val="2"/>
      <charset val="134"/>
      <scheme val="minor"/>
    </font>
    <font>
      <sz val="9"/>
      <name val="Microsoft YaHei UI"/>
      <family val="2"/>
      <charset val="134"/>
    </font>
    <font>
      <b/>
      <sz val="11"/>
      <color theme="1"/>
      <name val="Microsoft YaHei UI"/>
      <family val="2"/>
      <charset val="134"/>
    </font>
    <font>
      <sz val="8"/>
      <color theme="0"/>
      <name val="Microsoft YaHei UI"/>
      <family val="2"/>
      <charset val="134"/>
    </font>
    <font>
      <b/>
      <sz val="9"/>
      <color theme="0"/>
      <name val="Microsoft YaHei UI"/>
      <family val="2"/>
      <charset val="134"/>
    </font>
    <font>
      <sz val="14"/>
      <color theme="1"/>
      <name val="Microsoft YaHei UI"/>
      <family val="2"/>
      <charset val="134"/>
    </font>
    <font>
      <sz val="10"/>
      <name val="Microsoft YaHei UI"/>
      <family val="2"/>
      <charset val="134"/>
    </font>
    <font>
      <b/>
      <sz val="20"/>
      <color theme="4" tint="-0.249977111117893"/>
      <name val="Microsoft YaHei UI"/>
      <family val="2"/>
      <charset val="134"/>
    </font>
    <font>
      <b/>
      <sz val="22"/>
      <color theme="1" tint="0.34998626667073579"/>
      <name val="Microsoft YaHei UI"/>
      <family val="2"/>
      <charset val="134"/>
    </font>
    <font>
      <sz val="11"/>
      <color rgb="FFFF0000"/>
      <name val="Microsoft YaHei UI"/>
      <family val="2"/>
      <charset val="134"/>
    </font>
    <font>
      <b/>
      <sz val="18"/>
      <color theme="8"/>
      <name val="Microsoft YaHei UI"/>
      <family val="2"/>
      <charset val="134"/>
    </font>
    <font>
      <sz val="11"/>
      <color theme="8" tint="0.79998168889431442"/>
      <name val="Microsoft YaHei UI"/>
      <family val="2"/>
      <charset val="134"/>
    </font>
    <font>
      <b/>
      <sz val="12"/>
      <color theme="0"/>
      <name val="Microsoft YaHei UI"/>
      <family val="2"/>
      <charset val="134"/>
    </font>
    <font>
      <sz val="10"/>
      <color theme="1" tint="0.499984740745262"/>
      <name val="宋体"/>
      <family val="2"/>
      <scheme val="minor"/>
    </font>
    <font>
      <b/>
      <sz val="11"/>
      <color theme="5"/>
      <name val="宋体"/>
      <family val="2"/>
      <scheme val="minor"/>
    </font>
    <font>
      <b/>
      <sz val="20"/>
      <color theme="0"/>
      <name val="宋体"/>
      <family val="2"/>
      <scheme val="minor"/>
    </font>
    <font>
      <sz val="10"/>
      <color theme="5"/>
      <name val="宋体"/>
      <family val="2"/>
      <scheme val="major"/>
    </font>
    <font>
      <sz val="10"/>
      <color theme="5"/>
      <name val="Microsoft YaHei UI"/>
      <family val="2"/>
      <charset val="134"/>
    </font>
    <font>
      <b/>
      <sz val="11"/>
      <color theme="5"/>
      <name val="Microsoft YaHei UI"/>
      <family val="2"/>
      <charset val="134"/>
    </font>
    <font>
      <b/>
      <sz val="20"/>
      <color theme="0"/>
      <name val="Microsoft YaHei UI"/>
      <family val="2"/>
      <charset val="134"/>
    </font>
    <font>
      <b/>
      <sz val="18"/>
      <name val="宋体"/>
      <family val="3"/>
      <charset val="134"/>
    </font>
    <font>
      <strike/>
      <sz val="11"/>
      <color theme="1"/>
      <name val="宋体"/>
      <family val="3"/>
      <charset val="134"/>
    </font>
  </fonts>
  <fills count="21">
    <fill>
      <patternFill patternType="none"/>
    </fill>
    <fill>
      <patternFill patternType="gray125"/>
    </fill>
    <fill>
      <patternFill patternType="solid">
        <fgColor indexed="22"/>
        <bgColor indexed="64"/>
      </patternFill>
    </fill>
    <fill>
      <patternFill patternType="solid">
        <fgColor theme="5" tint="0.59999389629810485"/>
        <bgColor indexed="64"/>
      </patternFill>
    </fill>
    <fill>
      <patternFill patternType="solid">
        <fgColor theme="6" tint="0.59999389629810485"/>
        <bgColor indexed="64"/>
      </patternFill>
    </fill>
    <fill>
      <patternFill patternType="solid">
        <fgColor theme="4" tint="0.59999389629810485"/>
        <bgColor indexed="64"/>
      </patternFill>
    </fill>
    <fill>
      <patternFill patternType="solid">
        <fgColor theme="7" tint="0.59999389629810485"/>
        <bgColor indexed="64"/>
      </patternFill>
    </fill>
    <fill>
      <patternFill patternType="solid">
        <fgColor theme="0" tint="-4.9989318521683403E-2"/>
        <bgColor indexed="64"/>
      </patternFill>
    </fill>
    <fill>
      <patternFill patternType="solid">
        <fgColor rgb="FFF2F2F2"/>
      </patternFill>
    </fill>
    <fill>
      <patternFill patternType="solid">
        <fgColor theme="7" tint="0.79998168889431442"/>
        <bgColor indexed="64"/>
      </patternFill>
    </fill>
    <fill>
      <patternFill patternType="solid">
        <fgColor theme="6" tint="0.79998168889431442"/>
        <bgColor indexed="64"/>
      </patternFill>
    </fill>
    <fill>
      <patternFill patternType="solid">
        <fgColor theme="5" tint="0.79998168889431442"/>
        <bgColor indexed="64"/>
      </patternFill>
    </fill>
    <fill>
      <patternFill patternType="solid">
        <fgColor theme="4" tint="0.79998168889431442"/>
        <bgColor indexed="64"/>
      </patternFill>
    </fill>
    <fill>
      <patternFill patternType="solid">
        <fgColor theme="1" tint="0.34998626667073579"/>
        <bgColor indexed="64"/>
      </patternFill>
    </fill>
    <fill>
      <patternFill patternType="solid">
        <fgColor theme="1" tint="0.34998626667073579"/>
        <bgColor theme="4"/>
      </patternFill>
    </fill>
    <fill>
      <patternFill patternType="solid">
        <fgColor theme="0" tint="-0.14999847407452621"/>
        <bgColor indexed="64"/>
      </patternFill>
    </fill>
    <fill>
      <patternFill patternType="solid">
        <fgColor theme="8" tint="0.79998168889431442"/>
        <bgColor indexed="64"/>
      </patternFill>
    </fill>
    <fill>
      <patternFill patternType="solid">
        <fgColor theme="8" tint="-0.24994659260841701"/>
        <bgColor indexed="64"/>
      </patternFill>
    </fill>
    <fill>
      <patternFill patternType="solid">
        <fgColor theme="3" tint="9.9948118533890809E-2"/>
        <bgColor indexed="64"/>
      </patternFill>
    </fill>
    <fill>
      <patternFill patternType="solid">
        <fgColor theme="3"/>
        <bgColor indexed="64"/>
      </patternFill>
    </fill>
    <fill>
      <patternFill patternType="solid">
        <fgColor theme="0"/>
        <bgColor indexed="64"/>
      </patternFill>
    </fill>
  </fills>
  <borders count="20">
    <border>
      <left/>
      <right/>
      <top/>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style="thin">
        <color auto="1"/>
      </left>
      <right/>
      <top/>
      <bottom/>
      <diagonal/>
    </border>
    <border>
      <left style="thin">
        <color rgb="FF000000"/>
      </left>
      <right style="thin">
        <color rgb="FF000000"/>
      </right>
      <top style="thin">
        <color rgb="FF000000"/>
      </top>
      <bottom style="thin">
        <color rgb="FF000000"/>
      </bottom>
      <diagonal/>
    </border>
    <border>
      <left style="thin">
        <color rgb="FF3F3F3F"/>
      </left>
      <right style="thin">
        <color rgb="FF3F3F3F"/>
      </right>
      <top style="thin">
        <color rgb="FF3F3F3F"/>
      </top>
      <bottom style="thin">
        <color rgb="FF3F3F3F"/>
      </bottom>
      <diagonal/>
    </border>
    <border>
      <left style="thin">
        <color theme="0" tint="-0.14993743705557422"/>
      </left>
      <right style="thin">
        <color theme="0" tint="-0.14993743705557422"/>
      </right>
      <top style="medium">
        <color theme="0" tint="-0.14996795556505021"/>
      </top>
      <bottom style="medium">
        <color theme="0" tint="-0.14996795556505021"/>
      </bottom>
      <diagonal/>
    </border>
    <border>
      <left/>
      <right/>
      <top style="medium">
        <color theme="0" tint="-0.14996795556505021"/>
      </top>
      <bottom style="medium">
        <color theme="0" tint="-0.14996795556505021"/>
      </bottom>
      <diagonal/>
    </border>
    <border>
      <left style="thin">
        <color theme="0" tint="-0.34998626667073579"/>
      </left>
      <right style="thin">
        <color theme="0" tint="-0.34998626667073579"/>
      </right>
      <top/>
      <bottom style="medium">
        <color theme="0" tint="-0.14996795556505021"/>
      </bottom>
      <diagonal/>
    </border>
    <border>
      <left/>
      <right/>
      <top style="thin">
        <color theme="0" tint="-0.34998626667073579"/>
      </top>
      <bottom/>
      <diagonal/>
    </border>
    <border>
      <left/>
      <right style="thin">
        <color theme="0" tint="-0.34998626667073579"/>
      </right>
      <top/>
      <bottom/>
      <diagonal/>
    </border>
    <border>
      <left style="thin">
        <color theme="0" tint="-0.34998626667073579"/>
      </left>
      <right/>
      <top/>
      <bottom/>
      <diagonal/>
    </border>
    <border>
      <left/>
      <right/>
      <top/>
      <bottom style="thin">
        <color theme="0" tint="-0.34998626667073579"/>
      </bottom>
      <diagonal/>
    </border>
    <border>
      <left/>
      <right style="thin">
        <color theme="0" tint="-0.34998626667073579"/>
      </right>
      <top style="thin">
        <color theme="0" tint="-0.34998626667073579"/>
      </top>
      <bottom/>
      <diagonal/>
    </border>
    <border>
      <left style="thin">
        <color theme="0" tint="-0.34998626667073579"/>
      </left>
      <right/>
      <top style="thin">
        <color theme="0" tint="-0.34998626667073579"/>
      </top>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right/>
      <top/>
      <bottom style="thin">
        <color indexed="64"/>
      </bottom>
      <diagonal/>
    </border>
    <border>
      <left/>
      <right style="thick">
        <color theme="3"/>
      </right>
      <top style="thick">
        <color theme="3"/>
      </top>
      <bottom/>
      <diagonal/>
    </border>
    <border>
      <left/>
      <right/>
      <top style="thick">
        <color theme="3"/>
      </top>
      <bottom/>
      <diagonal/>
    </border>
    <border>
      <left style="thick">
        <color theme="3"/>
      </left>
      <right/>
      <top style="thick">
        <color theme="3"/>
      </top>
      <bottom/>
      <diagonal/>
    </border>
  </borders>
  <cellStyleXfs count="32">
    <xf numFmtId="176" fontId="0" fillId="0" borderId="0">
      <alignment vertical="center"/>
    </xf>
    <xf numFmtId="176" fontId="23" fillId="0" borderId="0" applyNumberFormat="0" applyFill="0" applyBorder="0" applyAlignment="0" applyProtection="0"/>
    <xf numFmtId="176" fontId="23" fillId="0" borderId="0"/>
    <xf numFmtId="176" fontId="23" fillId="0" borderId="0"/>
    <xf numFmtId="176" fontId="23" fillId="0" borderId="0"/>
    <xf numFmtId="176" fontId="22" fillId="0" borderId="0"/>
    <xf numFmtId="176" fontId="23" fillId="0" borderId="0"/>
    <xf numFmtId="176" fontId="23" fillId="0" borderId="0"/>
    <xf numFmtId="176" fontId="31" fillId="0" borderId="0">
      <alignment vertical="center"/>
    </xf>
    <xf numFmtId="176" fontId="23" fillId="0" borderId="0"/>
    <xf numFmtId="0" fontId="33" fillId="0" borderId="0"/>
    <xf numFmtId="0" fontId="35" fillId="0" borderId="0"/>
    <xf numFmtId="0" fontId="36" fillId="0" borderId="0" applyNumberFormat="0" applyFill="0" applyBorder="0" applyAlignment="0" applyProtection="0">
      <alignment vertical="top"/>
      <protection locked="0"/>
    </xf>
    <xf numFmtId="9" fontId="33" fillId="0" borderId="0" applyFont="0" applyFill="0" applyBorder="0" applyAlignment="0" applyProtection="0"/>
    <xf numFmtId="178" fontId="33" fillId="0" borderId="7" applyFill="0">
      <alignment horizontal="center" vertical="center"/>
    </xf>
    <xf numFmtId="0" fontId="33" fillId="0" borderId="7" applyFill="0">
      <alignment horizontal="center" vertical="center"/>
    </xf>
    <xf numFmtId="0" fontId="33" fillId="0" borderId="7" applyFill="0">
      <alignment horizontal="left" vertical="center" indent="2"/>
    </xf>
    <xf numFmtId="0" fontId="41" fillId="8" borderId="5" applyNumberFormat="0" applyAlignment="0" applyProtection="0">
      <alignment vertical="center"/>
    </xf>
    <xf numFmtId="0" fontId="33" fillId="0" borderId="0" applyNumberFormat="0" applyFill="0" applyProtection="0">
      <alignment horizontal="right" indent="1"/>
    </xf>
    <xf numFmtId="180" fontId="33" fillId="0" borderId="15">
      <alignment horizontal="center" vertical="center"/>
    </xf>
    <xf numFmtId="0" fontId="46" fillId="0" borderId="0" applyNumberFormat="0" applyFill="0" applyProtection="0">
      <alignment vertical="top"/>
    </xf>
    <xf numFmtId="0" fontId="46" fillId="0" borderId="0" applyNumberFormat="0" applyFill="0" applyAlignment="0" applyProtection="0"/>
    <xf numFmtId="0" fontId="49" fillId="0" borderId="0" applyNumberFormat="0" applyFill="0" applyBorder="0" applyAlignment="0" applyProtection="0"/>
    <xf numFmtId="14" fontId="33" fillId="0" borderId="0" applyFont="0" applyFill="0" applyBorder="0">
      <alignment horizontal="center" vertical="center" wrapText="1"/>
    </xf>
    <xf numFmtId="3" fontId="33" fillId="0" borderId="0" applyFont="0" applyFill="0" applyBorder="0" applyProtection="0">
      <alignment horizontal="center" vertical="center"/>
    </xf>
    <xf numFmtId="0" fontId="51" fillId="0" borderId="0" applyNumberFormat="0" applyFill="0" applyProtection="0">
      <alignment vertical="top"/>
    </xf>
    <xf numFmtId="0" fontId="52" fillId="16" borderId="0">
      <alignment wrapText="1"/>
    </xf>
    <xf numFmtId="0" fontId="53" fillId="17" borderId="0" applyNumberFormat="0" applyProtection="0">
      <alignment horizontal="right" vertical="top" indent="1"/>
    </xf>
    <xf numFmtId="0" fontId="54" fillId="18" borderId="0">
      <alignment vertical="center"/>
    </xf>
    <xf numFmtId="0" fontId="55" fillId="19" borderId="0" applyNumberFormat="0" applyBorder="0" applyAlignment="0" applyProtection="0"/>
    <xf numFmtId="0" fontId="56" fillId="19" borderId="0" applyNumberFormat="0" applyBorder="0" applyAlignment="0" applyProtection="0"/>
    <xf numFmtId="0" fontId="57" fillId="19" borderId="0" applyNumberFormat="0" applyBorder="0" applyAlignment="0" applyProtection="0"/>
  </cellStyleXfs>
  <cellXfs count="218">
    <xf numFmtId="176" fontId="0" fillId="0" borderId="0" xfId="0">
      <alignment vertical="center"/>
    </xf>
    <xf numFmtId="176" fontId="3" fillId="0" borderId="0" xfId="0" applyNumberFormat="1" applyFont="1" applyAlignment="1">
      <alignment vertical="center" wrapText="1"/>
    </xf>
    <xf numFmtId="176" fontId="3" fillId="0" borderId="0" xfId="0" applyNumberFormat="1" applyFont="1" applyAlignment="1">
      <alignment horizontal="center" vertical="center" wrapText="1"/>
    </xf>
    <xf numFmtId="176" fontId="3" fillId="0" borderId="1" xfId="0" applyNumberFormat="1" applyFont="1" applyBorder="1">
      <alignment vertical="center"/>
    </xf>
    <xf numFmtId="176" fontId="3" fillId="0" borderId="0" xfId="0" applyNumberFormat="1" applyFont="1">
      <alignment vertical="center"/>
    </xf>
    <xf numFmtId="176" fontId="5" fillId="0" borderId="0" xfId="6" applyNumberFormat="1" applyFont="1" applyFill="1" applyBorder="1" applyAlignment="1">
      <alignment horizontal="left" vertical="center" wrapText="1"/>
    </xf>
    <xf numFmtId="176" fontId="6" fillId="0" borderId="0" xfId="6" applyNumberFormat="1" applyFont="1" applyFill="1" applyBorder="1" applyAlignment="1" applyProtection="1">
      <alignment horizontal="left" vertical="center"/>
    </xf>
    <xf numFmtId="176" fontId="5" fillId="0" borderId="0" xfId="6" applyNumberFormat="1" applyFont="1" applyFill="1" applyBorder="1" applyAlignment="1">
      <alignment horizontal="center" wrapText="1"/>
    </xf>
    <xf numFmtId="176" fontId="7" fillId="0" borderId="0" xfId="6" applyNumberFormat="1" applyFont="1" applyFill="1" applyBorder="1" applyAlignment="1">
      <alignment horizontal="center" wrapText="1"/>
    </xf>
    <xf numFmtId="176" fontId="5" fillId="2" borderId="1" xfId="6" applyNumberFormat="1" applyFont="1" applyFill="1" applyBorder="1" applyAlignment="1">
      <alignment horizontal="center" vertical="center" wrapText="1"/>
    </xf>
    <xf numFmtId="176" fontId="8" fillId="0" borderId="0" xfId="0" applyFont="1" applyAlignment="1">
      <alignment horizontal="center" vertical="center"/>
    </xf>
    <xf numFmtId="176" fontId="9" fillId="0" borderId="1" xfId="6" applyNumberFormat="1" applyFont="1" applyFill="1" applyBorder="1" applyAlignment="1">
      <alignment horizontal="center" vertical="center" wrapText="1"/>
    </xf>
    <xf numFmtId="176" fontId="3" fillId="0" borderId="1" xfId="0" applyNumberFormat="1" applyFont="1" applyBorder="1" applyAlignment="1">
      <alignment vertical="center" wrapText="1"/>
    </xf>
    <xf numFmtId="176" fontId="7" fillId="0" borderId="1" xfId="6" applyNumberFormat="1" applyFont="1" applyFill="1" applyBorder="1" applyAlignment="1">
      <alignment horizontal="center" vertical="center" wrapText="1"/>
    </xf>
    <xf numFmtId="176" fontId="7" fillId="0" borderId="1" xfId="6" applyNumberFormat="1" applyFont="1" applyFill="1" applyBorder="1" applyAlignment="1" applyProtection="1">
      <alignment horizontal="center" vertical="center" wrapText="1"/>
    </xf>
    <xf numFmtId="49" fontId="7" fillId="0" borderId="1" xfId="6" applyNumberFormat="1" applyFont="1" applyFill="1" applyBorder="1" applyAlignment="1">
      <alignment horizontal="center" vertical="center" wrapText="1"/>
    </xf>
    <xf numFmtId="176" fontId="10" fillId="0" borderId="1" xfId="0" applyNumberFormat="1" applyFont="1" applyBorder="1" applyAlignment="1">
      <alignment vertical="center" wrapText="1"/>
    </xf>
    <xf numFmtId="176" fontId="7" fillId="0" borderId="0" xfId="6" applyNumberFormat="1" applyFont="1" applyBorder="1" applyAlignment="1">
      <alignment horizontal="center" wrapText="1"/>
    </xf>
    <xf numFmtId="176" fontId="7" fillId="0" borderId="0" xfId="6" applyNumberFormat="1" applyFont="1" applyBorder="1" applyAlignment="1">
      <alignment horizontal="left" wrapText="1"/>
    </xf>
    <xf numFmtId="176" fontId="5" fillId="2" borderId="2" xfId="6" applyNumberFormat="1" applyFont="1" applyFill="1" applyBorder="1" applyAlignment="1">
      <alignment horizontal="center" vertical="center" wrapText="1"/>
    </xf>
    <xf numFmtId="176" fontId="7" fillId="0" borderId="1" xfId="6" applyNumberFormat="1" applyFont="1" applyFill="1" applyBorder="1" applyAlignment="1">
      <alignment horizontal="left" vertical="center" wrapText="1"/>
    </xf>
    <xf numFmtId="176" fontId="11" fillId="0" borderId="1" xfId="6" applyNumberFormat="1" applyFont="1" applyBorder="1" applyAlignment="1">
      <alignment vertical="center"/>
    </xf>
    <xf numFmtId="176" fontId="11" fillId="0" borderId="0" xfId="6" applyNumberFormat="1" applyFont="1" applyAlignment="1">
      <alignment vertical="center"/>
    </xf>
    <xf numFmtId="176" fontId="7" fillId="0" borderId="1" xfId="6" applyNumberFormat="1" applyFont="1" applyBorder="1"/>
    <xf numFmtId="176" fontId="7" fillId="0" borderId="0" xfId="6" applyNumberFormat="1" applyFont="1" applyBorder="1"/>
    <xf numFmtId="176" fontId="7" fillId="0" borderId="3" xfId="6" applyNumberFormat="1" applyFont="1" applyBorder="1" applyAlignment="1">
      <alignment horizontal="center" vertical="center"/>
    </xf>
    <xf numFmtId="176" fontId="7" fillId="0" borderId="0" xfId="6" applyNumberFormat="1" applyFont="1" applyBorder="1" applyAlignment="1">
      <alignment horizontal="center" vertical="center"/>
    </xf>
    <xf numFmtId="176" fontId="7" fillId="0" borderId="0" xfId="6" applyNumberFormat="1" applyFont="1" applyFill="1" applyBorder="1" applyAlignment="1">
      <alignment vertical="center"/>
    </xf>
    <xf numFmtId="176" fontId="12" fillId="0" borderId="4" xfId="0" applyFont="1" applyBorder="1" applyAlignment="1">
      <alignment vertical="center" wrapText="1"/>
    </xf>
    <xf numFmtId="176" fontId="13" fillId="0" borderId="4" xfId="0" applyFont="1" applyBorder="1" applyAlignment="1">
      <alignment horizontal="center" vertical="center" wrapText="1"/>
    </xf>
    <xf numFmtId="176" fontId="14" fillId="0" borderId="4" xfId="0" applyFont="1" applyBorder="1" applyAlignment="1">
      <alignment horizontal="center" vertical="center" wrapText="1"/>
    </xf>
    <xf numFmtId="176" fontId="14" fillId="0" borderId="4" xfId="0" applyNumberFormat="1" applyFont="1" applyBorder="1" applyAlignment="1">
      <alignment horizontal="center" vertical="center" wrapText="1"/>
    </xf>
    <xf numFmtId="49" fontId="15" fillId="0" borderId="1" xfId="6" applyNumberFormat="1" applyFont="1" applyFill="1" applyBorder="1" applyAlignment="1">
      <alignment horizontal="center" vertical="center" wrapText="1"/>
    </xf>
    <xf numFmtId="49" fontId="16" fillId="0" borderId="4" xfId="0" applyNumberFormat="1" applyFont="1" applyBorder="1" applyAlignment="1">
      <alignment vertical="center" wrapText="1"/>
    </xf>
    <xf numFmtId="49" fontId="17" fillId="0" borderId="4" xfId="0" applyNumberFormat="1" applyFont="1" applyBorder="1" applyAlignment="1">
      <alignment horizontal="center" vertical="center" wrapText="1"/>
    </xf>
    <xf numFmtId="49" fontId="18" fillId="0" borderId="4" xfId="0" applyNumberFormat="1" applyFont="1" applyBorder="1" applyAlignment="1">
      <alignment horizontal="center" vertical="center" wrapText="1"/>
    </xf>
    <xf numFmtId="49" fontId="15" fillId="0" borderId="1" xfId="6" applyNumberFormat="1" applyFont="1" applyFill="1" applyBorder="1" applyAlignment="1">
      <alignment horizontal="left" vertical="center" wrapText="1"/>
    </xf>
    <xf numFmtId="176" fontId="7" fillId="0" borderId="1" xfId="6" applyNumberFormat="1" applyFont="1" applyBorder="1" applyAlignment="1">
      <alignment horizontal="center" vertical="center"/>
    </xf>
    <xf numFmtId="176" fontId="19" fillId="0" borderId="0" xfId="0" applyFont="1">
      <alignment vertical="center"/>
    </xf>
    <xf numFmtId="176" fontId="20" fillId="0" borderId="0" xfId="0" applyFont="1">
      <alignment vertical="center"/>
    </xf>
    <xf numFmtId="176" fontId="21" fillId="0" borderId="4" xfId="0" applyFont="1" applyBorder="1" applyAlignment="1">
      <alignment vertical="center" wrapText="1"/>
    </xf>
    <xf numFmtId="176" fontId="14" fillId="0" borderId="4" xfId="0" applyFont="1" applyBorder="1" applyAlignment="1">
      <alignment horizontal="left" vertical="center" wrapText="1"/>
    </xf>
    <xf numFmtId="176" fontId="7" fillId="0" borderId="3" xfId="6" applyNumberFormat="1" applyFont="1" applyBorder="1" applyAlignment="1">
      <alignment horizontal="center" vertical="center"/>
    </xf>
    <xf numFmtId="176" fontId="7" fillId="0" borderId="0" xfId="6" applyNumberFormat="1" applyFont="1" applyBorder="1" applyAlignment="1">
      <alignment horizontal="center" vertical="center"/>
    </xf>
    <xf numFmtId="0" fontId="33" fillId="0" borderId="0" xfId="10" applyFont="1"/>
    <xf numFmtId="0" fontId="33" fillId="0" borderId="0" xfId="10" applyFont="1" applyAlignment="1">
      <alignment horizontal="center"/>
    </xf>
    <xf numFmtId="0" fontId="35" fillId="0" borderId="0" xfId="11"/>
    <xf numFmtId="0" fontId="37" fillId="0" borderId="0" xfId="12" applyFont="1" applyAlignment="1" applyProtection="1"/>
    <xf numFmtId="0" fontId="35" fillId="0" borderId="0" xfId="10" applyFont="1" applyAlignment="1">
      <alignment horizontal="center"/>
    </xf>
    <xf numFmtId="0" fontId="38" fillId="0" borderId="0" xfId="10" applyFont="1"/>
    <xf numFmtId="0" fontId="33" fillId="0" borderId="0" xfId="10" applyFont="1" applyAlignment="1">
      <alignment horizontal="right" vertical="center"/>
    </xf>
    <xf numFmtId="0" fontId="33" fillId="0" borderId="0" xfId="10" applyFont="1" applyAlignment="1">
      <alignment vertical="center"/>
    </xf>
    <xf numFmtId="0" fontId="33" fillId="7" borderId="6" xfId="10" applyFont="1" applyFill="1" applyBorder="1" applyAlignment="1">
      <alignment vertical="center"/>
    </xf>
    <xf numFmtId="0" fontId="39" fillId="7" borderId="7" xfId="10" applyFont="1" applyFill="1" applyBorder="1" applyAlignment="1">
      <alignment horizontal="center" vertical="center"/>
    </xf>
    <xf numFmtId="177" fontId="39" fillId="7" borderId="7" xfId="10" applyNumberFormat="1" applyFont="1" applyFill="1" applyBorder="1" applyAlignment="1">
      <alignment horizontal="center" vertical="center"/>
    </xf>
    <xf numFmtId="177" fontId="37" fillId="7" borderId="7" xfId="10" applyNumberFormat="1" applyFont="1" applyFill="1" applyBorder="1" applyAlignment="1">
      <alignment horizontal="left" vertical="center"/>
    </xf>
    <xf numFmtId="9" fontId="39" fillId="7" borderId="7" xfId="13" applyFont="1" applyFill="1" applyBorder="1" applyAlignment="1">
      <alignment horizontal="center" vertical="center"/>
    </xf>
    <xf numFmtId="0" fontId="40" fillId="7" borderId="7" xfId="10" applyFont="1" applyFill="1" applyBorder="1" applyAlignment="1">
      <alignment horizontal="center" vertical="center"/>
    </xf>
    <xf numFmtId="0" fontId="40" fillId="7" borderId="7" xfId="10" applyFont="1" applyFill="1" applyBorder="1" applyAlignment="1">
      <alignment horizontal="left" vertical="center" indent="1"/>
    </xf>
    <xf numFmtId="0" fontId="35" fillId="0" borderId="0" xfId="11" applyAlignment="1">
      <alignment wrapText="1"/>
    </xf>
    <xf numFmtId="0" fontId="33" fillId="0" borderId="6" xfId="10" applyFont="1" applyBorder="1" applyAlignment="1">
      <alignment vertical="center"/>
    </xf>
    <xf numFmtId="0" fontId="39" fillId="0" borderId="7" xfId="10" applyFont="1" applyBorder="1" applyAlignment="1">
      <alignment horizontal="center" vertical="center"/>
    </xf>
    <xf numFmtId="178" fontId="33" fillId="0" borderId="7" xfId="14">
      <alignment horizontal="center" vertical="center"/>
    </xf>
    <xf numFmtId="9" fontId="39" fillId="0" borderId="7" xfId="13" applyFont="1" applyBorder="1" applyAlignment="1">
      <alignment horizontal="center" vertical="center"/>
    </xf>
    <xf numFmtId="0" fontId="33" fillId="0" borderId="7" xfId="15">
      <alignment horizontal="center" vertical="center"/>
    </xf>
    <xf numFmtId="0" fontId="33" fillId="0" borderId="7" xfId="16">
      <alignment horizontal="left" vertical="center" indent="2"/>
    </xf>
    <xf numFmtId="0" fontId="41" fillId="8" borderId="5" xfId="17" applyAlignment="1">
      <alignment horizontal="center" vertical="center"/>
    </xf>
    <xf numFmtId="178" fontId="33" fillId="9" borderId="7" xfId="14" applyFill="1">
      <alignment horizontal="center" vertical="center"/>
    </xf>
    <xf numFmtId="9" fontId="39" fillId="9" borderId="7" xfId="13" applyFont="1" applyFill="1" applyBorder="1" applyAlignment="1">
      <alignment horizontal="center" vertical="center"/>
    </xf>
    <xf numFmtId="0" fontId="33" fillId="9" borderId="7" xfId="15" applyFill="1">
      <alignment horizontal="center" vertical="center"/>
    </xf>
    <xf numFmtId="0" fontId="33" fillId="9" borderId="7" xfId="16" applyFill="1">
      <alignment horizontal="left" vertical="center" indent="2"/>
    </xf>
    <xf numFmtId="178" fontId="0" fillId="9" borderId="7" xfId="14" applyFont="1" applyFill="1">
      <alignment horizontal="center" vertical="center"/>
    </xf>
    <xf numFmtId="178" fontId="39" fillId="6" borderId="7" xfId="10" applyNumberFormat="1" applyFont="1" applyFill="1" applyBorder="1" applyAlignment="1">
      <alignment horizontal="center" vertical="center"/>
    </xf>
    <xf numFmtId="178" fontId="33" fillId="6" borderId="7" xfId="10" applyNumberFormat="1" applyFont="1" applyFill="1" applyBorder="1" applyAlignment="1">
      <alignment horizontal="center" vertical="center"/>
    </xf>
    <xf numFmtId="9" fontId="39" fillId="6" borderId="7" xfId="13" applyFont="1" applyFill="1" applyBorder="1" applyAlignment="1">
      <alignment horizontal="center" vertical="center"/>
    </xf>
    <xf numFmtId="0" fontId="33" fillId="6" borderId="7" xfId="15" applyFill="1">
      <alignment horizontal="center" vertical="center"/>
    </xf>
    <xf numFmtId="0" fontId="43" fillId="6" borderId="7" xfId="10" applyFont="1" applyFill="1" applyBorder="1" applyAlignment="1">
      <alignment horizontal="left" vertical="center" indent="1"/>
    </xf>
    <xf numFmtId="178" fontId="33" fillId="10" borderId="7" xfId="14" applyFill="1">
      <alignment horizontal="center" vertical="center"/>
    </xf>
    <xf numFmtId="9" fontId="39" fillId="10" borderId="7" xfId="13" applyFont="1" applyFill="1" applyBorder="1" applyAlignment="1">
      <alignment horizontal="center" vertical="center"/>
    </xf>
    <xf numFmtId="0" fontId="33" fillId="10" borderId="7" xfId="15" applyFill="1">
      <alignment horizontal="center" vertical="center"/>
    </xf>
    <xf numFmtId="0" fontId="33" fillId="10" borderId="7" xfId="16" applyFill="1">
      <alignment horizontal="left" vertical="center" indent="2"/>
    </xf>
    <xf numFmtId="178" fontId="39" fillId="4" borderId="7" xfId="10" applyNumberFormat="1" applyFont="1" applyFill="1" applyBorder="1" applyAlignment="1">
      <alignment horizontal="center" vertical="center"/>
    </xf>
    <xf numFmtId="178" fontId="33" fillId="4" borderId="7" xfId="10" applyNumberFormat="1" applyFont="1" applyFill="1" applyBorder="1" applyAlignment="1">
      <alignment horizontal="center" vertical="center"/>
    </xf>
    <xf numFmtId="9" fontId="39" fillId="4" borderId="7" xfId="13" applyFont="1" applyFill="1" applyBorder="1" applyAlignment="1">
      <alignment horizontal="center" vertical="center"/>
    </xf>
    <xf numFmtId="0" fontId="33" fillId="4" borderId="7" xfId="15" applyFill="1">
      <alignment horizontal="center" vertical="center"/>
    </xf>
    <xf numFmtId="0" fontId="43" fillId="4" borderId="7" xfId="10" applyFont="1" applyFill="1" applyBorder="1" applyAlignment="1">
      <alignment horizontal="left" vertical="center" indent="1"/>
    </xf>
    <xf numFmtId="178" fontId="33" fillId="11" borderId="7" xfId="14" applyFill="1">
      <alignment horizontal="center" vertical="center"/>
    </xf>
    <xf numFmtId="9" fontId="39" fillId="11" borderId="7" xfId="13" applyFont="1" applyFill="1" applyBorder="1" applyAlignment="1">
      <alignment horizontal="center" vertical="center"/>
    </xf>
    <xf numFmtId="0" fontId="33" fillId="11" borderId="7" xfId="16" applyFill="1">
      <alignment horizontal="left" vertical="center" indent="2"/>
    </xf>
    <xf numFmtId="0" fontId="41" fillId="8" borderId="5" xfId="17" applyAlignment="1">
      <alignment horizontal="center" vertical="center" wrapText="1"/>
    </xf>
    <xf numFmtId="0" fontId="33" fillId="0" borderId="6" xfId="10" applyFont="1" applyBorder="1" applyAlignment="1">
      <alignment horizontal="right" vertical="center"/>
    </xf>
    <xf numFmtId="178" fontId="39" fillId="3" borderId="7" xfId="10" applyNumberFormat="1" applyFont="1" applyFill="1" applyBorder="1" applyAlignment="1">
      <alignment horizontal="center" vertical="center"/>
    </xf>
    <xf numFmtId="178" fontId="33" fillId="3" borderId="7" xfId="10" applyNumberFormat="1" applyFont="1" applyFill="1" applyBorder="1" applyAlignment="1">
      <alignment horizontal="center" vertical="center"/>
    </xf>
    <xf numFmtId="9" fontId="39" fillId="3" borderId="7" xfId="13" applyFont="1" applyFill="1" applyBorder="1" applyAlignment="1">
      <alignment horizontal="center" vertical="center"/>
    </xf>
    <xf numFmtId="0" fontId="33" fillId="3" borderId="7" xfId="15" applyFill="1">
      <alignment horizontal="center" vertical="center"/>
    </xf>
    <xf numFmtId="0" fontId="43" fillId="3" borderId="7" xfId="10" applyFont="1" applyFill="1" applyBorder="1" applyAlignment="1">
      <alignment horizontal="left" vertical="center" indent="1"/>
    </xf>
    <xf numFmtId="178" fontId="33" fillId="12" borderId="7" xfId="14" applyFill="1">
      <alignment horizontal="center" vertical="center"/>
    </xf>
    <xf numFmtId="9" fontId="39" fillId="12" borderId="7" xfId="13" applyFont="1" applyFill="1" applyBorder="1" applyAlignment="1">
      <alignment horizontal="center" vertical="center"/>
    </xf>
    <xf numFmtId="0" fontId="33" fillId="12" borderId="7" xfId="15" applyFill="1">
      <alignment horizontal="center" vertical="center"/>
    </xf>
    <xf numFmtId="0" fontId="33" fillId="12" borderId="7" xfId="16" applyFill="1">
      <alignment horizontal="left" vertical="center" indent="2"/>
    </xf>
    <xf numFmtId="178" fontId="39" fillId="5" borderId="7" xfId="10" applyNumberFormat="1" applyFont="1" applyFill="1" applyBorder="1" applyAlignment="1">
      <alignment horizontal="center" vertical="center"/>
    </xf>
    <xf numFmtId="178" fontId="33" fillId="5" borderId="7" xfId="10" applyNumberFormat="1" applyFont="1" applyFill="1" applyBorder="1" applyAlignment="1">
      <alignment horizontal="center" vertical="center"/>
    </xf>
    <xf numFmtId="9" fontId="39" fillId="5" borderId="7" xfId="13" applyFont="1" applyFill="1" applyBorder="1" applyAlignment="1">
      <alignment horizontal="center" vertical="center"/>
    </xf>
    <xf numFmtId="0" fontId="33" fillId="5" borderId="7" xfId="15" applyFill="1">
      <alignment horizontal="center" vertical="center"/>
    </xf>
    <xf numFmtId="0" fontId="43" fillId="5" borderId="7" xfId="10" applyFont="1" applyFill="1" applyBorder="1" applyAlignment="1">
      <alignment horizontal="left" vertical="center" indent="1"/>
    </xf>
    <xf numFmtId="0" fontId="33" fillId="0" borderId="0" xfId="10" applyFont="1" applyAlignment="1">
      <alignment wrapText="1"/>
    </xf>
    <xf numFmtId="0" fontId="44" fillId="13" borderId="8" xfId="10" applyFont="1" applyFill="1" applyBorder="1" applyAlignment="1">
      <alignment horizontal="center" vertical="center" shrinkToFit="1"/>
    </xf>
    <xf numFmtId="0" fontId="45" fillId="14" borderId="0" xfId="10" applyFont="1" applyFill="1" applyBorder="1" applyAlignment="1">
      <alignment horizontal="center" vertical="center" wrapText="1"/>
    </xf>
    <xf numFmtId="0" fontId="45" fillId="14" borderId="9" xfId="10" applyFont="1" applyFill="1" applyBorder="1" applyAlignment="1">
      <alignment horizontal="center" vertical="center" wrapText="1"/>
    </xf>
    <xf numFmtId="0" fontId="45" fillId="14" borderId="9" xfId="10" applyFont="1" applyFill="1" applyBorder="1" applyAlignment="1">
      <alignment horizontal="left" vertical="center" indent="1"/>
    </xf>
    <xf numFmtId="179" fontId="42" fillId="15" borderId="10" xfId="10" applyNumberFormat="1" applyFont="1" applyFill="1" applyBorder="1" applyAlignment="1">
      <alignment horizontal="center" vertical="center"/>
    </xf>
    <xf numFmtId="179" fontId="42" fillId="15" borderId="0" xfId="10" applyNumberFormat="1" applyFont="1" applyFill="1" applyAlignment="1">
      <alignment horizontal="center" vertical="center"/>
    </xf>
    <xf numFmtId="179" fontId="42" fillId="15" borderId="11" xfId="10" applyNumberFormat="1" applyFont="1" applyFill="1" applyBorder="1" applyAlignment="1">
      <alignment horizontal="center" vertical="center"/>
    </xf>
    <xf numFmtId="0" fontId="33" fillId="0" borderId="15" xfId="10" applyFont="1" applyBorder="1" applyAlignment="1">
      <alignment horizontal="center" vertical="center"/>
    </xf>
    <xf numFmtId="0" fontId="46" fillId="0" borderId="0" xfId="20">
      <alignment vertical="top"/>
    </xf>
    <xf numFmtId="0" fontId="37" fillId="0" borderId="0" xfId="12" applyFont="1" applyProtection="1">
      <alignment vertical="top"/>
    </xf>
    <xf numFmtId="0" fontId="46" fillId="0" borderId="0" xfId="21"/>
    <xf numFmtId="0" fontId="47" fillId="0" borderId="0" xfId="10" applyFont="1"/>
    <xf numFmtId="0" fontId="47" fillId="0" borderId="0" xfId="10" applyFont="1" applyAlignment="1">
      <alignment horizontal="center" vertical="center"/>
    </xf>
    <xf numFmtId="0" fontId="47" fillId="0" borderId="0" xfId="10" applyFont="1" applyAlignment="1">
      <alignment horizontal="center"/>
    </xf>
    <xf numFmtId="0" fontId="48" fillId="0" borderId="0" xfId="10" applyFont="1" applyAlignment="1">
      <alignment horizontal="left"/>
    </xf>
    <xf numFmtId="0" fontId="49" fillId="0" borderId="0" xfId="22" applyAlignment="1">
      <alignment horizontal="left"/>
    </xf>
    <xf numFmtId="178" fontId="24" fillId="9" borderId="7" xfId="14" applyFont="1" applyFill="1">
      <alignment horizontal="center" vertical="center"/>
    </xf>
    <xf numFmtId="0" fontId="50" fillId="0" borderId="0" xfId="10" applyFont="1"/>
    <xf numFmtId="0" fontId="37" fillId="18" borderId="0" xfId="28" applyFont="1">
      <alignment vertical="center"/>
    </xf>
    <xf numFmtId="0" fontId="37" fillId="20" borderId="0" xfId="28" applyNumberFormat="1" applyFont="1" applyFill="1">
      <alignment vertical="center"/>
    </xf>
    <xf numFmtId="0" fontId="37" fillId="20" borderId="0" xfId="28" applyNumberFormat="1" applyFont="1" applyFill="1" applyAlignment="1">
      <alignment horizontal="center" vertical="center"/>
    </xf>
    <xf numFmtId="0" fontId="37" fillId="20" borderId="0" xfId="28" applyFont="1" applyFill="1" applyAlignment="1">
      <alignment horizontal="left" vertical="center" indent="2"/>
    </xf>
    <xf numFmtId="14" fontId="37" fillId="20" borderId="0" xfId="28" applyNumberFormat="1" applyFont="1" applyFill="1" applyAlignment="1">
      <alignment horizontal="left" vertical="center" indent="2"/>
    </xf>
    <xf numFmtId="0" fontId="43" fillId="18" borderId="0" xfId="28" applyFont="1">
      <alignment vertical="center"/>
    </xf>
    <xf numFmtId="0" fontId="37" fillId="20" borderId="0" xfId="28" applyFont="1" applyFill="1" applyAlignment="1">
      <alignment horizontal="center" vertical="center"/>
    </xf>
    <xf numFmtId="0" fontId="37" fillId="18" borderId="0" xfId="28" applyFont="1" applyAlignment="1">
      <alignment horizontal="left"/>
    </xf>
    <xf numFmtId="0" fontId="37" fillId="18" borderId="0" xfId="28" applyFont="1" applyAlignment="1">
      <alignment horizontal="center"/>
    </xf>
    <xf numFmtId="0" fontId="37" fillId="20" borderId="0" xfId="28" applyFont="1" applyFill="1">
      <alignment vertical="center"/>
    </xf>
    <xf numFmtId="14" fontId="37" fillId="18" borderId="0" xfId="28" applyNumberFormat="1" applyFont="1">
      <alignment vertical="center"/>
    </xf>
    <xf numFmtId="0" fontId="58" fillId="20" borderId="16" xfId="28" applyFont="1" applyFill="1" applyBorder="1" applyAlignment="1">
      <alignment horizontal="center" vertical="center"/>
    </xf>
    <xf numFmtId="0" fontId="58" fillId="20" borderId="16" xfId="28" applyFont="1" applyFill="1" applyBorder="1" applyAlignment="1">
      <alignment horizontal="left" vertical="center" indent="2"/>
    </xf>
    <xf numFmtId="0" fontId="37" fillId="19" borderId="17" xfId="28" applyFont="1" applyFill="1" applyBorder="1">
      <alignment vertical="center"/>
    </xf>
    <xf numFmtId="0" fontId="37" fillId="19" borderId="18" xfId="28" applyFont="1" applyFill="1" applyBorder="1">
      <alignment vertical="center"/>
    </xf>
    <xf numFmtId="0" fontId="59" fillId="19" borderId="19" xfId="29" applyFont="1" applyFill="1" applyBorder="1" applyAlignment="1">
      <alignment horizontal="left" vertical="center" indent="1"/>
    </xf>
    <xf numFmtId="0" fontId="37" fillId="19" borderId="0" xfId="28" applyFont="1" applyFill="1">
      <alignment vertical="center"/>
    </xf>
    <xf numFmtId="0" fontId="60" fillId="19" borderId="0" xfId="30" applyFont="1" applyAlignment="1">
      <alignment vertical="center"/>
    </xf>
    <xf numFmtId="0" fontId="58" fillId="19" borderId="0" xfId="31" applyFont="1" applyAlignment="1"/>
    <xf numFmtId="0" fontId="37" fillId="20" borderId="0" xfId="28" applyFont="1" applyFill="1" applyAlignment="1">
      <alignment horizontal="left" vertical="center" wrapText="1" indent="2"/>
    </xf>
    <xf numFmtId="181" fontId="37" fillId="20" borderId="0" xfId="28" applyNumberFormat="1" applyFont="1" applyFill="1" applyAlignment="1">
      <alignment horizontal="left" vertical="center" indent="2"/>
    </xf>
    <xf numFmtId="0" fontId="37" fillId="20" borderId="0" xfId="28" applyNumberFormat="1" applyFont="1" applyFill="1" applyAlignment="1">
      <alignment horizontal="left" vertical="center" indent="2"/>
    </xf>
    <xf numFmtId="176" fontId="7" fillId="0" borderId="3" xfId="6" applyNumberFormat="1" applyFont="1" applyBorder="1" applyAlignment="1">
      <alignment horizontal="center" vertical="center"/>
    </xf>
    <xf numFmtId="176" fontId="7" fillId="0" borderId="0" xfId="6" applyNumberFormat="1" applyFont="1" applyBorder="1" applyAlignment="1">
      <alignment horizontal="center" vertical="center"/>
    </xf>
    <xf numFmtId="176" fontId="9" fillId="0" borderId="1" xfId="6" applyNumberFormat="1" applyFont="1" applyFill="1" applyBorder="1" applyAlignment="1">
      <alignment horizontal="left" vertical="center" wrapText="1"/>
    </xf>
    <xf numFmtId="176" fontId="7" fillId="0" borderId="3" xfId="6" applyNumberFormat="1" applyFont="1" applyBorder="1" applyAlignment="1">
      <alignment horizontal="center" vertical="center"/>
    </xf>
    <xf numFmtId="176" fontId="7" fillId="0" borderId="0" xfId="6" applyNumberFormat="1" applyFont="1" applyBorder="1" applyAlignment="1">
      <alignment horizontal="center" vertical="center"/>
    </xf>
    <xf numFmtId="176" fontId="7" fillId="0" borderId="3" xfId="6" applyNumberFormat="1" applyFont="1" applyBorder="1" applyAlignment="1">
      <alignment horizontal="center" vertical="center"/>
    </xf>
    <xf numFmtId="176" fontId="7" fillId="0" borderId="0" xfId="6" applyNumberFormat="1" applyFont="1" applyBorder="1" applyAlignment="1">
      <alignment horizontal="center" vertical="center"/>
    </xf>
    <xf numFmtId="176" fontId="2" fillId="0" borderId="1" xfId="4" applyFont="1" applyBorder="1" applyAlignment="1">
      <alignment vertical="center"/>
    </xf>
    <xf numFmtId="176" fontId="7" fillId="0" borderId="3" xfId="6" applyNumberFormat="1" applyFont="1" applyBorder="1" applyAlignment="1">
      <alignment horizontal="center" vertical="center"/>
    </xf>
    <xf numFmtId="176" fontId="7" fillId="0" borderId="0" xfId="6" applyNumberFormat="1" applyFont="1" applyBorder="1" applyAlignment="1">
      <alignment horizontal="center" vertical="center"/>
    </xf>
    <xf numFmtId="49" fontId="27" fillId="0" borderId="1" xfId="6" applyNumberFormat="1" applyFont="1" applyFill="1" applyBorder="1" applyAlignment="1">
      <alignment horizontal="center" vertical="center" wrapText="1"/>
    </xf>
    <xf numFmtId="176" fontId="27" fillId="0" borderId="1" xfId="6" applyNumberFormat="1" applyFont="1" applyFill="1" applyBorder="1" applyAlignment="1">
      <alignment horizontal="center" vertical="center" wrapText="1"/>
    </xf>
    <xf numFmtId="176" fontId="62" fillId="0" borderId="1" xfId="0" applyNumberFormat="1" applyFont="1" applyBorder="1" applyAlignment="1">
      <alignment vertical="center" wrapText="1"/>
    </xf>
    <xf numFmtId="176" fontId="27" fillId="0" borderId="1" xfId="6" applyNumberFormat="1" applyFont="1" applyFill="1" applyBorder="1" applyAlignment="1" applyProtection="1">
      <alignment horizontal="center" vertical="center" wrapText="1"/>
    </xf>
    <xf numFmtId="176" fontId="27" fillId="0" borderId="1" xfId="6" applyNumberFormat="1" applyFont="1" applyFill="1" applyBorder="1" applyAlignment="1">
      <alignment horizontal="left" vertical="center" wrapText="1"/>
    </xf>
    <xf numFmtId="176" fontId="27" fillId="0" borderId="0" xfId="6" applyNumberFormat="1" applyFont="1" applyFill="1" applyBorder="1" applyAlignment="1">
      <alignment vertical="center"/>
    </xf>
    <xf numFmtId="176" fontId="62" fillId="0" borderId="0" xfId="0" applyNumberFormat="1" applyFont="1">
      <alignment vertical="center"/>
    </xf>
    <xf numFmtId="176" fontId="7" fillId="0" borderId="3" xfId="6" applyNumberFormat="1" applyFont="1" applyBorder="1" applyAlignment="1">
      <alignment horizontal="center" vertical="center"/>
    </xf>
    <xf numFmtId="176" fontId="7" fillId="0" borderId="0" xfId="6" applyNumberFormat="1" applyFont="1" applyBorder="1" applyAlignment="1">
      <alignment horizontal="center" vertical="center"/>
    </xf>
    <xf numFmtId="176" fontId="7" fillId="0" borderId="3" xfId="6" applyNumberFormat="1" applyFont="1" applyBorder="1" applyAlignment="1">
      <alignment horizontal="center" vertical="center"/>
    </xf>
    <xf numFmtId="176" fontId="7" fillId="0" borderId="0" xfId="6" applyNumberFormat="1" applyFont="1" applyBorder="1" applyAlignment="1">
      <alignment horizontal="center" vertical="center"/>
    </xf>
    <xf numFmtId="176" fontId="7" fillId="0" borderId="3" xfId="6" applyNumberFormat="1" applyFont="1" applyBorder="1" applyAlignment="1">
      <alignment horizontal="center" vertical="center"/>
    </xf>
    <xf numFmtId="176" fontId="7" fillId="0" borderId="0" xfId="6" applyNumberFormat="1" applyFont="1" applyBorder="1" applyAlignment="1">
      <alignment horizontal="center" vertical="center"/>
    </xf>
    <xf numFmtId="176" fontId="7" fillId="0" borderId="3" xfId="6" applyNumberFormat="1" applyFont="1" applyBorder="1" applyAlignment="1">
      <alignment horizontal="center" vertical="center"/>
    </xf>
    <xf numFmtId="176" fontId="7" fillId="0" borderId="0" xfId="6" applyNumberFormat="1" applyFont="1" applyBorder="1" applyAlignment="1">
      <alignment horizontal="center" vertical="center"/>
    </xf>
    <xf numFmtId="176" fontId="7" fillId="0" borderId="3" xfId="6" applyNumberFormat="1" applyFont="1" applyBorder="1" applyAlignment="1">
      <alignment horizontal="center" vertical="center"/>
    </xf>
    <xf numFmtId="176" fontId="7" fillId="0" borderId="0" xfId="6" applyNumberFormat="1" applyFont="1" applyBorder="1" applyAlignment="1">
      <alignment horizontal="center" vertical="center"/>
    </xf>
    <xf numFmtId="176" fontId="7" fillId="0" borderId="3" xfId="6" applyNumberFormat="1" applyFont="1" applyBorder="1" applyAlignment="1">
      <alignment horizontal="center" vertical="center"/>
    </xf>
    <xf numFmtId="176" fontId="7" fillId="0" borderId="0" xfId="6" applyNumberFormat="1" applyFont="1" applyBorder="1" applyAlignment="1">
      <alignment horizontal="center" vertical="center"/>
    </xf>
    <xf numFmtId="176" fontId="7" fillId="0" borderId="3" xfId="6" applyNumberFormat="1" applyFont="1" applyBorder="1" applyAlignment="1">
      <alignment horizontal="center" vertical="center"/>
    </xf>
    <xf numFmtId="176" fontId="7" fillId="0" borderId="0" xfId="6" applyNumberFormat="1" applyFont="1" applyBorder="1" applyAlignment="1">
      <alignment horizontal="center" vertical="center"/>
    </xf>
    <xf numFmtId="176" fontId="7" fillId="0" borderId="3" xfId="6" applyNumberFormat="1" applyFont="1" applyBorder="1" applyAlignment="1">
      <alignment horizontal="center" vertical="center"/>
    </xf>
    <xf numFmtId="176" fontId="7" fillId="0" borderId="0" xfId="6" applyNumberFormat="1" applyFont="1" applyBorder="1" applyAlignment="1">
      <alignment horizontal="center" vertical="center"/>
    </xf>
    <xf numFmtId="176" fontId="7" fillId="0" borderId="3" xfId="6" applyNumberFormat="1" applyFont="1" applyBorder="1" applyAlignment="1">
      <alignment horizontal="center" vertical="center"/>
    </xf>
    <xf numFmtId="176" fontId="7" fillId="0" borderId="0" xfId="6" applyNumberFormat="1" applyFont="1" applyBorder="1" applyAlignment="1">
      <alignment horizontal="center" vertical="center"/>
    </xf>
    <xf numFmtId="176" fontId="7" fillId="0" borderId="3" xfId="6" applyNumberFormat="1" applyFont="1" applyBorder="1" applyAlignment="1">
      <alignment horizontal="center" vertical="center"/>
    </xf>
    <xf numFmtId="176" fontId="7" fillId="0" borderId="0" xfId="6" applyNumberFormat="1" applyFont="1" applyBorder="1" applyAlignment="1">
      <alignment horizontal="center" vertical="center"/>
    </xf>
    <xf numFmtId="176" fontId="7" fillId="0" borderId="3" xfId="6" applyNumberFormat="1" applyFont="1" applyBorder="1" applyAlignment="1">
      <alignment horizontal="center" vertical="center"/>
    </xf>
    <xf numFmtId="176" fontId="7" fillId="0" borderId="0" xfId="6" applyNumberFormat="1" applyFont="1" applyBorder="1" applyAlignment="1">
      <alignment horizontal="center" vertical="center"/>
    </xf>
    <xf numFmtId="176" fontId="7" fillId="0" borderId="3" xfId="6" applyNumberFormat="1" applyFont="1" applyBorder="1" applyAlignment="1">
      <alignment horizontal="center" vertical="center"/>
    </xf>
    <xf numFmtId="176" fontId="7" fillId="0" borderId="0" xfId="6" applyNumberFormat="1" applyFont="1" applyBorder="1" applyAlignment="1">
      <alignment horizontal="center" vertical="center"/>
    </xf>
    <xf numFmtId="176" fontId="7" fillId="0" borderId="3" xfId="6" applyNumberFormat="1" applyFont="1" applyBorder="1" applyAlignment="1">
      <alignment horizontal="center" vertical="center"/>
    </xf>
    <xf numFmtId="176" fontId="7" fillId="0" borderId="0" xfId="6" applyNumberFormat="1" applyFont="1" applyBorder="1" applyAlignment="1">
      <alignment horizontal="center" vertical="center"/>
    </xf>
    <xf numFmtId="176" fontId="7" fillId="0" borderId="3" xfId="6" applyNumberFormat="1" applyFont="1" applyBorder="1" applyAlignment="1">
      <alignment horizontal="center" vertical="center"/>
    </xf>
    <xf numFmtId="176" fontId="7" fillId="0" borderId="0" xfId="6" applyNumberFormat="1" applyFont="1" applyBorder="1" applyAlignment="1">
      <alignment horizontal="center" vertical="center"/>
    </xf>
    <xf numFmtId="176" fontId="7" fillId="0" borderId="3" xfId="6" applyNumberFormat="1" applyFont="1" applyBorder="1" applyAlignment="1">
      <alignment horizontal="center" vertical="center"/>
    </xf>
    <xf numFmtId="176" fontId="7" fillId="0" borderId="0" xfId="6" applyNumberFormat="1" applyFont="1" applyBorder="1" applyAlignment="1">
      <alignment horizontal="center" vertical="center"/>
    </xf>
    <xf numFmtId="176" fontId="7" fillId="0" borderId="3" xfId="6" applyNumberFormat="1" applyFont="1" applyBorder="1" applyAlignment="1">
      <alignment horizontal="center" vertical="center"/>
    </xf>
    <xf numFmtId="176" fontId="7" fillId="0" borderId="0" xfId="6" applyNumberFormat="1" applyFont="1" applyBorder="1" applyAlignment="1">
      <alignment horizontal="center" vertical="center"/>
    </xf>
    <xf numFmtId="176" fontId="7" fillId="0" borderId="0" xfId="6" applyNumberFormat="1" applyFont="1" applyBorder="1" applyAlignment="1">
      <alignment horizontal="center" vertical="center"/>
    </xf>
    <xf numFmtId="176" fontId="7" fillId="0" borderId="0" xfId="6" applyNumberFormat="1" applyFont="1" applyBorder="1" applyAlignment="1">
      <alignment horizontal="center" vertical="center"/>
    </xf>
    <xf numFmtId="176" fontId="7" fillId="0" borderId="0" xfId="6" applyNumberFormat="1" applyFont="1" applyBorder="1" applyAlignment="1">
      <alignment horizontal="center" vertical="center"/>
    </xf>
    <xf numFmtId="176" fontId="7" fillId="0" borderId="0" xfId="6" applyNumberFormat="1" applyFont="1" applyBorder="1" applyAlignment="1">
      <alignment horizontal="center" vertical="center"/>
    </xf>
    <xf numFmtId="176" fontId="7" fillId="0" borderId="3" xfId="6" applyNumberFormat="1" applyFont="1" applyBorder="1" applyAlignment="1">
      <alignment horizontal="center" vertical="center"/>
    </xf>
    <xf numFmtId="176" fontId="7" fillId="0" borderId="0" xfId="6" applyNumberFormat="1" applyFont="1" applyBorder="1" applyAlignment="1">
      <alignment horizontal="center" vertical="center"/>
    </xf>
    <xf numFmtId="176" fontId="7" fillId="0" borderId="3" xfId="6" applyNumberFormat="1" applyFont="1" applyBorder="1" applyAlignment="1">
      <alignment horizontal="center" vertical="center"/>
    </xf>
    <xf numFmtId="176" fontId="7" fillId="0" borderId="0" xfId="6" applyNumberFormat="1" applyFont="1" applyBorder="1" applyAlignment="1">
      <alignment horizontal="center" vertical="center"/>
    </xf>
    <xf numFmtId="176" fontId="7" fillId="0" borderId="3" xfId="6" applyNumberFormat="1" applyFont="1" applyBorder="1" applyAlignment="1">
      <alignment horizontal="center" vertical="center"/>
    </xf>
    <xf numFmtId="176" fontId="7" fillId="0" borderId="0" xfId="6" applyNumberFormat="1" applyFont="1" applyBorder="1" applyAlignment="1">
      <alignment horizontal="center" vertical="center"/>
    </xf>
    <xf numFmtId="176" fontId="10" fillId="0" borderId="1" xfId="0" applyNumberFormat="1" applyFont="1" applyBorder="1" applyAlignment="1">
      <alignment horizontal="left" vertical="center" wrapText="1"/>
    </xf>
    <xf numFmtId="176" fontId="7" fillId="0" borderId="0" xfId="6" applyNumberFormat="1" applyFont="1" applyBorder="1" applyAlignment="1">
      <alignment horizontal="center" vertical="center"/>
    </xf>
    <xf numFmtId="31" fontId="33" fillId="15" borderId="14" xfId="10" applyNumberFormat="1" applyFont="1" applyFill="1" applyBorder="1" applyAlignment="1">
      <alignment horizontal="left" vertical="center" wrapText="1" indent="1"/>
    </xf>
    <xf numFmtId="31" fontId="33" fillId="15" borderId="9" xfId="10" applyNumberFormat="1" applyFont="1" applyFill="1" applyBorder="1" applyAlignment="1">
      <alignment horizontal="left" vertical="center" wrapText="1" indent="1"/>
    </xf>
    <xf numFmtId="31" fontId="33" fillId="15" borderId="13" xfId="10" applyNumberFormat="1" applyFont="1" applyFill="1" applyBorder="1" applyAlignment="1">
      <alignment horizontal="left" vertical="center" wrapText="1" indent="1"/>
    </xf>
    <xf numFmtId="180" fontId="33" fillId="0" borderId="15" xfId="19">
      <alignment horizontal="center" vertical="center"/>
    </xf>
    <xf numFmtId="0" fontId="33" fillId="0" borderId="0" xfId="18">
      <alignment horizontal="right" indent="1"/>
    </xf>
    <xf numFmtId="0" fontId="33" fillId="0" borderId="10" xfId="18" applyBorder="1">
      <alignment horizontal="right" indent="1"/>
    </xf>
    <xf numFmtId="0" fontId="33" fillId="0" borderId="12" xfId="10" applyFont="1" applyBorder="1"/>
    <xf numFmtId="176" fontId="4" fillId="0" borderId="0" xfId="6" applyNumberFormat="1" applyFont="1" applyBorder="1" applyAlignment="1" applyProtection="1">
      <alignment horizontal="center" vertical="center" wrapText="1"/>
    </xf>
    <xf numFmtId="176" fontId="5" fillId="0" borderId="0" xfId="6" applyNumberFormat="1" applyFont="1" applyFill="1" applyBorder="1" applyAlignment="1">
      <alignment horizontal="center" vertical="center" wrapText="1"/>
    </xf>
    <xf numFmtId="176" fontId="7" fillId="0" borderId="3" xfId="6" applyNumberFormat="1" applyFont="1" applyBorder="1" applyAlignment="1">
      <alignment horizontal="center" vertical="center"/>
    </xf>
    <xf numFmtId="176" fontId="7" fillId="0" borderId="0" xfId="6" applyNumberFormat="1" applyFont="1" applyBorder="1" applyAlignment="1">
      <alignment horizontal="center" vertical="center"/>
    </xf>
  </cellXfs>
  <cellStyles count="32">
    <cellStyle name="0,0_x000d__x000a_NA_x000d__x000a_" xfId="1"/>
    <cellStyle name="Normal_Classeur2_Sample Survey" xfId="5"/>
    <cellStyle name="z隐藏图表文本" xfId="26"/>
    <cellStyle name="z隐藏文本" xfId="11"/>
    <cellStyle name="百分比 2" xfId="13"/>
    <cellStyle name="标题 1 2" xfId="25"/>
    <cellStyle name="标题 1 2 2" xfId="29"/>
    <cellStyle name="标题 1 3" xfId="21"/>
    <cellStyle name="标题 2 2" xfId="31"/>
    <cellStyle name="标题 2 3" xfId="20"/>
    <cellStyle name="标题 3 2" xfId="27"/>
    <cellStyle name="标题 3 3" xfId="18"/>
    <cellStyle name="标题 5" xfId="30"/>
    <cellStyle name="标题 6" xfId="22"/>
    <cellStyle name="常规" xfId="0" builtinId="0"/>
    <cellStyle name="常规 2" xfId="6"/>
    <cellStyle name="常规 2 2" xfId="3"/>
    <cellStyle name="常规 2 3" xfId="4"/>
    <cellStyle name="常规 2 4" xfId="28"/>
    <cellStyle name="常规 3" xfId="7"/>
    <cellStyle name="常规 3 2" xfId="2"/>
    <cellStyle name="常规 4" xfId="8"/>
    <cellStyle name="常规 5" xfId="9"/>
    <cellStyle name="常规 7" xfId="10"/>
    <cellStyle name="超链接 2" xfId="12"/>
    <cellStyle name="千位分隔 2" xfId="24"/>
    <cellStyle name="任务" xfId="16"/>
    <cellStyle name="日期" xfId="14"/>
    <cellStyle name="日期 2" xfId="23"/>
    <cellStyle name="输出 2" xfId="17"/>
    <cellStyle name="项目开始" xfId="19"/>
    <cellStyle name="姓名" xfId="15"/>
  </cellStyles>
  <dxfs count="690">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ill>
        <patternFill>
          <bgColor theme="7"/>
        </patternFill>
      </fill>
      <border>
        <left/>
        <right/>
      </border>
    </dxf>
    <dxf>
      <fill>
        <patternFill>
          <bgColor theme="0" tint="-0.34998626667073579"/>
        </patternFill>
      </fill>
    </dxf>
    <dxf>
      <border>
        <left style="thin">
          <color rgb="FFC00000"/>
        </left>
        <right style="thin">
          <color rgb="FFC00000"/>
        </right>
        <vertical/>
        <horizontal/>
      </border>
    </dxf>
    <dxf>
      <font>
        <strike val="0"/>
        <outline val="0"/>
        <shadow val="0"/>
        <u val="none"/>
        <vertAlign val="baseline"/>
        <name val="Microsoft YaHei UI"/>
        <scheme val="none"/>
      </font>
      <fill>
        <patternFill patternType="solid">
          <fgColor indexed="64"/>
          <bgColor theme="0"/>
        </patternFill>
      </fill>
      <alignment horizontal="left" vertical="center" textRotation="0" wrapText="0" indent="2" justifyLastLine="0" shrinkToFit="0" readingOrder="0"/>
    </dxf>
    <dxf>
      <font>
        <strike val="0"/>
        <outline val="0"/>
        <shadow val="0"/>
        <u val="none"/>
        <vertAlign val="baseline"/>
        <name val="Microsoft YaHei UI"/>
        <scheme val="none"/>
      </font>
      <numFmt numFmtId="181" formatCode="dd/mm/yyyy"/>
      <fill>
        <patternFill patternType="solid">
          <fgColor indexed="64"/>
          <bgColor theme="0"/>
        </patternFill>
      </fill>
      <alignment horizontal="left" vertical="center" textRotation="0" wrapText="0" indent="2" justifyLastLine="0" shrinkToFit="0" readingOrder="0"/>
    </dxf>
    <dxf>
      <font>
        <b/>
        <i val="0"/>
        <strike val="0"/>
        <outline val="0"/>
        <shadow val="0"/>
        <u val="none"/>
        <vertAlign val="baseline"/>
        <color theme="5"/>
        <name val="Microsoft YaHei UI"/>
        <scheme val="none"/>
      </font>
      <fill>
        <patternFill patternType="solid">
          <fgColor indexed="64"/>
          <bgColor theme="0"/>
        </patternFill>
      </fill>
      <alignment horizontal="left" vertical="center" textRotation="0" wrapText="0" indent="2" justifyLastLine="0" shrinkToFit="0" readingOrder="0"/>
      <border outline="0">
        <left/>
        <right/>
        <bottom style="medium">
          <color theme="1" tint="0.499984740745262"/>
        </bottom>
      </border>
    </dxf>
    <dxf>
      <font>
        <strike val="0"/>
        <outline val="0"/>
        <shadow val="0"/>
        <u val="none"/>
        <vertAlign val="baseline"/>
        <name val="Microsoft YaHei UI"/>
        <scheme val="none"/>
      </font>
      <fill>
        <patternFill patternType="solid">
          <fgColor indexed="64"/>
          <bgColor theme="0"/>
        </patternFill>
      </fill>
      <border outline="0">
        <left style="thick">
          <color theme="3"/>
        </left>
        <right/>
        <top style="thick">
          <color theme="3"/>
        </top>
        <bottom style="thick">
          <color theme="3"/>
        </bottom>
      </border>
    </dxf>
    <dxf>
      <font>
        <strike val="0"/>
        <outline val="0"/>
        <shadow val="0"/>
        <u val="none"/>
        <vertAlign val="baseline"/>
        <name val="Microsoft YaHei UI"/>
        <scheme val="none"/>
      </font>
    </dxf>
    <dxf>
      <font>
        <strike val="0"/>
        <outline val="0"/>
        <shadow val="0"/>
        <u val="none"/>
        <vertAlign val="baseline"/>
        <name val="Microsoft YaHei UI"/>
        <scheme val="none"/>
      </font>
    </dxf>
    <dxf>
      <fill>
        <patternFill>
          <bgColor theme="7"/>
        </patternFill>
      </fill>
      <border>
        <left/>
        <right/>
      </border>
    </dxf>
    <dxf>
      <fill>
        <patternFill>
          <bgColor theme="0" tint="-0.34998626667073579"/>
        </patternFill>
      </fill>
    </dxf>
    <dxf>
      <border>
        <left style="thin">
          <color rgb="FFC00000"/>
        </left>
        <right style="thin">
          <color rgb="FFC00000"/>
        </right>
        <vertical/>
        <horizontal/>
      </border>
    </dxf>
    <dxf>
      <fill>
        <patternFill patternType="solid">
          <fgColor theme="5" tint="0.79992065187536243"/>
          <bgColor theme="8" tint="0.79998168889431442"/>
        </patternFill>
      </fill>
    </dxf>
    <dxf>
      <font>
        <color theme="8" tint="-0.499984740745262"/>
      </font>
      <border>
        <bottom style="thin">
          <color theme="8"/>
        </bottom>
      </border>
    </dxf>
    <dxf>
      <font>
        <b val="0"/>
        <i val="0"/>
        <color theme="8" tint="-0.499984740745262"/>
      </font>
      <border>
        <top style="thin">
          <color theme="8"/>
        </top>
        <bottom style="thin">
          <color theme="8"/>
        </bottom>
      </border>
    </dxf>
  </dxfs>
  <tableStyles count="2" defaultTableStyle="TableStyleMedium2" defaultPivotStyle="PivotStyleLight16">
    <tableStyle name="Project Timeline" pivot="0" count="0"/>
    <tableStyle name="产品路线图表格样式" pivot="0" count="3">
      <tableStyleElement type="wholeTable" dxfId="689"/>
      <tableStyleElement type="headerRow" dxfId="688"/>
      <tableStyleElement type="firstRowStripe" dxfId="687"/>
    </tableStyle>
  </tableStyles>
  <colors>
    <mruColors>
      <color rgb="FF00FF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customXml" Target="../customXml/item2.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externalLink" Target="externalLinks/externalLink1.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ustomXml" Target="../customXml/item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4399339658514423E-2"/>
          <c:y val="3.9426523297491037E-2"/>
          <c:w val="0.87774435881027235"/>
          <c:h val="0.92114695340501795"/>
        </c:manualLayout>
      </c:layout>
      <c:barChart>
        <c:barDir val="col"/>
        <c:grouping val="clustered"/>
        <c:varyColors val="0"/>
        <c:ser>
          <c:idx val="1"/>
          <c:order val="1"/>
          <c:tx>
            <c:strRef>
              <c:f>项目时间表!$D$19</c:f>
              <c:strCache>
                <c:ptCount val="1"/>
                <c:pt idx="0">
                  <c:v>位置</c:v>
                </c:pt>
              </c:strCache>
            </c:strRef>
          </c:tx>
          <c:spPr>
            <a:noFill/>
          </c:spPr>
          <c:invertIfNegative val="0"/>
          <c:dLbls>
            <c:dLbl>
              <c:idx val="0"/>
              <c:layout>
                <c:manualLayout>
                  <c:x val="-1.2346319353737729E-17"/>
                  <c:y val="-4.1068820671032238E-18"/>
                </c:manualLayout>
              </c:layout>
              <c:dLblPos val="outEnd"/>
              <c:showLegendKey val="0"/>
              <c:showVal val="0"/>
              <c:showCatName val="1"/>
              <c:showSerName val="0"/>
              <c:showPercent val="0"/>
              <c:showBubbleSize val="0"/>
              <c:extLst>
                <c:ext xmlns:c15="http://schemas.microsoft.com/office/drawing/2012/chart" uri="{CE6537A1-D6FC-4f65-9D91-7224C49458BB}">
                  <c15:layout>
                    <c:manualLayout>
                      <c:w val="0.11206097854822998"/>
                      <c:h val="4.7831682330031315E-2"/>
                    </c:manualLayout>
                  </c15:layout>
                </c:ext>
                <c:ext xmlns:c16="http://schemas.microsoft.com/office/drawing/2014/chart" uri="{C3380CC4-5D6E-409C-BE32-E72D297353CC}">
                  <c16:uniqueId val="{00000000-63AB-4D1B-93DB-CF5F5510F610}"/>
                </c:ext>
              </c:extLst>
            </c:dLbl>
            <c:dLbl>
              <c:idx val="1"/>
              <c:layout>
                <c:manualLayout>
                  <c:x val="-2.1949012184422629E-17"/>
                  <c:y val="-4.1068820671032238E-18"/>
                </c:manualLayout>
              </c:layout>
              <c:dLblPos val="outEnd"/>
              <c:showLegendKey val="0"/>
              <c:showVal val="0"/>
              <c:showCatName val="1"/>
              <c:showSerName val="0"/>
              <c:showPercent val="0"/>
              <c:showBubbleSize val="0"/>
              <c:extLst>
                <c:ext xmlns:c15="http://schemas.microsoft.com/office/drawing/2012/chart" uri="{CE6537A1-D6FC-4f65-9D91-7224C49458BB}">
                  <c15:layout>
                    <c:manualLayout>
                      <c:w val="0.11206097854822998"/>
                      <c:h val="4.7831682330031315E-2"/>
                    </c:manualLayout>
                  </c15:layout>
                </c:ext>
                <c:ext xmlns:c16="http://schemas.microsoft.com/office/drawing/2014/chart" uri="{C3380CC4-5D6E-409C-BE32-E72D297353CC}">
                  <c16:uniqueId val="{00000001-63AB-4D1B-93DB-CF5F5510F610}"/>
                </c:ext>
              </c:extLst>
            </c:dLbl>
            <c:dLbl>
              <c:idx val="2"/>
              <c:layout>
                <c:manualLayout>
                  <c:x val="-2.1949012184422629E-17"/>
                  <c:y val="4.1068820671032238E-18"/>
                </c:manualLayout>
              </c:layout>
              <c:dLblPos val="outEnd"/>
              <c:showLegendKey val="0"/>
              <c:showVal val="0"/>
              <c:showCatName val="1"/>
              <c:showSerName val="0"/>
              <c:showPercent val="0"/>
              <c:showBubbleSize val="0"/>
              <c:extLst>
                <c:ext xmlns:c15="http://schemas.microsoft.com/office/drawing/2012/chart" uri="{CE6537A1-D6FC-4f65-9D91-7224C49458BB}">
                  <c15:layout>
                    <c:manualLayout>
                      <c:w val="0.11206097854822998"/>
                      <c:h val="4.7831682330031315E-2"/>
                    </c:manualLayout>
                  </c15:layout>
                </c:ext>
                <c:ext xmlns:c16="http://schemas.microsoft.com/office/drawing/2014/chart" uri="{C3380CC4-5D6E-409C-BE32-E72D297353CC}">
                  <c16:uniqueId val="{00000002-63AB-4D1B-93DB-CF5F5510F610}"/>
                </c:ext>
              </c:extLst>
            </c:dLbl>
            <c:dLbl>
              <c:idx val="3"/>
              <c:layout>
                <c:manualLayout>
                  <c:x val="-1.0974506092211315E-17"/>
                  <c:y val="-4.1068820671032238E-18"/>
                </c:manualLayout>
              </c:layout>
              <c:dLblPos val="outEnd"/>
              <c:showLegendKey val="0"/>
              <c:showVal val="0"/>
              <c:showCatName val="1"/>
              <c:showSerName val="0"/>
              <c:showPercent val="0"/>
              <c:showBubbleSize val="0"/>
              <c:extLst>
                <c:ext xmlns:c15="http://schemas.microsoft.com/office/drawing/2012/chart" uri="{CE6537A1-D6FC-4f65-9D91-7224C49458BB}">
                  <c15:layout>
                    <c:manualLayout>
                      <c:w val="0.11206097854822998"/>
                      <c:h val="4.7831682330031315E-2"/>
                    </c:manualLayout>
                  </c15:layout>
                </c:ext>
                <c:ext xmlns:c16="http://schemas.microsoft.com/office/drawing/2014/chart" uri="{C3380CC4-5D6E-409C-BE32-E72D297353CC}">
                  <c16:uniqueId val="{00000003-63AB-4D1B-93DB-CF5F5510F610}"/>
                </c:ext>
              </c:extLst>
            </c:dLbl>
            <c:dLbl>
              <c:idx val="4"/>
              <c:layout>
                <c:manualLayout>
                  <c:x val="-1.0974506092211315E-17"/>
                  <c:y val="4.1068820671032238E-18"/>
                </c:manualLayout>
              </c:layout>
              <c:dLblPos val="outEnd"/>
              <c:showLegendKey val="0"/>
              <c:showVal val="0"/>
              <c:showCatName val="1"/>
              <c:showSerName val="0"/>
              <c:showPercent val="0"/>
              <c:showBubbleSize val="0"/>
              <c:extLst>
                <c:ext xmlns:c15="http://schemas.microsoft.com/office/drawing/2012/chart" uri="{CE6537A1-D6FC-4f65-9D91-7224C49458BB}">
                  <c15:layout>
                    <c:manualLayout>
                      <c:w val="0.11206097854822998"/>
                      <c:h val="4.7831682330031315E-2"/>
                    </c:manualLayout>
                  </c15:layout>
                </c:ext>
                <c:ext xmlns:c16="http://schemas.microsoft.com/office/drawing/2014/chart" uri="{C3380CC4-5D6E-409C-BE32-E72D297353CC}">
                  <c16:uniqueId val="{00000004-63AB-4D1B-93DB-CF5F5510F610}"/>
                </c:ext>
              </c:extLst>
            </c:dLbl>
            <c:dLbl>
              <c:idx val="5"/>
              <c:layout>
                <c:manualLayout>
                  <c:x val="-1.0974506092211315E-17"/>
                  <c:y val="-4.1068820671032238E-18"/>
                </c:manualLayout>
              </c:layout>
              <c:dLblPos val="outEnd"/>
              <c:showLegendKey val="0"/>
              <c:showVal val="0"/>
              <c:showCatName val="1"/>
              <c:showSerName val="0"/>
              <c:showPercent val="0"/>
              <c:showBubbleSize val="0"/>
              <c:extLst>
                <c:ext xmlns:c15="http://schemas.microsoft.com/office/drawing/2012/chart" uri="{CE6537A1-D6FC-4f65-9D91-7224C49458BB}">
                  <c15:layout>
                    <c:manualLayout>
                      <c:w val="0.11206097854822998"/>
                      <c:h val="4.7831682330031315E-2"/>
                    </c:manualLayout>
                  </c15:layout>
                </c:ext>
                <c:ext xmlns:c16="http://schemas.microsoft.com/office/drawing/2014/chart" uri="{C3380CC4-5D6E-409C-BE32-E72D297353CC}">
                  <c16:uniqueId val="{00000005-63AB-4D1B-93DB-CF5F5510F610}"/>
                </c:ext>
              </c:extLst>
            </c:dLbl>
            <c:dLbl>
              <c:idx val="6"/>
              <c:layout>
                <c:manualLayout>
                  <c:x val="-1.0974506092211315E-17"/>
                  <c:y val="4.1068820671032238E-18"/>
                </c:manualLayout>
              </c:layout>
              <c:dLblPos val="outEnd"/>
              <c:showLegendKey val="0"/>
              <c:showVal val="0"/>
              <c:showCatName val="1"/>
              <c:showSerName val="0"/>
              <c:showPercent val="0"/>
              <c:showBubbleSize val="0"/>
              <c:extLst>
                <c:ext xmlns:c15="http://schemas.microsoft.com/office/drawing/2012/chart" uri="{CE6537A1-D6FC-4f65-9D91-7224C49458BB}">
                  <c15:layout>
                    <c:manualLayout>
                      <c:w val="0.11206097854822998"/>
                      <c:h val="4.7831682330031315E-2"/>
                    </c:manualLayout>
                  </c15:layout>
                </c:ext>
                <c:ext xmlns:c16="http://schemas.microsoft.com/office/drawing/2014/chart" uri="{C3380CC4-5D6E-409C-BE32-E72D297353CC}">
                  <c16:uniqueId val="{00000006-63AB-4D1B-93DB-CF5F5510F610}"/>
                </c:ext>
              </c:extLst>
            </c:dLbl>
            <c:dLbl>
              <c:idx val="7"/>
              <c:layout>
                <c:manualLayout>
                  <c:x val="-1.0974506092211315E-17"/>
                  <c:y val="-4.1068820671032238E-18"/>
                </c:manualLayout>
              </c:layout>
              <c:dLblPos val="outEnd"/>
              <c:showLegendKey val="0"/>
              <c:showVal val="0"/>
              <c:showCatName val="1"/>
              <c:showSerName val="0"/>
              <c:showPercent val="0"/>
              <c:showBubbleSize val="0"/>
              <c:extLst>
                <c:ext xmlns:c15="http://schemas.microsoft.com/office/drawing/2012/chart" uri="{CE6537A1-D6FC-4f65-9D91-7224C49458BB}">
                  <c15:layout>
                    <c:manualLayout>
                      <c:w val="0.11206097854822998"/>
                      <c:h val="4.7831682330031315E-2"/>
                    </c:manualLayout>
                  </c15:layout>
                </c:ext>
                <c:ext xmlns:c16="http://schemas.microsoft.com/office/drawing/2014/chart" uri="{C3380CC4-5D6E-409C-BE32-E72D297353CC}">
                  <c16:uniqueId val="{00000007-63AB-4D1B-93DB-CF5F5510F610}"/>
                </c:ext>
              </c:extLst>
            </c:dLbl>
            <c:dLbl>
              <c:idx val="8"/>
              <c:layout>
                <c:manualLayout>
                  <c:x val="-1.0974506092211315E-17"/>
                  <c:y val="4.1068820671032238E-18"/>
                </c:manualLayout>
              </c:layout>
              <c:dLblPos val="outEnd"/>
              <c:showLegendKey val="0"/>
              <c:showVal val="0"/>
              <c:showCatName val="1"/>
              <c:showSerName val="0"/>
              <c:showPercent val="0"/>
              <c:showBubbleSize val="0"/>
              <c:extLst>
                <c:ext xmlns:c15="http://schemas.microsoft.com/office/drawing/2012/chart" uri="{CE6537A1-D6FC-4f65-9D91-7224C49458BB}">
                  <c15:layout>
                    <c:manualLayout>
                      <c:w val="0.11206097854822998"/>
                      <c:h val="4.7831682330031315E-2"/>
                    </c:manualLayout>
                  </c15:layout>
                </c:ext>
                <c:ext xmlns:c16="http://schemas.microsoft.com/office/drawing/2014/chart" uri="{C3380CC4-5D6E-409C-BE32-E72D297353CC}">
                  <c16:uniqueId val="{00000008-63AB-4D1B-93DB-CF5F5510F610}"/>
                </c:ext>
              </c:extLst>
            </c:dLbl>
            <c:dLbl>
              <c:idx val="9"/>
              <c:layout>
                <c:manualLayout>
                  <c:x val="-1.0974506092211315E-17"/>
                  <c:y val="-4.1068820671032238E-18"/>
                </c:manualLayout>
              </c:layout>
              <c:dLblPos val="outEnd"/>
              <c:showLegendKey val="0"/>
              <c:showVal val="0"/>
              <c:showCatName val="1"/>
              <c:showSerName val="0"/>
              <c:showPercent val="0"/>
              <c:showBubbleSize val="0"/>
              <c:extLst>
                <c:ext xmlns:c15="http://schemas.microsoft.com/office/drawing/2012/chart" uri="{CE6537A1-D6FC-4f65-9D91-7224C49458BB}">
                  <c15:layout>
                    <c:manualLayout>
                      <c:w val="0.11206097854822998"/>
                      <c:h val="4.7831682330031315E-2"/>
                    </c:manualLayout>
                  </c15:layout>
                </c:ext>
                <c:ext xmlns:c16="http://schemas.microsoft.com/office/drawing/2014/chart" uri="{C3380CC4-5D6E-409C-BE32-E72D297353CC}">
                  <c16:uniqueId val="{00000009-63AB-4D1B-93DB-CF5F5510F610}"/>
                </c:ext>
              </c:extLst>
            </c:dLbl>
            <c:dLbl>
              <c:idx val="10"/>
              <c:layout>
                <c:manualLayout>
                  <c:x val="-1.8656660356759235E-16"/>
                  <c:y val="4.1068820671032238E-18"/>
                </c:manualLayout>
              </c:layout>
              <c:dLblPos val="outEnd"/>
              <c:showLegendKey val="0"/>
              <c:showVal val="0"/>
              <c:showCatName val="1"/>
              <c:showSerName val="0"/>
              <c:showPercent val="0"/>
              <c:showBubbleSize val="0"/>
              <c:extLst>
                <c:ext xmlns:c15="http://schemas.microsoft.com/office/drawing/2012/chart" uri="{CE6537A1-D6FC-4f65-9D91-7224C49458BB}">
                  <c15:layout>
                    <c:manualLayout>
                      <c:w val="0.11206097854822998"/>
                      <c:h val="4.7831682330031315E-2"/>
                    </c:manualLayout>
                  </c15:layout>
                </c:ext>
                <c:ext xmlns:c16="http://schemas.microsoft.com/office/drawing/2014/chart" uri="{C3380CC4-5D6E-409C-BE32-E72D297353CC}">
                  <c16:uniqueId val="{0000000A-63AB-4D1B-93DB-CF5F5510F610}"/>
                </c:ext>
              </c:extLst>
            </c:dLbl>
            <c:dLbl>
              <c:idx val="11"/>
              <c:layout>
                <c:manualLayout>
                  <c:x val="-1.0974506092211315E-17"/>
                  <c:y val="-4.1068820671032238E-18"/>
                </c:manualLayout>
              </c:layout>
              <c:dLblPos val="outEnd"/>
              <c:showLegendKey val="0"/>
              <c:showVal val="0"/>
              <c:showCatName val="1"/>
              <c:showSerName val="0"/>
              <c:showPercent val="0"/>
              <c:showBubbleSize val="0"/>
              <c:extLst>
                <c:ext xmlns:c15="http://schemas.microsoft.com/office/drawing/2012/chart" uri="{CE6537A1-D6FC-4f65-9D91-7224C49458BB}">
                  <c15:layout>
                    <c:manualLayout>
                      <c:w val="0.11206097854822998"/>
                      <c:h val="4.7831682330031315E-2"/>
                    </c:manualLayout>
                  </c15:layout>
                </c:ext>
                <c:ext xmlns:c16="http://schemas.microsoft.com/office/drawing/2014/chart" uri="{C3380CC4-5D6E-409C-BE32-E72D297353CC}">
                  <c16:uniqueId val="{0000000B-63AB-4D1B-93DB-CF5F5510F610}"/>
                </c:ext>
              </c:extLst>
            </c:dLbl>
            <c:spPr>
              <a:solidFill>
                <a:schemeClr val="bg2"/>
              </a:solidFill>
              <a:ln>
                <a:noFill/>
              </a:ln>
              <a:effectLst/>
            </c:spPr>
            <c:txPr>
              <a:bodyPr vertOverflow="overflow" horzOverflow="overflow" wrap="square" lIns="38100" tIns="19050" rIns="38100" bIns="19050" anchor="ctr">
                <a:noAutofit/>
              </a:bodyPr>
              <a:lstStyle/>
              <a:p>
                <a:pPr>
                  <a:defRPr sz="900" cap="all" spc="10" baseline="0">
                    <a:solidFill>
                      <a:schemeClr val="accent2"/>
                    </a:solidFill>
                    <a:latin typeface="Microsoft YaHei UI" panose="020B0503020204020204" pitchFamily="34" charset="-122"/>
                    <a:ea typeface="Microsoft YaHei UI" panose="020B0503020204020204" pitchFamily="34" charset="-122"/>
                  </a:defRPr>
                </a:pPr>
                <a:endParaRPr lang="zh-CN"/>
              </a:p>
            </c:txPr>
            <c:dLblPos val="outEnd"/>
            <c:showLegendKey val="0"/>
            <c:showVal val="0"/>
            <c:showCatName val="1"/>
            <c:showSerName val="0"/>
            <c:showPercent val="0"/>
            <c:showBubbleSize val="0"/>
            <c:showLeaderLines val="0"/>
            <c:extLst>
              <c:ext xmlns:c15="http://schemas.microsoft.com/office/drawing/2012/chart" uri="{CE6537A1-D6FC-4f65-9D91-7224C49458BB}">
                <c15:spPr xmlns:c15="http://schemas.microsoft.com/office/drawing/2012/chart">
                  <a:prstGeom prst="rect">
                    <a:avLst/>
                  </a:prstGeom>
                </c15:spPr>
                <c15:showLeaderLines val="0"/>
              </c:ext>
            </c:extLst>
          </c:dLbls>
          <c:errBars>
            <c:errBarType val="minus"/>
            <c:errValType val="percentage"/>
            <c:noEndCap val="0"/>
            <c:val val="100"/>
            <c:spPr>
              <a:ln>
                <a:solidFill>
                  <a:schemeClr val="bg1">
                    <a:lumMod val="75000"/>
                  </a:schemeClr>
                </a:solidFill>
              </a:ln>
            </c:spPr>
          </c:errBars>
          <c:cat>
            <c:strRef>
              <c:f>项目时间表!$C$20:$C$43</c:f>
              <c:strCache>
                <c:ptCount val="20"/>
                <c:pt idx="0">
                  <c:v>SDK启动</c:v>
                </c:pt>
                <c:pt idx="1">
                  <c:v>SDK基础数据结构达到60%成熟度</c:v>
                </c:pt>
                <c:pt idx="2">
                  <c:v>OpenGL渲染基础达成
成熟度50%</c:v>
                </c:pt>
                <c:pt idx="3">
                  <c:v>媒体相关：动画，画刷达60%成熟度</c:v>
                </c:pt>
                <c:pt idx="4">
                  <c:v>高级用户接口GUI准备好基础类型搭建</c:v>
                </c:pt>
                <c:pt idx="5">
                  <c:v>控件成熟度50%
&gt;常用控件
&gt;模板应用</c:v>
                </c:pt>
                <c:pt idx="6">
                  <c:v>Studio项目启动</c:v>
                </c:pt>
                <c:pt idx="7">
                  <c:v>与Studio通信的基础RPC框架可用</c:v>
                </c:pt>
                <c:pt idx="8">
                  <c:v>常用控件成熟度60%，Studio完成基本静态布局</c:v>
                </c:pt>
                <c:pt idx="9">
                  <c:v>插件机制基本完善</c:v>
                </c:pt>
                <c:pt idx="10">
                  <c:v>Studio可进行较为完整的工程设计，成熟度50%</c:v>
                </c:pt>
                <c:pt idx="11">
                  <c:v>提升SDK成熟度，
进行结构整合与调整</c:v>
                </c:pt>
                <c:pt idx="12">
                  <c:v>SDK成熟度80%</c:v>
                </c:pt>
                <c:pt idx="13">
                  <c:v>Studio成熟度70%，
包含导出，资源加载部分
序列化</c:v>
                </c:pt>
                <c:pt idx="14">
                  <c:v>第一个ADAS或ID项目demo</c:v>
                </c:pt>
                <c:pt idx="15">
                  <c:v>第一次SDK优化</c:v>
                </c:pt>
                <c:pt idx="16">
                  <c:v>第二个demo项目</c:v>
                </c:pt>
                <c:pt idx="17">
                  <c:v>多国语言与本地化</c:v>
                </c:pt>
                <c:pt idx="18">
                  <c:v>多主题支持</c:v>
                </c:pt>
                <c:pt idx="19">
                  <c:v>第二次优化</c:v>
                </c:pt>
              </c:strCache>
            </c:strRef>
          </c:cat>
          <c:val>
            <c:numRef>
              <c:f>项目时间表!$D$20:$D$43</c:f>
              <c:numCache>
                <c:formatCode>General</c:formatCode>
                <c:ptCount val="24"/>
                <c:pt idx="0">
                  <c:v>30</c:v>
                </c:pt>
                <c:pt idx="1">
                  <c:v>-25</c:v>
                </c:pt>
                <c:pt idx="2">
                  <c:v>5</c:v>
                </c:pt>
                <c:pt idx="3">
                  <c:v>-15</c:v>
                </c:pt>
                <c:pt idx="4">
                  <c:v>20</c:v>
                </c:pt>
                <c:pt idx="5">
                  <c:v>-30</c:v>
                </c:pt>
                <c:pt idx="6">
                  <c:v>10</c:v>
                </c:pt>
                <c:pt idx="7">
                  <c:v>-15</c:v>
                </c:pt>
                <c:pt idx="8">
                  <c:v>20</c:v>
                </c:pt>
                <c:pt idx="9">
                  <c:v>-25</c:v>
                </c:pt>
                <c:pt idx="10">
                  <c:v>30</c:v>
                </c:pt>
                <c:pt idx="11">
                  <c:v>-25</c:v>
                </c:pt>
                <c:pt idx="12">
                  <c:v>-10</c:v>
                </c:pt>
                <c:pt idx="13">
                  <c:v>10</c:v>
                </c:pt>
                <c:pt idx="14">
                  <c:v>-25</c:v>
                </c:pt>
                <c:pt idx="15">
                  <c:v>30</c:v>
                </c:pt>
                <c:pt idx="16">
                  <c:v>-15</c:v>
                </c:pt>
                <c:pt idx="17">
                  <c:v>5</c:v>
                </c:pt>
                <c:pt idx="18">
                  <c:v>-25</c:v>
                </c:pt>
                <c:pt idx="19">
                  <c:v>15</c:v>
                </c:pt>
              </c:numCache>
            </c:numRef>
          </c:val>
          <c:extLst>
            <c:ext xmlns:c16="http://schemas.microsoft.com/office/drawing/2014/chart" uri="{C3380CC4-5D6E-409C-BE32-E72D297353CC}">
              <c16:uniqueId val="{0000000C-63AB-4D1B-93DB-CF5F5510F610}"/>
            </c:ext>
          </c:extLst>
        </c:ser>
        <c:dLbls>
          <c:showLegendKey val="0"/>
          <c:showVal val="0"/>
          <c:showCatName val="0"/>
          <c:showSerName val="0"/>
          <c:showPercent val="0"/>
          <c:showBubbleSize val="0"/>
        </c:dLbls>
        <c:gapWidth val="150"/>
        <c:axId val="126011792"/>
        <c:axId val="126011232"/>
      </c:barChart>
      <c:lineChart>
        <c:grouping val="standard"/>
        <c:varyColors val="0"/>
        <c:ser>
          <c:idx val="0"/>
          <c:order val="0"/>
          <c:tx>
            <c:strRef>
              <c:f>项目时间表!$B$19</c:f>
              <c:strCache>
                <c:ptCount val="1"/>
                <c:pt idx="0">
                  <c:v>日期</c:v>
                </c:pt>
              </c:strCache>
            </c:strRef>
          </c:tx>
          <c:spPr>
            <a:ln>
              <a:noFill/>
            </a:ln>
          </c:spPr>
          <c:marker>
            <c:symbol val="circle"/>
            <c:size val="4"/>
            <c:spPr>
              <a:solidFill>
                <a:schemeClr val="accent1"/>
              </a:solidFill>
              <a:ln w="60325">
                <a:solidFill>
                  <a:schemeClr val="accent1"/>
                </a:solidFill>
              </a:ln>
            </c:spPr>
          </c:marker>
          <c:errBars>
            <c:errDir val="y"/>
            <c:errBarType val="both"/>
            <c:errValType val="percentage"/>
            <c:noEndCap val="0"/>
            <c:val val="5"/>
          </c:errBars>
          <c:cat>
            <c:strRef>
              <c:f>项目时间表!$B$20:$B$43</c:f>
              <c:strCache>
                <c:ptCount val="20"/>
                <c:pt idx="0">
                  <c:v>2019-7-1</c:v>
                </c:pt>
                <c:pt idx="1">
                  <c:v>2019-9-19</c:v>
                </c:pt>
                <c:pt idx="2">
                  <c:v>2019-10-29</c:v>
                </c:pt>
                <c:pt idx="3">
                  <c:v>2019-12-8</c:v>
                </c:pt>
                <c:pt idx="4">
                  <c:v>2020-1-17</c:v>
                </c:pt>
                <c:pt idx="5">
                  <c:v>2020-3-17</c:v>
                </c:pt>
                <c:pt idx="6">
                  <c:v>2020-4-1</c:v>
                </c:pt>
                <c:pt idx="7">
                  <c:v>2020-4-26</c:v>
                </c:pt>
                <c:pt idx="8">
                  <c:v>2020-5-15</c:v>
                </c:pt>
                <c:pt idx="9">
                  <c:v>2020-6-13</c:v>
                </c:pt>
                <c:pt idx="10">
                  <c:v>2020-8-1</c:v>
                </c:pt>
                <c:pt idx="11">
                  <c:v>2020-9-1</c:v>
                </c:pt>
                <c:pt idx="12">
                  <c:v>2020-10-23</c:v>
                </c:pt>
                <c:pt idx="13">
                  <c:v>2020-11-30</c:v>
                </c:pt>
                <c:pt idx="14">
                  <c:v>2020-12-31</c:v>
                </c:pt>
                <c:pt idx="15">
                  <c:v>2021-1-30</c:v>
                </c:pt>
                <c:pt idx="16">
                  <c:v>2021-2-30</c:v>
                </c:pt>
                <c:pt idx="17">
                  <c:v>2021-3-30</c:v>
                </c:pt>
                <c:pt idx="18">
                  <c:v>2021-4-30</c:v>
                </c:pt>
                <c:pt idx="19">
                  <c:v>2021-3-30</c:v>
                </c:pt>
              </c:strCache>
            </c:strRef>
          </c:cat>
          <c:val>
            <c:numRef>
              <c:f>项目时间表!$E$20:$E$43</c:f>
              <c:numCache>
                <c:formatCode>General</c:formatCode>
                <c:ptCount val="24"/>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pt idx="20">
                  <c:v>1</c:v>
                </c:pt>
                <c:pt idx="21">
                  <c:v>1</c:v>
                </c:pt>
                <c:pt idx="22">
                  <c:v>1</c:v>
                </c:pt>
              </c:numCache>
            </c:numRef>
          </c:val>
          <c:smooth val="1"/>
          <c:extLst>
            <c:ext xmlns:c16="http://schemas.microsoft.com/office/drawing/2014/chart" uri="{C3380CC4-5D6E-409C-BE32-E72D297353CC}">
              <c16:uniqueId val="{0000000D-63AB-4D1B-93DB-CF5F5510F610}"/>
            </c:ext>
          </c:extLst>
        </c:ser>
        <c:dLbls>
          <c:showLegendKey val="0"/>
          <c:showVal val="0"/>
          <c:showCatName val="0"/>
          <c:showSerName val="0"/>
          <c:showPercent val="0"/>
          <c:showBubbleSize val="0"/>
        </c:dLbls>
        <c:marker val="1"/>
        <c:smooth val="0"/>
        <c:axId val="126010112"/>
        <c:axId val="126010672"/>
      </c:lineChart>
      <c:dateAx>
        <c:axId val="126010112"/>
        <c:scaling>
          <c:orientation val="minMax"/>
        </c:scaling>
        <c:delete val="0"/>
        <c:axPos val="b"/>
        <c:numFmt formatCode="m&quot;月&quot;d&quot;日&quot;;@" sourceLinked="0"/>
        <c:majorTickMark val="cross"/>
        <c:minorTickMark val="in"/>
        <c:tickLblPos val="nextTo"/>
        <c:spPr>
          <a:solidFill>
            <a:schemeClr val="bg2"/>
          </a:solidFill>
          <a:ln w="9525">
            <a:solidFill>
              <a:schemeClr val="bg1">
                <a:lumMod val="65000"/>
              </a:schemeClr>
            </a:solidFill>
            <a:prstDash val="solid"/>
          </a:ln>
        </c:spPr>
        <c:txPr>
          <a:bodyPr/>
          <a:lstStyle/>
          <a:p>
            <a:pPr>
              <a:defRPr sz="800" b="1">
                <a:solidFill>
                  <a:schemeClr val="bg1">
                    <a:lumMod val="65000"/>
                  </a:schemeClr>
                </a:solidFill>
                <a:latin typeface="Microsoft YaHei UI" panose="020B0503020204020204" pitchFamily="34" charset="-122"/>
                <a:ea typeface="Microsoft YaHei UI" panose="020B0503020204020204" pitchFamily="34" charset="-122"/>
              </a:defRPr>
            </a:pPr>
            <a:endParaRPr lang="zh-CN"/>
          </a:p>
        </c:txPr>
        <c:crossAx val="126010672"/>
        <c:crosses val="autoZero"/>
        <c:auto val="1"/>
        <c:lblOffset val="100"/>
        <c:baseTimeUnit val="days"/>
        <c:majorUnit val="1"/>
        <c:majorTimeUnit val="months"/>
        <c:minorUnit val="7"/>
        <c:minorTimeUnit val="days"/>
      </c:dateAx>
      <c:valAx>
        <c:axId val="126010672"/>
        <c:scaling>
          <c:orientation val="minMax"/>
        </c:scaling>
        <c:delete val="1"/>
        <c:axPos val="l"/>
        <c:numFmt formatCode="General" sourceLinked="1"/>
        <c:majorTickMark val="out"/>
        <c:minorTickMark val="none"/>
        <c:tickLblPos val="nextTo"/>
        <c:crossAx val="126010112"/>
        <c:crosses val="autoZero"/>
        <c:crossBetween val="midCat"/>
      </c:valAx>
      <c:valAx>
        <c:axId val="126011232"/>
        <c:scaling>
          <c:orientation val="minMax"/>
        </c:scaling>
        <c:delete val="1"/>
        <c:axPos val="r"/>
        <c:numFmt formatCode="General" sourceLinked="1"/>
        <c:majorTickMark val="out"/>
        <c:minorTickMark val="none"/>
        <c:tickLblPos val="nextTo"/>
        <c:crossAx val="126011792"/>
        <c:crosses val="max"/>
        <c:crossBetween val="between"/>
      </c:valAx>
      <c:catAx>
        <c:axId val="126011792"/>
        <c:scaling>
          <c:orientation val="minMax"/>
        </c:scaling>
        <c:delete val="1"/>
        <c:axPos val="b"/>
        <c:numFmt formatCode="General" sourceLinked="1"/>
        <c:majorTickMark val="out"/>
        <c:minorTickMark val="none"/>
        <c:tickLblPos val="nextTo"/>
        <c:crossAx val="126011232"/>
        <c:crosses val="autoZero"/>
        <c:auto val="1"/>
        <c:lblAlgn val="ctr"/>
        <c:lblOffset val="100"/>
        <c:noMultiLvlLbl val="0"/>
      </c:catAx>
      <c:spPr>
        <a:noFill/>
      </c:spPr>
    </c:plotArea>
    <c:plotVisOnly val="0"/>
    <c:dispBlanksAs val="gap"/>
    <c:showDLblsOverMax val="0"/>
  </c:chart>
  <c:spPr>
    <a:solidFill>
      <a:schemeClr val="bg2"/>
    </a:solidFill>
    <a:ln>
      <a:noFill/>
    </a:ln>
  </c:spPr>
  <c:printSettings>
    <c:headerFooter/>
    <c:pageMargins b="0.75" l="0.7" r="0.7" t="0.75" header="0.3" footer="0.3"/>
    <c:pageSetup orientation="landscape"/>
  </c:printSettings>
</c:chartSpace>
</file>

<file path=xl/ctrlProps/ctrlProp1.xml><?xml version="1.0" encoding="utf-8"?>
<formControlPr xmlns="http://schemas.microsoft.com/office/spreadsheetml/2009/9/main" objectType="Button"/>
</file>

<file path=xl/ctrlProps/ctrlProp2.xml><?xml version="1.0" encoding="utf-8"?>
<formControlPr xmlns="http://schemas.microsoft.com/office/spreadsheetml/2009/9/main" objectType="Button"/>
</file>

<file path=xl/ctrlProps/ctrlProp3.xml><?xml version="1.0" encoding="utf-8"?>
<formControlPr xmlns="http://schemas.microsoft.com/office/spreadsheetml/2009/9/main" objectType="Button"/>
</file>

<file path=xl/ctrlProps/ctrlProp4.xml><?xml version="1.0" encoding="utf-8"?>
<formControlPr xmlns="http://schemas.microsoft.com/office/spreadsheetml/2009/9/main" objectType="Button"/>
</file>

<file path=xl/ctrlProps/ctrlProp5.xml><?xml version="1.0" encoding="utf-8"?>
<formControlPr xmlns="http://schemas.microsoft.com/office/spreadsheetml/2009/9/main" objectType="Button"/>
</file>

<file path=xl/ctrlProps/ctrlProp6.xml><?xml version="1.0" encoding="utf-8"?>
<formControlPr xmlns="http://schemas.microsoft.com/office/spreadsheetml/2009/9/main" objectType="Button"/>
</file>

<file path=xl/ctrlProps/ctrlProp7.xml><?xml version="1.0" encoding="utf-8"?>
<formControlPr xmlns="http://schemas.microsoft.com/office/spreadsheetml/2009/9/main" objectType="Button"/>
</file>

<file path=xl/ctrlProps/ctrlProp8.xml><?xml version="1.0" encoding="utf-8"?>
<formControlPr xmlns="http://schemas.microsoft.com/office/spreadsheetml/2009/9/main" objectType="Button"/>
</file>

<file path=xl/ctrlProps/ctrlProp9.xml><?xml version="1.0" encoding="utf-8"?>
<formControlPr xmlns="http://schemas.microsoft.com/office/spreadsheetml/2009/9/main" objectType="Button"/>
</file>

<file path=xl/ctrlProps/ctrlProp10.xml><?xml version="1.0" encoding="utf-8"?>
<formControlPr xmlns="http://schemas.microsoft.com/office/spreadsheetml/2009/9/main" objectType="Button"/>
</file>

<file path=xl/ctrlProps/ctrlProp11.xml><?xml version="1.0" encoding="utf-8"?>
<formControlPr xmlns="http://schemas.microsoft.com/office/spreadsheetml/2009/9/main" objectType="Button"/>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1" Type="http://schemas.openxmlformats.org/officeDocument/2006/relationships/image" Target="../media/image1.png"/></Relationships>
</file>

<file path=xl/drawings/_rels/drawing8.xml.rels><?xml version="1.0" encoding="UTF-8" standalone="yes"?>
<Relationships xmlns="http://schemas.openxmlformats.org/package/2006/relationships"><Relationship Id="rId1" Type="http://schemas.openxmlformats.org/officeDocument/2006/relationships/image" Target="../media/image1.png"/></Relationships>
</file>

<file path=xl/drawings/_rels/drawing9.xml.rels><?xml version="1.0" encoding="UTF-8" standalone="yes"?>
<Relationships xmlns="http://schemas.openxmlformats.org/package/2006/relationships"><Relationship Id="rId1" Type="http://schemas.openxmlformats.org/officeDocument/2006/relationships/image" Target="../media/image1.png"/></Relationships>
</file>

<file path=xl/drawings/_rels/drawing10.xml.rels><?xml version="1.0" encoding="UTF-8" standalone="yes"?>
<Relationships xmlns="http://schemas.openxmlformats.org/package/2006/relationships"><Relationship Id="rId1" Type="http://schemas.openxmlformats.org/officeDocument/2006/relationships/image" Target="../media/image1.png"/></Relationships>
</file>

<file path=xl/drawings/_rels/drawing11.xml.rels><?xml version="1.0" encoding="UTF-8" standalone="yes"?>
<Relationships xmlns="http://schemas.openxmlformats.org/package/2006/relationships"><Relationship Id="rId1" Type="http://schemas.openxmlformats.org/officeDocument/2006/relationships/image" Target="../media/image1.png"/></Relationships>
</file>

<file path=xl/drawings/_rels/drawing12.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0</xdr:col>
      <xdr:colOff>0</xdr:colOff>
      <xdr:row>2</xdr:row>
      <xdr:rowOff>14287</xdr:rowOff>
    </xdr:from>
    <xdr:to>
      <xdr:col>14</xdr:col>
      <xdr:colOff>17276</xdr:colOff>
      <xdr:row>16</xdr:row>
      <xdr:rowOff>90487</xdr:rowOff>
    </xdr:to>
    <xdr:graphicFrame macro="">
      <xdr:nvGraphicFramePr>
        <xdr:cNvPr id="2" name="项目时间表" descr="直线图会在对应的时间范围绘出每个项目。" title="项目时间表"/>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457199</xdr:colOff>
      <xdr:row>18</xdr:row>
      <xdr:rowOff>0</xdr:rowOff>
    </xdr:from>
    <xdr:to>
      <xdr:col>11</xdr:col>
      <xdr:colOff>685799</xdr:colOff>
      <xdr:row>25</xdr:row>
      <xdr:rowOff>161925</xdr:rowOff>
    </xdr:to>
    <xdr:sp macro="" textlink="">
      <xdr:nvSpPr>
        <xdr:cNvPr id="3" name="时间表提示" descr="「项目详细信息」表格內的“位置”值主要用于避免时间表上的“里程碑”标签互相重叠使用正值会使标签出现在时间表上方，使用负值则会使其出现在时间表下方。&#10;&#10;要新增里程碑，请在表格內插入新行，或在最后一个表格项目下方开始输入，表格会自动展开，以容纳您新增的数据。" title="专案时间表秘诀"/>
        <xdr:cNvSpPr txBox="1"/>
      </xdr:nvSpPr>
      <xdr:spPr>
        <a:xfrm>
          <a:off x="3505199" y="2914650"/>
          <a:ext cx="3810000" cy="1295400"/>
        </a:xfrm>
        <a:prstGeom prst="wedgeRectCallout">
          <a:avLst>
            <a:gd name="adj1" fmla="val -58703"/>
            <a:gd name="adj2" fmla="val -24361"/>
          </a:avLst>
        </a:prstGeom>
        <a:solidFill>
          <a:schemeClr val="bg2"/>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182880" rtlCol="0" anchor="ctr"/>
        <a:lstStyle/>
        <a:p>
          <a:r>
            <a:rPr lang="zh-CN" altLang="en-US" sz="1200" b="1" spc="30" baseline="0">
              <a:solidFill>
                <a:schemeClr val="accent1"/>
              </a:solidFill>
              <a:effectLst/>
              <a:latin typeface="Microsoft YaHei UI" panose="020B0503020204020204" pitchFamily="34" charset="-122"/>
              <a:ea typeface="Microsoft YaHei UI" panose="020B0503020204020204" pitchFamily="34" charset="-122"/>
              <a:cs typeface="+mn-cs"/>
            </a:rPr>
            <a:t>专案时间表秘诀：</a:t>
          </a:r>
          <a:endParaRPr lang="pt-BR" altLang="zh-CN" sz="1200" b="1" spc="30" baseline="0">
            <a:solidFill>
              <a:schemeClr val="accent1"/>
            </a:solidFill>
            <a:effectLst/>
            <a:latin typeface="Microsoft YaHei UI" panose="020B0503020204020204" pitchFamily="34" charset="-122"/>
            <a:ea typeface="Microsoft YaHei UI" panose="020B0503020204020204" pitchFamily="34" charset="-122"/>
            <a:cs typeface="+mn-cs"/>
          </a:endParaRPr>
        </a:p>
        <a:p>
          <a:endParaRPr lang="en-US" sz="1000">
            <a:solidFill>
              <a:schemeClr val="tx1">
                <a:lumMod val="50000"/>
                <a:lumOff val="50000"/>
              </a:schemeClr>
            </a:solidFill>
            <a:effectLst/>
            <a:latin typeface="Microsoft YaHei UI" panose="020B0503020204020204" pitchFamily="34" charset="-122"/>
            <a:ea typeface="Microsoft YaHei UI" panose="020B0503020204020204" pitchFamily="34" charset="-122"/>
            <a:cs typeface="+mn-cs"/>
          </a:endParaRPr>
        </a:p>
        <a:p>
          <a:pPr marL="0" indent="0">
            <a:buClr>
              <a:schemeClr val="accent1"/>
            </a:buClr>
            <a:buFontTx/>
            <a:buNone/>
          </a:pPr>
          <a:r>
            <a:rPr lang="zh-CN" altLang="en-US" sz="1000" spc="20">
              <a:solidFill>
                <a:schemeClr val="tx1">
                  <a:lumMod val="50000"/>
                  <a:lumOff val="50000"/>
                </a:schemeClr>
              </a:solidFill>
              <a:effectLst/>
              <a:latin typeface="Microsoft YaHei UI" panose="020B0503020204020204" pitchFamily="34" charset="-122"/>
              <a:ea typeface="Microsoft YaHei UI" panose="020B0503020204020204" pitchFamily="34" charset="-122"/>
              <a:cs typeface="+mn-cs"/>
            </a:rPr>
            <a:t>「项目详细信息」表格內的“位置”值主要用于避免时间表上的“里程碑”标签互相重叠。使用正值会使标签出现在时间表上方，使用负值则会使其出现在时间表下方。</a:t>
          </a:r>
          <a:endParaRPr lang="pt-BR" altLang="zh-CN" sz="1000" spc="20">
            <a:solidFill>
              <a:schemeClr val="tx1">
                <a:lumMod val="50000"/>
                <a:lumOff val="50000"/>
              </a:schemeClr>
            </a:solidFill>
            <a:effectLst/>
            <a:latin typeface="Microsoft YaHei UI" panose="020B0503020204020204" pitchFamily="34" charset="-122"/>
            <a:ea typeface="Microsoft YaHei UI" panose="020B0503020204020204" pitchFamily="34" charset="-122"/>
            <a:cs typeface="+mn-cs"/>
          </a:endParaRPr>
        </a:p>
        <a:p>
          <a:pPr marL="0" indent="0">
            <a:buClr>
              <a:schemeClr val="accent1"/>
            </a:buClr>
            <a:buFontTx/>
            <a:buNone/>
          </a:pPr>
          <a:endParaRPr lang="en-US" sz="1000" spc="20">
            <a:solidFill>
              <a:schemeClr val="tx1">
                <a:lumMod val="50000"/>
                <a:lumOff val="50000"/>
              </a:schemeClr>
            </a:solidFill>
            <a:effectLst/>
            <a:latin typeface="Microsoft YaHei UI" panose="020B0503020204020204" pitchFamily="34" charset="-122"/>
            <a:ea typeface="Microsoft YaHei UI" panose="020B0503020204020204" pitchFamily="34" charset="-122"/>
            <a:cs typeface="+mn-cs"/>
          </a:endParaRPr>
        </a:p>
        <a:p>
          <a:pPr marL="0" indent="0">
            <a:buClr>
              <a:schemeClr val="accent1"/>
            </a:buClr>
            <a:buFontTx/>
            <a:buNone/>
          </a:pPr>
          <a:r>
            <a:rPr lang="zh-CN" altLang="en-US" sz="1000" spc="20">
              <a:solidFill>
                <a:schemeClr val="tx1">
                  <a:lumMod val="50000"/>
                  <a:lumOff val="50000"/>
                </a:schemeClr>
              </a:solidFill>
              <a:effectLst/>
              <a:latin typeface="Microsoft YaHei UI" panose="020B0503020204020204" pitchFamily="34" charset="-122"/>
              <a:ea typeface="Microsoft YaHei UI" panose="020B0503020204020204" pitchFamily="34" charset="-122"/>
              <a:cs typeface="+mn-cs"/>
            </a:rPr>
            <a:t>要新增里程碑，请在表格內插入新行，或在最后一个表格项目下方开始输入，表格会自动展开，以容纳您新增的数据。</a:t>
          </a:r>
          <a:endParaRPr lang="en-US" sz="1100" spc="20" baseline="0">
            <a:solidFill>
              <a:schemeClr val="dk1"/>
            </a:solidFill>
            <a:effectLst/>
            <a:latin typeface="Microsoft YaHei UI" panose="020B0503020204020204" pitchFamily="34" charset="-122"/>
            <a:ea typeface="Microsoft YaHei UI" panose="020B0503020204020204" pitchFamily="34" charset="-122"/>
            <a:cs typeface="+mn-cs"/>
          </a:endParaRPr>
        </a:p>
      </xdr:txBody>
    </xdr:sp>
    <xdr:clientData fPrintsWithSheet="0"/>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104775</xdr:colOff>
          <xdr:row>21</xdr:row>
          <xdr:rowOff>85725</xdr:rowOff>
        </xdr:from>
        <xdr:to>
          <xdr:col>2</xdr:col>
          <xdr:colOff>695325</xdr:colOff>
          <xdr:row>22</xdr:row>
          <xdr:rowOff>161925</xdr:rowOff>
        </xdr:to>
        <xdr:sp macro="" textlink="">
          <xdr:nvSpPr>
            <xdr:cNvPr id="5132" name="Button 12" hidden="1">
              <a:extLst>
                <a:ext uri="{63B3BB69-23CF-44E3-9099-C40C66FF867C}">
                  <a14:compatExt spid="_x0000_s5132"/>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zh-CN" altLang="en-US" sz="1100" b="1" i="0" u="none" strike="noStrike" baseline="0">
                  <a:solidFill>
                    <a:srgbClr val="000000"/>
                  </a:solidFill>
                  <a:latin typeface="Arial"/>
                  <a:cs typeface="Arial"/>
                </a:rPr>
                <a:t>Insert New Line</a:t>
              </a:r>
            </a:p>
          </xdr:txBody>
        </xdr:sp>
        <xdr:clientData fPrintsWithSheet="0"/>
      </xdr:twoCellAnchor>
    </mc:Choice>
    <mc:Fallback/>
  </mc:AlternateContent>
  <xdr:twoCellAnchor editAs="oneCell">
    <xdr:from>
      <xdr:col>0</xdr:col>
      <xdr:colOff>38100</xdr:colOff>
      <xdr:row>0</xdr:row>
      <xdr:rowOff>28575</xdr:rowOff>
    </xdr:from>
    <xdr:to>
      <xdr:col>2</xdr:col>
      <xdr:colOff>515692</xdr:colOff>
      <xdr:row>0</xdr:row>
      <xdr:rowOff>388575</xdr:rowOff>
    </xdr:to>
    <xdr:pic>
      <xdr:nvPicPr>
        <xdr:cNvPr id="5" name="Picture 3" descr="D:\PMS\Market\VI\新\事业部LOGO源文件和JPG文件\2014 12月新版\德赛西威LOGO2015\德赛西威logo中英文组合\PNG格式\德赛西威logo中英文组合（标准色).png"/>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a:xfrm>
          <a:off x="38100" y="28575"/>
          <a:ext cx="1210945" cy="35941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104775</xdr:colOff>
          <xdr:row>14</xdr:row>
          <xdr:rowOff>85725</xdr:rowOff>
        </xdr:from>
        <xdr:to>
          <xdr:col>2</xdr:col>
          <xdr:colOff>695325</xdr:colOff>
          <xdr:row>15</xdr:row>
          <xdr:rowOff>161925</xdr:rowOff>
        </xdr:to>
        <xdr:sp macro="" textlink="">
          <xdr:nvSpPr>
            <xdr:cNvPr id="9217" name="Button 1" hidden="1">
              <a:extLst>
                <a:ext uri="{63B3BB69-23CF-44E3-9099-C40C66FF867C}">
                  <a14:compatExt spid="_x0000_s9217"/>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zh-CN" altLang="en-US" sz="1100" b="1" i="0" u="none" strike="noStrike" baseline="0">
                  <a:solidFill>
                    <a:srgbClr val="000000"/>
                  </a:solidFill>
                  <a:latin typeface="Arial"/>
                  <a:cs typeface="Arial"/>
                </a:rPr>
                <a:t>Insert New Line</a:t>
              </a:r>
            </a:p>
          </xdr:txBody>
        </xdr:sp>
        <xdr:clientData fPrintsWithSheet="0"/>
      </xdr:twoCellAnchor>
    </mc:Choice>
    <mc:Fallback/>
  </mc:AlternateContent>
  <xdr:twoCellAnchor editAs="oneCell">
    <xdr:from>
      <xdr:col>0</xdr:col>
      <xdr:colOff>38100</xdr:colOff>
      <xdr:row>0</xdr:row>
      <xdr:rowOff>28575</xdr:rowOff>
    </xdr:from>
    <xdr:to>
      <xdr:col>2</xdr:col>
      <xdr:colOff>515692</xdr:colOff>
      <xdr:row>0</xdr:row>
      <xdr:rowOff>388575</xdr:rowOff>
    </xdr:to>
    <xdr:pic>
      <xdr:nvPicPr>
        <xdr:cNvPr id="3" name="Picture 3" descr="D:\PMS\Market\VI\新\事业部LOGO源文件和JPG文件\2014 12月新版\德赛西威LOGO2015\德赛西威logo中英文组合\PNG格式\德赛西威logo中英文组合（标准色).png"/>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a:xfrm>
          <a:off x="38100" y="28575"/>
          <a:ext cx="1210945" cy="35941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104775</xdr:colOff>
          <xdr:row>15</xdr:row>
          <xdr:rowOff>85725</xdr:rowOff>
        </xdr:from>
        <xdr:to>
          <xdr:col>2</xdr:col>
          <xdr:colOff>695325</xdr:colOff>
          <xdr:row>16</xdr:row>
          <xdr:rowOff>161925</xdr:rowOff>
        </xdr:to>
        <xdr:sp macro="" textlink="">
          <xdr:nvSpPr>
            <xdr:cNvPr id="11265" name="Button 1" hidden="1">
              <a:extLst>
                <a:ext uri="{63B3BB69-23CF-44E3-9099-C40C66FF867C}">
                  <a14:compatExt spid="_x0000_s11265"/>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zh-CN" altLang="en-US" sz="1100" b="1" i="0" u="none" strike="noStrike" baseline="0">
                  <a:solidFill>
                    <a:srgbClr val="000000"/>
                  </a:solidFill>
                  <a:latin typeface="Arial"/>
                  <a:cs typeface="Arial"/>
                </a:rPr>
                <a:t>Insert New Line</a:t>
              </a:r>
            </a:p>
          </xdr:txBody>
        </xdr:sp>
        <xdr:clientData fPrintsWithSheet="0"/>
      </xdr:twoCellAnchor>
    </mc:Choice>
    <mc:Fallback/>
  </mc:AlternateContent>
  <xdr:twoCellAnchor editAs="oneCell">
    <xdr:from>
      <xdr:col>0</xdr:col>
      <xdr:colOff>38100</xdr:colOff>
      <xdr:row>0</xdr:row>
      <xdr:rowOff>28575</xdr:rowOff>
    </xdr:from>
    <xdr:to>
      <xdr:col>2</xdr:col>
      <xdr:colOff>515692</xdr:colOff>
      <xdr:row>0</xdr:row>
      <xdr:rowOff>388575</xdr:rowOff>
    </xdr:to>
    <xdr:pic>
      <xdr:nvPicPr>
        <xdr:cNvPr id="3" name="Picture 3" descr="D:\PMS\Market\VI\新\事业部LOGO源文件和JPG文件\2014 12月新版\德赛西威LOGO2015\德赛西威logo中英文组合\PNG格式\德赛西威logo中英文组合（标准色).png"/>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a:xfrm>
          <a:off x="38100" y="28575"/>
          <a:ext cx="1210945" cy="35941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104775</xdr:colOff>
          <xdr:row>88</xdr:row>
          <xdr:rowOff>85725</xdr:rowOff>
        </xdr:from>
        <xdr:to>
          <xdr:col>1</xdr:col>
          <xdr:colOff>800100</xdr:colOff>
          <xdr:row>89</xdr:row>
          <xdr:rowOff>161925</xdr:rowOff>
        </xdr:to>
        <xdr:sp macro="" textlink="">
          <xdr:nvSpPr>
            <xdr:cNvPr id="10241" name="Button 1" hidden="1">
              <a:extLst>
                <a:ext uri="{63B3BB69-23CF-44E3-9099-C40C66FF867C}">
                  <a14:compatExt spid="_x0000_s10241"/>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zh-CN" altLang="en-US" sz="1100" b="1" i="0" u="none" strike="noStrike" baseline="0">
                  <a:solidFill>
                    <a:srgbClr val="000000"/>
                  </a:solidFill>
                  <a:latin typeface="Arial"/>
                  <a:cs typeface="Arial"/>
                </a:rPr>
                <a:t>Insert New Line</a:t>
              </a:r>
            </a:p>
          </xdr:txBody>
        </xdr:sp>
        <xdr:clientData fPrintsWithSheet="0"/>
      </xdr:twoCellAnchor>
    </mc:Choice>
    <mc:Fallback/>
  </mc:AlternateContent>
  <xdr:twoCellAnchor editAs="oneCell">
    <xdr:from>
      <xdr:col>0</xdr:col>
      <xdr:colOff>38100</xdr:colOff>
      <xdr:row>0</xdr:row>
      <xdr:rowOff>28575</xdr:rowOff>
    </xdr:from>
    <xdr:to>
      <xdr:col>1</xdr:col>
      <xdr:colOff>620467</xdr:colOff>
      <xdr:row>0</xdr:row>
      <xdr:rowOff>388575</xdr:rowOff>
    </xdr:to>
    <xdr:pic>
      <xdr:nvPicPr>
        <xdr:cNvPr id="3" name="Picture 3" descr="D:\PMS\Market\VI\新\事业部LOGO源文件和JPG文件\2014 12月新版\德赛西威LOGO2015\德赛西威logo中英文组合\PNG格式\德赛西威logo中英文组合（标准色).png"/>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a:xfrm>
          <a:off x="38100" y="28575"/>
          <a:ext cx="1210945" cy="35941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16</xdr:col>
      <xdr:colOff>2562225</xdr:colOff>
      <xdr:row>3</xdr:row>
      <xdr:rowOff>552450</xdr:rowOff>
    </xdr:from>
    <xdr:to>
      <xdr:col>17</xdr:col>
      <xdr:colOff>495300</xdr:colOff>
      <xdr:row>4</xdr:row>
      <xdr:rowOff>257175</xdr:rowOff>
    </xdr:to>
    <xdr:sp macro="" textlink="">
      <xdr:nvSpPr>
        <xdr:cNvPr id="2" name="矩形 1"/>
        <xdr:cNvSpPr/>
      </xdr:nvSpPr>
      <xdr:spPr>
        <a:xfrm>
          <a:off x="16887825" y="1809750"/>
          <a:ext cx="1209675" cy="115252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CN" sz="1100"/>
            <a:t>SDK</a:t>
          </a:r>
          <a:endParaRPr lang="zh-CN" altLang="en-US" sz="1100"/>
        </a:p>
      </xdr:txBody>
    </xdr:sp>
    <xdr:clientData/>
  </xdr:twoCellAnchor>
  <xdr:twoCellAnchor>
    <xdr:from>
      <xdr:col>16</xdr:col>
      <xdr:colOff>180975</xdr:colOff>
      <xdr:row>4</xdr:row>
      <xdr:rowOff>647700</xdr:rowOff>
    </xdr:from>
    <xdr:to>
      <xdr:col>16</xdr:col>
      <xdr:colOff>1123950</xdr:colOff>
      <xdr:row>6</xdr:row>
      <xdr:rowOff>9525</xdr:rowOff>
    </xdr:to>
    <xdr:sp macro="" textlink="">
      <xdr:nvSpPr>
        <xdr:cNvPr id="6" name="矩形 5"/>
        <xdr:cNvSpPr/>
      </xdr:nvSpPr>
      <xdr:spPr>
        <a:xfrm>
          <a:off x="14506575" y="3352800"/>
          <a:ext cx="942975" cy="40767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CN" sz="1100"/>
            <a:t>core</a:t>
          </a:r>
          <a:endParaRPr lang="zh-CN" altLang="en-US" sz="1100"/>
        </a:p>
      </xdr:txBody>
    </xdr:sp>
    <xdr:clientData/>
  </xdr:twoCellAnchor>
  <xdr:twoCellAnchor>
    <xdr:from>
      <xdr:col>16</xdr:col>
      <xdr:colOff>1362075</xdr:colOff>
      <xdr:row>4</xdr:row>
      <xdr:rowOff>657225</xdr:rowOff>
    </xdr:from>
    <xdr:to>
      <xdr:col>16</xdr:col>
      <xdr:colOff>2171700</xdr:colOff>
      <xdr:row>6</xdr:row>
      <xdr:rowOff>19050</xdr:rowOff>
    </xdr:to>
    <xdr:sp macro="" textlink="">
      <xdr:nvSpPr>
        <xdr:cNvPr id="7" name="矩形 6"/>
        <xdr:cNvSpPr/>
      </xdr:nvSpPr>
      <xdr:spPr>
        <a:xfrm>
          <a:off x="15687675" y="3362325"/>
          <a:ext cx="809625" cy="40767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CN" sz="1100"/>
            <a:t>media</a:t>
          </a:r>
          <a:endParaRPr lang="zh-CN" altLang="en-US" sz="1100"/>
        </a:p>
      </xdr:txBody>
    </xdr:sp>
    <xdr:clientData/>
  </xdr:twoCellAnchor>
  <xdr:twoCellAnchor>
    <xdr:from>
      <xdr:col>16</xdr:col>
      <xdr:colOff>2419350</xdr:colOff>
      <xdr:row>4</xdr:row>
      <xdr:rowOff>647700</xdr:rowOff>
    </xdr:from>
    <xdr:to>
      <xdr:col>16</xdr:col>
      <xdr:colOff>3248025</xdr:colOff>
      <xdr:row>6</xdr:row>
      <xdr:rowOff>9525</xdr:rowOff>
    </xdr:to>
    <xdr:sp macro="" textlink="">
      <xdr:nvSpPr>
        <xdr:cNvPr id="8" name="矩形 7"/>
        <xdr:cNvSpPr/>
      </xdr:nvSpPr>
      <xdr:spPr>
        <a:xfrm>
          <a:off x="16744950" y="3352800"/>
          <a:ext cx="828675" cy="40767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CN" sz="1100"/>
            <a:t>gles</a:t>
          </a:r>
          <a:endParaRPr lang="zh-CN" altLang="en-US" sz="1100"/>
        </a:p>
      </xdr:txBody>
    </xdr:sp>
    <xdr:clientData/>
  </xdr:twoCellAnchor>
  <xdr:twoCellAnchor>
    <xdr:from>
      <xdr:col>17</xdr:col>
      <xdr:colOff>209551</xdr:colOff>
      <xdr:row>4</xdr:row>
      <xdr:rowOff>638175</xdr:rowOff>
    </xdr:from>
    <xdr:to>
      <xdr:col>18</xdr:col>
      <xdr:colOff>361951</xdr:colOff>
      <xdr:row>6</xdr:row>
      <xdr:rowOff>0</xdr:rowOff>
    </xdr:to>
    <xdr:sp macro="" textlink="">
      <xdr:nvSpPr>
        <xdr:cNvPr id="9" name="矩形 8"/>
        <xdr:cNvSpPr/>
      </xdr:nvSpPr>
      <xdr:spPr>
        <a:xfrm>
          <a:off x="17811750" y="3343275"/>
          <a:ext cx="838200" cy="40767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CN" sz="1100"/>
            <a:t>gui</a:t>
          </a:r>
          <a:endParaRPr lang="zh-CN" altLang="en-US" sz="1100"/>
        </a:p>
      </xdr:txBody>
    </xdr:sp>
    <xdr:clientData/>
  </xdr:twoCellAnchor>
  <xdr:twoCellAnchor>
    <xdr:from>
      <xdr:col>19</xdr:col>
      <xdr:colOff>57151</xdr:colOff>
      <xdr:row>4</xdr:row>
      <xdr:rowOff>638175</xdr:rowOff>
    </xdr:from>
    <xdr:to>
      <xdr:col>20</xdr:col>
      <xdr:colOff>209551</xdr:colOff>
      <xdr:row>6</xdr:row>
      <xdr:rowOff>0</xdr:rowOff>
    </xdr:to>
    <xdr:sp macro="" textlink="">
      <xdr:nvSpPr>
        <xdr:cNvPr id="10" name="矩形 9"/>
        <xdr:cNvSpPr/>
      </xdr:nvSpPr>
      <xdr:spPr>
        <a:xfrm>
          <a:off x="19030950" y="3343275"/>
          <a:ext cx="838200" cy="40767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CN" sz="1100"/>
            <a:t>3rdparty</a:t>
          </a:r>
          <a:endParaRPr lang="zh-CN" altLang="en-US" sz="1100"/>
        </a:p>
      </xdr:txBody>
    </xdr:sp>
    <xdr:clientData/>
  </xdr:twoCellAnchor>
  <xdr:twoCellAnchor>
    <xdr:from>
      <xdr:col>16</xdr:col>
      <xdr:colOff>652463</xdr:colOff>
      <xdr:row>4</xdr:row>
      <xdr:rowOff>257175</xdr:rowOff>
    </xdr:from>
    <xdr:to>
      <xdr:col>16</xdr:col>
      <xdr:colOff>3167063</xdr:colOff>
      <xdr:row>4</xdr:row>
      <xdr:rowOff>647700</xdr:rowOff>
    </xdr:to>
    <xdr:cxnSp macro="">
      <xdr:nvCxnSpPr>
        <xdr:cNvPr id="11" name="直接箭头连接符 10"/>
        <xdr:cNvCxnSpPr>
          <a:stCxn id="2" idx="2"/>
          <a:endCxn id="6" idx="0"/>
        </xdr:cNvCxnSpPr>
      </xdr:nvCxnSpPr>
      <xdr:spPr>
        <a:xfrm flipH="1">
          <a:off x="14977745" y="2962275"/>
          <a:ext cx="2514600" cy="390525"/>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1766888</xdr:colOff>
      <xdr:row>4</xdr:row>
      <xdr:rowOff>257175</xdr:rowOff>
    </xdr:from>
    <xdr:to>
      <xdr:col>16</xdr:col>
      <xdr:colOff>3167063</xdr:colOff>
      <xdr:row>4</xdr:row>
      <xdr:rowOff>657225</xdr:rowOff>
    </xdr:to>
    <xdr:cxnSp macro="">
      <xdr:nvCxnSpPr>
        <xdr:cNvPr id="13" name="直接箭头连接符 12"/>
        <xdr:cNvCxnSpPr>
          <a:stCxn id="2" idx="2"/>
          <a:endCxn id="7" idx="0"/>
        </xdr:cNvCxnSpPr>
      </xdr:nvCxnSpPr>
      <xdr:spPr>
        <a:xfrm flipH="1">
          <a:off x="16092170" y="2962275"/>
          <a:ext cx="1400175" cy="400050"/>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2833688</xdr:colOff>
      <xdr:row>4</xdr:row>
      <xdr:rowOff>257175</xdr:rowOff>
    </xdr:from>
    <xdr:to>
      <xdr:col>16</xdr:col>
      <xdr:colOff>3167063</xdr:colOff>
      <xdr:row>4</xdr:row>
      <xdr:rowOff>647700</xdr:rowOff>
    </xdr:to>
    <xdr:cxnSp macro="">
      <xdr:nvCxnSpPr>
        <xdr:cNvPr id="15" name="直接箭头连接符 14"/>
        <xdr:cNvCxnSpPr>
          <a:stCxn id="2" idx="2"/>
          <a:endCxn id="8" idx="0"/>
        </xdr:cNvCxnSpPr>
      </xdr:nvCxnSpPr>
      <xdr:spPr>
        <a:xfrm flipH="1">
          <a:off x="17158970" y="2962275"/>
          <a:ext cx="333375" cy="390525"/>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3167063</xdr:colOff>
      <xdr:row>4</xdr:row>
      <xdr:rowOff>257175</xdr:rowOff>
    </xdr:from>
    <xdr:to>
      <xdr:col>17</xdr:col>
      <xdr:colOff>628651</xdr:colOff>
      <xdr:row>4</xdr:row>
      <xdr:rowOff>638175</xdr:rowOff>
    </xdr:to>
    <xdr:cxnSp macro="">
      <xdr:nvCxnSpPr>
        <xdr:cNvPr id="17" name="直接箭头连接符 16"/>
        <xdr:cNvCxnSpPr>
          <a:stCxn id="2" idx="2"/>
          <a:endCxn id="9" idx="0"/>
        </xdr:cNvCxnSpPr>
      </xdr:nvCxnSpPr>
      <xdr:spPr>
        <a:xfrm>
          <a:off x="17492345" y="2962275"/>
          <a:ext cx="738505" cy="381000"/>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3167063</xdr:colOff>
      <xdr:row>4</xdr:row>
      <xdr:rowOff>257175</xdr:rowOff>
    </xdr:from>
    <xdr:to>
      <xdr:col>19</xdr:col>
      <xdr:colOff>476251</xdr:colOff>
      <xdr:row>4</xdr:row>
      <xdr:rowOff>638175</xdr:rowOff>
    </xdr:to>
    <xdr:cxnSp macro="">
      <xdr:nvCxnSpPr>
        <xdr:cNvPr id="19" name="直接箭头连接符 18"/>
        <xdr:cNvCxnSpPr>
          <a:stCxn id="2" idx="2"/>
          <a:endCxn id="10" idx="0"/>
        </xdr:cNvCxnSpPr>
      </xdr:nvCxnSpPr>
      <xdr:spPr>
        <a:xfrm>
          <a:off x="17492345" y="2962275"/>
          <a:ext cx="1957705" cy="381000"/>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180975</xdr:colOff>
      <xdr:row>6</xdr:row>
      <xdr:rowOff>514350</xdr:rowOff>
    </xdr:from>
    <xdr:to>
      <xdr:col>16</xdr:col>
      <xdr:colOff>1123950</xdr:colOff>
      <xdr:row>8</xdr:row>
      <xdr:rowOff>38100</xdr:rowOff>
    </xdr:to>
    <xdr:sp macro="" textlink="">
      <xdr:nvSpPr>
        <xdr:cNvPr id="25" name="矩形 24"/>
        <xdr:cNvSpPr/>
      </xdr:nvSpPr>
      <xdr:spPr>
        <a:xfrm>
          <a:off x="14506575" y="4265295"/>
          <a:ext cx="942975" cy="40767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CN" altLang="en-US" sz="1100"/>
            <a:t>依赖属性</a:t>
          </a:r>
        </a:p>
      </xdr:txBody>
    </xdr:sp>
    <xdr:clientData/>
  </xdr:twoCellAnchor>
  <xdr:twoCellAnchor>
    <xdr:from>
      <xdr:col>16</xdr:col>
      <xdr:colOff>171450</xdr:colOff>
      <xdr:row>5</xdr:row>
      <xdr:rowOff>295275</xdr:rowOff>
    </xdr:from>
    <xdr:to>
      <xdr:col>16</xdr:col>
      <xdr:colOff>176213</xdr:colOff>
      <xdr:row>11</xdr:row>
      <xdr:rowOff>466725</xdr:rowOff>
    </xdr:to>
    <xdr:cxnSp macro="">
      <xdr:nvCxnSpPr>
        <xdr:cNvPr id="26" name="直接箭头连接符 25"/>
        <xdr:cNvCxnSpPr/>
      </xdr:nvCxnSpPr>
      <xdr:spPr>
        <a:xfrm flipH="1">
          <a:off x="14497050" y="3733800"/>
          <a:ext cx="4445" cy="2305050"/>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19</xdr:col>
      <xdr:colOff>66675</xdr:colOff>
      <xdr:row>6</xdr:row>
      <xdr:rowOff>266700</xdr:rowOff>
    </xdr:from>
    <xdr:to>
      <xdr:col>20</xdr:col>
      <xdr:colOff>323850</xdr:colOff>
      <xdr:row>7</xdr:row>
      <xdr:rowOff>95250</xdr:rowOff>
    </xdr:to>
    <xdr:sp macro="" textlink="">
      <xdr:nvSpPr>
        <xdr:cNvPr id="29" name="矩形 28"/>
        <xdr:cNvSpPr/>
      </xdr:nvSpPr>
      <xdr:spPr>
        <a:xfrm>
          <a:off x="19040475" y="4017645"/>
          <a:ext cx="942975" cy="40005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CN" altLang="en-US" sz="1100"/>
            <a:t>窗口系统</a:t>
          </a:r>
        </a:p>
      </xdr:txBody>
    </xdr:sp>
    <xdr:clientData/>
  </xdr:twoCellAnchor>
  <xdr:twoCellAnchor>
    <xdr:from>
      <xdr:col>19</xdr:col>
      <xdr:colOff>52388</xdr:colOff>
      <xdr:row>5</xdr:row>
      <xdr:rowOff>295275</xdr:rowOff>
    </xdr:from>
    <xdr:to>
      <xdr:col>19</xdr:col>
      <xdr:colOff>66675</xdr:colOff>
      <xdr:row>10</xdr:row>
      <xdr:rowOff>76200</xdr:rowOff>
    </xdr:to>
    <xdr:cxnSp macro="">
      <xdr:nvCxnSpPr>
        <xdr:cNvPr id="30" name="直接箭头连接符 29"/>
        <xdr:cNvCxnSpPr/>
      </xdr:nvCxnSpPr>
      <xdr:spPr>
        <a:xfrm>
          <a:off x="19025870" y="3733800"/>
          <a:ext cx="14605" cy="1602105"/>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19</xdr:col>
      <xdr:colOff>66675</xdr:colOff>
      <xdr:row>7</xdr:row>
      <xdr:rowOff>238125</xdr:rowOff>
    </xdr:from>
    <xdr:to>
      <xdr:col>20</xdr:col>
      <xdr:colOff>323850</xdr:colOff>
      <xdr:row>9</xdr:row>
      <xdr:rowOff>28575</xdr:rowOff>
    </xdr:to>
    <xdr:sp macro="" textlink="">
      <xdr:nvSpPr>
        <xdr:cNvPr id="31" name="矩形 30"/>
        <xdr:cNvSpPr/>
      </xdr:nvSpPr>
      <xdr:spPr>
        <a:xfrm>
          <a:off x="19040475" y="4560570"/>
          <a:ext cx="942975" cy="41529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CN" sz="1100"/>
            <a:t>Poco</a:t>
          </a:r>
          <a:endParaRPr lang="zh-CN" altLang="en-US" sz="1100"/>
        </a:p>
      </xdr:txBody>
    </xdr:sp>
    <xdr:clientData/>
  </xdr:twoCellAnchor>
  <xdr:twoCellAnchor>
    <xdr:from>
      <xdr:col>17</xdr:col>
      <xdr:colOff>195263</xdr:colOff>
      <xdr:row>5</xdr:row>
      <xdr:rowOff>295275</xdr:rowOff>
    </xdr:from>
    <xdr:to>
      <xdr:col>17</xdr:col>
      <xdr:colOff>209550</xdr:colOff>
      <xdr:row>10</xdr:row>
      <xdr:rowOff>76200</xdr:rowOff>
    </xdr:to>
    <xdr:cxnSp macro="">
      <xdr:nvCxnSpPr>
        <xdr:cNvPr id="32" name="直接箭头连接符 31"/>
        <xdr:cNvCxnSpPr/>
      </xdr:nvCxnSpPr>
      <xdr:spPr>
        <a:xfrm>
          <a:off x="17797145" y="3733800"/>
          <a:ext cx="14605" cy="1602105"/>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180975</xdr:colOff>
      <xdr:row>8</xdr:row>
      <xdr:rowOff>247650</xdr:rowOff>
    </xdr:from>
    <xdr:to>
      <xdr:col>16</xdr:col>
      <xdr:colOff>1123950</xdr:colOff>
      <xdr:row>10</xdr:row>
      <xdr:rowOff>38100</xdr:rowOff>
    </xdr:to>
    <xdr:sp macro="" textlink="">
      <xdr:nvSpPr>
        <xdr:cNvPr id="33" name="矩形 32"/>
        <xdr:cNvSpPr/>
      </xdr:nvSpPr>
      <xdr:spPr>
        <a:xfrm>
          <a:off x="14506575" y="4882515"/>
          <a:ext cx="942975" cy="41529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CN" altLang="en-US" sz="1100"/>
            <a:t>绑定系统</a:t>
          </a:r>
        </a:p>
      </xdr:txBody>
    </xdr:sp>
    <xdr:clientData/>
  </xdr:twoCellAnchor>
  <xdr:twoCellAnchor>
    <xdr:from>
      <xdr:col>16</xdr:col>
      <xdr:colOff>1352550</xdr:colOff>
      <xdr:row>5</xdr:row>
      <xdr:rowOff>295275</xdr:rowOff>
    </xdr:from>
    <xdr:to>
      <xdr:col>16</xdr:col>
      <xdr:colOff>1357313</xdr:colOff>
      <xdr:row>11</xdr:row>
      <xdr:rowOff>466725</xdr:rowOff>
    </xdr:to>
    <xdr:cxnSp macro="">
      <xdr:nvCxnSpPr>
        <xdr:cNvPr id="35" name="直接箭头连接符 34"/>
        <xdr:cNvCxnSpPr/>
      </xdr:nvCxnSpPr>
      <xdr:spPr>
        <a:xfrm flipH="1">
          <a:off x="15678150" y="3733800"/>
          <a:ext cx="4445" cy="2305050"/>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1371600</xdr:colOff>
      <xdr:row>6</xdr:row>
      <xdr:rowOff>514350</xdr:rowOff>
    </xdr:from>
    <xdr:to>
      <xdr:col>16</xdr:col>
      <xdr:colOff>2314575</xdr:colOff>
      <xdr:row>8</xdr:row>
      <xdr:rowOff>38100</xdr:rowOff>
    </xdr:to>
    <xdr:sp macro="" textlink="">
      <xdr:nvSpPr>
        <xdr:cNvPr id="36" name="矩形 35"/>
        <xdr:cNvSpPr/>
      </xdr:nvSpPr>
      <xdr:spPr>
        <a:xfrm>
          <a:off x="15697200" y="4265295"/>
          <a:ext cx="942975" cy="40767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CN" altLang="en-US" sz="1100"/>
            <a:t>动画系统</a:t>
          </a:r>
        </a:p>
      </xdr:txBody>
    </xdr:sp>
    <xdr:clientData/>
  </xdr:twoCellAnchor>
  <xdr:twoCellAnchor>
    <xdr:from>
      <xdr:col>22</xdr:col>
      <xdr:colOff>609600</xdr:colOff>
      <xdr:row>3</xdr:row>
      <xdr:rowOff>552450</xdr:rowOff>
    </xdr:from>
    <xdr:to>
      <xdr:col>24</xdr:col>
      <xdr:colOff>447675</xdr:colOff>
      <xdr:row>4</xdr:row>
      <xdr:rowOff>257175</xdr:rowOff>
    </xdr:to>
    <xdr:sp macro="" textlink="">
      <xdr:nvSpPr>
        <xdr:cNvPr id="42" name="矩形 41"/>
        <xdr:cNvSpPr/>
      </xdr:nvSpPr>
      <xdr:spPr>
        <a:xfrm>
          <a:off x="21640800" y="1809750"/>
          <a:ext cx="1209675" cy="115252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CN" sz="1100"/>
            <a:t>studio</a:t>
          </a:r>
          <a:endParaRPr lang="zh-CN" altLang="en-US" sz="1100"/>
        </a:p>
      </xdr:txBody>
    </xdr:sp>
    <xdr:clientData/>
  </xdr:twoCellAnchor>
  <xdr:twoCellAnchor>
    <xdr:from>
      <xdr:col>23</xdr:col>
      <xdr:colOff>666750</xdr:colOff>
      <xdr:row>4</xdr:row>
      <xdr:rowOff>523875</xdr:rowOff>
    </xdr:from>
    <xdr:to>
      <xdr:col>25</xdr:col>
      <xdr:colOff>323850</xdr:colOff>
      <xdr:row>5</xdr:row>
      <xdr:rowOff>190500</xdr:rowOff>
    </xdr:to>
    <xdr:sp macro="" textlink="">
      <xdr:nvSpPr>
        <xdr:cNvPr id="43" name="矩形 42"/>
        <xdr:cNvSpPr/>
      </xdr:nvSpPr>
      <xdr:spPr>
        <a:xfrm>
          <a:off x="22383750" y="3228975"/>
          <a:ext cx="1028700" cy="40005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CN" sz="1100"/>
            <a:t>shader editor</a:t>
          </a:r>
          <a:endParaRPr lang="zh-CN" altLang="en-US" sz="1100"/>
        </a:p>
      </xdr:txBody>
    </xdr:sp>
    <xdr:clientData/>
  </xdr:twoCellAnchor>
  <xdr:twoCellAnchor>
    <xdr:from>
      <xdr:col>23</xdr:col>
      <xdr:colOff>528638</xdr:colOff>
      <xdr:row>4</xdr:row>
      <xdr:rowOff>257175</xdr:rowOff>
    </xdr:from>
    <xdr:to>
      <xdr:col>24</xdr:col>
      <xdr:colOff>609600</xdr:colOff>
      <xdr:row>4</xdr:row>
      <xdr:rowOff>590550</xdr:rowOff>
    </xdr:to>
    <xdr:cxnSp macro="">
      <xdr:nvCxnSpPr>
        <xdr:cNvPr id="44" name="直接箭头连接符 43"/>
        <xdr:cNvCxnSpPr>
          <a:stCxn id="42" idx="2"/>
        </xdr:cNvCxnSpPr>
      </xdr:nvCxnSpPr>
      <xdr:spPr>
        <a:xfrm>
          <a:off x="22245320" y="2962275"/>
          <a:ext cx="767080" cy="333375"/>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209550</xdr:colOff>
      <xdr:row>6</xdr:row>
      <xdr:rowOff>514350</xdr:rowOff>
    </xdr:from>
    <xdr:to>
      <xdr:col>18</xdr:col>
      <xdr:colOff>466725</xdr:colOff>
      <xdr:row>8</xdr:row>
      <xdr:rowOff>38100</xdr:rowOff>
    </xdr:to>
    <xdr:sp macro="" textlink="">
      <xdr:nvSpPr>
        <xdr:cNvPr id="46" name="矩形 45"/>
        <xdr:cNvSpPr/>
      </xdr:nvSpPr>
      <xdr:spPr>
        <a:xfrm>
          <a:off x="17811750" y="4265295"/>
          <a:ext cx="942975" cy="40767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CN" sz="1100"/>
            <a:t>UIElement</a:t>
          </a:r>
          <a:endParaRPr lang="zh-CN" altLang="en-US" sz="1100"/>
        </a:p>
      </xdr:txBody>
    </xdr:sp>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104775</xdr:colOff>
          <xdr:row>30</xdr:row>
          <xdr:rowOff>85725</xdr:rowOff>
        </xdr:from>
        <xdr:to>
          <xdr:col>1</xdr:col>
          <xdr:colOff>800100</xdr:colOff>
          <xdr:row>31</xdr:row>
          <xdr:rowOff>161925</xdr:rowOff>
        </xdr:to>
        <xdr:sp macro="" textlink="">
          <xdr:nvSpPr>
            <xdr:cNvPr id="14337" name="Button 1" hidden="1">
              <a:extLst>
                <a:ext uri="{63B3BB69-23CF-44E3-9099-C40C66FF867C}">
                  <a14:compatExt spid="_x0000_s14337"/>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zh-CN" altLang="en-US" sz="1100" b="1" i="0" u="none" strike="noStrike" baseline="0">
                  <a:solidFill>
                    <a:srgbClr val="000000"/>
                  </a:solidFill>
                  <a:latin typeface="Arial"/>
                  <a:cs typeface="Arial"/>
                </a:rPr>
                <a:t>Insert New Line</a:t>
              </a:r>
            </a:p>
          </xdr:txBody>
        </xdr:sp>
        <xdr:clientData fPrintsWithSheet="0"/>
      </xdr:twoCellAnchor>
    </mc:Choice>
    <mc:Fallback/>
  </mc:AlternateContent>
  <xdr:twoCellAnchor editAs="oneCell">
    <xdr:from>
      <xdr:col>0</xdr:col>
      <xdr:colOff>38100</xdr:colOff>
      <xdr:row>0</xdr:row>
      <xdr:rowOff>28575</xdr:rowOff>
    </xdr:from>
    <xdr:to>
      <xdr:col>1</xdr:col>
      <xdr:colOff>620467</xdr:colOff>
      <xdr:row>0</xdr:row>
      <xdr:rowOff>388575</xdr:rowOff>
    </xdr:to>
    <xdr:pic>
      <xdr:nvPicPr>
        <xdr:cNvPr id="3" name="Picture 3" descr="D:\PMS\Market\VI\新\事业部LOGO源文件和JPG文件\2014 12月新版\德赛西威LOGO2015\德赛西威logo中英文组合\PNG格式\德赛西威logo中英文组合（标准色).png"/>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a:xfrm>
          <a:off x="38100" y="28575"/>
          <a:ext cx="1211017" cy="3600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104775</xdr:colOff>
          <xdr:row>27</xdr:row>
          <xdr:rowOff>85725</xdr:rowOff>
        </xdr:from>
        <xdr:to>
          <xdr:col>1</xdr:col>
          <xdr:colOff>800100</xdr:colOff>
          <xdr:row>28</xdr:row>
          <xdr:rowOff>161925</xdr:rowOff>
        </xdr:to>
        <xdr:sp macro="" textlink="">
          <xdr:nvSpPr>
            <xdr:cNvPr id="16385" name="Button 1" hidden="1">
              <a:extLst>
                <a:ext uri="{63B3BB69-23CF-44E3-9099-C40C66FF867C}">
                  <a14:compatExt spid="_x0000_s16385"/>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zh-CN" altLang="en-US" sz="1100" b="1" i="0" u="none" strike="noStrike" baseline="0">
                  <a:solidFill>
                    <a:srgbClr val="000000"/>
                  </a:solidFill>
                  <a:latin typeface="Arial"/>
                  <a:cs typeface="Arial"/>
                </a:rPr>
                <a:t>Insert New Line</a:t>
              </a:r>
            </a:p>
          </xdr:txBody>
        </xdr:sp>
        <xdr:clientData fPrintsWithSheet="0"/>
      </xdr:twoCellAnchor>
    </mc:Choice>
    <mc:Fallback/>
  </mc:AlternateContent>
  <xdr:twoCellAnchor editAs="oneCell">
    <xdr:from>
      <xdr:col>0</xdr:col>
      <xdr:colOff>38100</xdr:colOff>
      <xdr:row>0</xdr:row>
      <xdr:rowOff>28575</xdr:rowOff>
    </xdr:from>
    <xdr:to>
      <xdr:col>1</xdr:col>
      <xdr:colOff>620467</xdr:colOff>
      <xdr:row>0</xdr:row>
      <xdr:rowOff>388575</xdr:rowOff>
    </xdr:to>
    <xdr:pic>
      <xdr:nvPicPr>
        <xdr:cNvPr id="3" name="Picture 3" descr="D:\PMS\Market\VI\新\事业部LOGO源文件和JPG文件\2014 12月新版\德赛西威LOGO2015\德赛西威logo中英文组合\PNG格式\德赛西威logo中英文组合（标准色).png"/>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a:xfrm>
          <a:off x="38100" y="28575"/>
          <a:ext cx="1211017" cy="3600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104775</xdr:colOff>
          <xdr:row>13</xdr:row>
          <xdr:rowOff>85725</xdr:rowOff>
        </xdr:from>
        <xdr:to>
          <xdr:col>2</xdr:col>
          <xdr:colOff>695325</xdr:colOff>
          <xdr:row>14</xdr:row>
          <xdr:rowOff>161925</xdr:rowOff>
        </xdr:to>
        <xdr:sp macro="" textlink="">
          <xdr:nvSpPr>
            <xdr:cNvPr id="20481" name="Button 1" hidden="1">
              <a:extLst>
                <a:ext uri="{63B3BB69-23CF-44E3-9099-C40C66FF867C}">
                  <a14:compatExt spid="_x0000_s20481"/>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zh-CN" altLang="en-US" sz="1100" b="1" i="0" u="none" strike="noStrike" baseline="0">
                  <a:solidFill>
                    <a:srgbClr val="000000"/>
                  </a:solidFill>
                  <a:latin typeface="Arial"/>
                  <a:cs typeface="Arial"/>
                </a:rPr>
                <a:t>Insert New Line</a:t>
              </a:r>
            </a:p>
          </xdr:txBody>
        </xdr:sp>
        <xdr:clientData fPrintsWithSheet="0"/>
      </xdr:twoCellAnchor>
    </mc:Choice>
    <mc:Fallback/>
  </mc:AlternateContent>
  <xdr:twoCellAnchor editAs="oneCell">
    <xdr:from>
      <xdr:col>0</xdr:col>
      <xdr:colOff>38100</xdr:colOff>
      <xdr:row>0</xdr:row>
      <xdr:rowOff>28575</xdr:rowOff>
    </xdr:from>
    <xdr:to>
      <xdr:col>2</xdr:col>
      <xdr:colOff>515692</xdr:colOff>
      <xdr:row>0</xdr:row>
      <xdr:rowOff>388575</xdr:rowOff>
    </xdr:to>
    <xdr:pic>
      <xdr:nvPicPr>
        <xdr:cNvPr id="3" name="Picture 3" descr="D:\PMS\Market\VI\新\事业部LOGO源文件和JPG文件\2014 12月新版\德赛西威LOGO2015\德赛西威logo中英文组合\PNG格式\德赛西威logo中英文组合（标准色).png"/>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a:xfrm>
          <a:off x="38100" y="28575"/>
          <a:ext cx="1211017" cy="3600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104775</xdr:colOff>
          <xdr:row>21</xdr:row>
          <xdr:rowOff>85725</xdr:rowOff>
        </xdr:from>
        <xdr:to>
          <xdr:col>2</xdr:col>
          <xdr:colOff>695325</xdr:colOff>
          <xdr:row>22</xdr:row>
          <xdr:rowOff>161925</xdr:rowOff>
        </xdr:to>
        <xdr:sp macro="" textlink="">
          <xdr:nvSpPr>
            <xdr:cNvPr id="21505" name="Button 1" hidden="1">
              <a:extLst>
                <a:ext uri="{63B3BB69-23CF-44E3-9099-C40C66FF867C}">
                  <a14:compatExt spid="_x0000_s21505"/>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zh-CN" altLang="en-US" sz="1100" b="1" i="0" u="none" strike="noStrike" baseline="0">
                  <a:solidFill>
                    <a:srgbClr val="000000"/>
                  </a:solidFill>
                  <a:latin typeface="Arial"/>
                  <a:cs typeface="Arial"/>
                </a:rPr>
                <a:t>Insert New Line</a:t>
              </a:r>
            </a:p>
          </xdr:txBody>
        </xdr:sp>
        <xdr:clientData fPrintsWithSheet="0"/>
      </xdr:twoCellAnchor>
    </mc:Choice>
    <mc:Fallback/>
  </mc:AlternateContent>
  <xdr:twoCellAnchor editAs="oneCell">
    <xdr:from>
      <xdr:col>0</xdr:col>
      <xdr:colOff>38100</xdr:colOff>
      <xdr:row>0</xdr:row>
      <xdr:rowOff>28575</xdr:rowOff>
    </xdr:from>
    <xdr:to>
      <xdr:col>2</xdr:col>
      <xdr:colOff>515692</xdr:colOff>
      <xdr:row>0</xdr:row>
      <xdr:rowOff>388575</xdr:rowOff>
    </xdr:to>
    <xdr:pic>
      <xdr:nvPicPr>
        <xdr:cNvPr id="3" name="Picture 3" descr="D:\PMS\Market\VI\新\事业部LOGO源文件和JPG文件\2014 12月新版\德赛西威LOGO2015\德赛西威logo中英文组合\PNG格式\德赛西威logo中英文组合（标准色).png"/>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a:xfrm>
          <a:off x="38100" y="28575"/>
          <a:ext cx="1211017" cy="3600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104775</xdr:colOff>
          <xdr:row>13</xdr:row>
          <xdr:rowOff>85725</xdr:rowOff>
        </xdr:from>
        <xdr:to>
          <xdr:col>2</xdr:col>
          <xdr:colOff>695325</xdr:colOff>
          <xdr:row>14</xdr:row>
          <xdr:rowOff>161925</xdr:rowOff>
        </xdr:to>
        <xdr:sp macro="" textlink="">
          <xdr:nvSpPr>
            <xdr:cNvPr id="22529" name="Button 1" hidden="1">
              <a:extLst>
                <a:ext uri="{63B3BB69-23CF-44E3-9099-C40C66FF867C}">
                  <a14:compatExt spid="_x0000_s22529"/>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zh-CN" altLang="en-US" sz="1100" b="1" i="0" u="none" strike="noStrike" baseline="0">
                  <a:solidFill>
                    <a:srgbClr val="000000"/>
                  </a:solidFill>
                  <a:latin typeface="Arial"/>
                  <a:cs typeface="Arial"/>
                </a:rPr>
                <a:t>Insert New Line</a:t>
              </a:r>
            </a:p>
          </xdr:txBody>
        </xdr:sp>
        <xdr:clientData fPrintsWithSheet="0"/>
      </xdr:twoCellAnchor>
    </mc:Choice>
    <mc:Fallback/>
  </mc:AlternateContent>
  <xdr:twoCellAnchor editAs="oneCell">
    <xdr:from>
      <xdr:col>0</xdr:col>
      <xdr:colOff>38100</xdr:colOff>
      <xdr:row>0</xdr:row>
      <xdr:rowOff>28575</xdr:rowOff>
    </xdr:from>
    <xdr:to>
      <xdr:col>2</xdr:col>
      <xdr:colOff>515692</xdr:colOff>
      <xdr:row>0</xdr:row>
      <xdr:rowOff>388575</xdr:rowOff>
    </xdr:to>
    <xdr:pic>
      <xdr:nvPicPr>
        <xdr:cNvPr id="3" name="Picture 3" descr="D:\PMS\Market\VI\新\事业部LOGO源文件和JPG文件\2014 12月新版\德赛西威LOGO2015\德赛西威logo中英文组合\PNG格式\德赛西威logo中英文组合（标准色).png"/>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a:xfrm>
          <a:off x="38100" y="28575"/>
          <a:ext cx="1211017" cy="3600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104775</xdr:colOff>
          <xdr:row>12</xdr:row>
          <xdr:rowOff>85725</xdr:rowOff>
        </xdr:from>
        <xdr:to>
          <xdr:col>2</xdr:col>
          <xdr:colOff>695325</xdr:colOff>
          <xdr:row>13</xdr:row>
          <xdr:rowOff>161925</xdr:rowOff>
        </xdr:to>
        <xdr:sp macro="" textlink="">
          <xdr:nvSpPr>
            <xdr:cNvPr id="23553" name="Button 1" hidden="1">
              <a:extLst>
                <a:ext uri="{63B3BB69-23CF-44E3-9099-C40C66FF867C}">
                  <a14:compatExt spid="_x0000_s23553"/>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zh-CN" altLang="en-US" sz="1100" b="1" i="0" u="none" strike="noStrike" baseline="0">
                  <a:solidFill>
                    <a:srgbClr val="000000"/>
                  </a:solidFill>
                  <a:latin typeface="Arial"/>
                  <a:cs typeface="Arial"/>
                </a:rPr>
                <a:t>Insert New Line</a:t>
              </a:r>
            </a:p>
          </xdr:txBody>
        </xdr:sp>
        <xdr:clientData fPrintsWithSheet="0"/>
      </xdr:twoCellAnchor>
    </mc:Choice>
    <mc:Fallback/>
  </mc:AlternateContent>
  <xdr:twoCellAnchor editAs="oneCell">
    <xdr:from>
      <xdr:col>0</xdr:col>
      <xdr:colOff>38100</xdr:colOff>
      <xdr:row>0</xdr:row>
      <xdr:rowOff>28575</xdr:rowOff>
    </xdr:from>
    <xdr:to>
      <xdr:col>2</xdr:col>
      <xdr:colOff>515692</xdr:colOff>
      <xdr:row>0</xdr:row>
      <xdr:rowOff>388575</xdr:rowOff>
    </xdr:to>
    <xdr:pic>
      <xdr:nvPicPr>
        <xdr:cNvPr id="3" name="Picture 3" descr="D:\PMS\Market\VI\新\事业部LOGO源文件和JPG文件\2014 12月新版\德赛西威LOGO2015\德赛西威logo中英文组合\PNG格式\德赛西威logo中英文组合（标准色).png"/>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a:xfrm>
          <a:off x="38100" y="28575"/>
          <a:ext cx="1211017" cy="3600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104775</xdr:colOff>
          <xdr:row>29</xdr:row>
          <xdr:rowOff>85725</xdr:rowOff>
        </xdr:from>
        <xdr:to>
          <xdr:col>2</xdr:col>
          <xdr:colOff>695325</xdr:colOff>
          <xdr:row>30</xdr:row>
          <xdr:rowOff>161925</xdr:rowOff>
        </xdr:to>
        <xdr:sp macro="" textlink="">
          <xdr:nvSpPr>
            <xdr:cNvPr id="24577" name="Button 1" hidden="1">
              <a:extLst>
                <a:ext uri="{63B3BB69-23CF-44E3-9099-C40C66FF867C}">
                  <a14:compatExt spid="_x0000_s24577"/>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zh-CN" altLang="en-US" sz="1100" b="1" i="0" u="none" strike="noStrike" baseline="0">
                  <a:solidFill>
                    <a:srgbClr val="000000"/>
                  </a:solidFill>
                  <a:latin typeface="Arial"/>
                  <a:cs typeface="Arial"/>
                </a:rPr>
                <a:t>Insert New Line</a:t>
              </a:r>
            </a:p>
          </xdr:txBody>
        </xdr:sp>
        <xdr:clientData fPrintsWithSheet="0"/>
      </xdr:twoCellAnchor>
    </mc:Choice>
    <mc:Fallback/>
  </mc:AlternateContent>
  <xdr:twoCellAnchor editAs="oneCell">
    <xdr:from>
      <xdr:col>0</xdr:col>
      <xdr:colOff>38100</xdr:colOff>
      <xdr:row>0</xdr:row>
      <xdr:rowOff>28575</xdr:rowOff>
    </xdr:from>
    <xdr:to>
      <xdr:col>2</xdr:col>
      <xdr:colOff>515692</xdr:colOff>
      <xdr:row>0</xdr:row>
      <xdr:rowOff>388575</xdr:rowOff>
    </xdr:to>
    <xdr:pic>
      <xdr:nvPicPr>
        <xdr:cNvPr id="3" name="Picture 3" descr="D:\PMS\Market\VI\新\事业部LOGO源文件和JPG文件\2014 12月新版\德赛西威LOGO2015\德赛西威logo中英文组合\PNG格式\德赛西威logo中英文组合（标准色).png"/>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a:xfrm>
          <a:off x="38100" y="28575"/>
          <a:ext cx="1211017" cy="3600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28378;&#21160;&#36335;&#32447;&#22270;1"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里程碑"/>
      <sheetName val="路线图"/>
      <sheetName val="关于"/>
      <sheetName val="图表数据"/>
    </sheetNames>
    <sheetDataSet>
      <sheetData sheetId="0" refreshError="1"/>
      <sheetData sheetId="1" refreshError="1"/>
      <sheetData sheetId="2" refreshError="1"/>
      <sheetData sheetId="3">
        <row r="3">
          <cell r="D3" t="str">
            <v>位置​​</v>
          </cell>
        </row>
        <row r="4">
          <cell r="B4">
            <v>43928</v>
          </cell>
        </row>
      </sheetData>
    </sheetDataSet>
  </externalBook>
</externalLink>
</file>

<file path=xl/tables/table1.xml><?xml version="1.0" encoding="utf-8"?>
<table xmlns="http://schemas.openxmlformats.org/spreadsheetml/2006/main" id="2" name="项目详细信息" displayName="项目详细信息" ref="B19:E42" totalsRowShown="0" headerRowDxfId="683" dataDxfId="682">
  <tableColumns count="4">
    <tableColumn id="1" name="日期" dataDxfId="681"/>
    <tableColumn id="2" name="里程碑" dataDxfId="680"/>
    <tableColumn id="4" name="位置" dataDxfId="679"/>
    <tableColumn id="5" name="比较基准" dataDxfId="678">
      <calculatedColumnFormula>1</calculatedColumnFormula>
    </tableColumn>
  </tableColumns>
  <tableStyleInfo name="Project Timeline" showFirstColumn="0" showLastColumn="0" showRowStripes="1" showColumnStripes="0"/>
  <extLst>
    <ext xmlns:x14="http://schemas.microsoft.com/office/spreadsheetml/2009/9/main" uri="{504A1905-F514-4f6f-8877-14C23A59335A}">
      <x14:table altText="项目详细信息" altTextSummary="项目日期、里程碑和图表位置清单。"/>
    </ext>
  </extLst>
</table>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1.bin"/><Relationship Id="rId2" Type="http://schemas.openxmlformats.org/officeDocument/2006/relationships/hyperlink" Target="https://www.vertex42.com/ExcelTemplates/simple-gantt-chart.html?utm_source=ms&amp;utm_medium=file&amp;utm_campaign=office&amp;utm_content=text" TargetMode="External"/><Relationship Id="rId1" Type="http://schemas.openxmlformats.org/officeDocument/2006/relationships/hyperlink" Target="https://www.vertex42.com/ExcelTemplates/simple-gantt-chart.html?utm_source=ms&amp;utm_medium=file&amp;utm_campaign=office&amp;utm_content=url" TargetMode="External"/></Relationships>
</file>

<file path=xl/worksheets/_rels/sheet2.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printerSettings" Target="../printerSettings/printerSettings3.bin"/><Relationship Id="rId2" Type="http://schemas.openxmlformats.org/officeDocument/2006/relationships/hyperlink" Target="https://www.vertex42.com/ExcelTemplates/simple-gantt-chart.html?utm_source=ms&amp;utm_medium=file&amp;utm_campaign=office&amp;utm_content=text" TargetMode="External"/><Relationship Id="rId1" Type="http://schemas.openxmlformats.org/officeDocument/2006/relationships/hyperlink" Target="https://www.vertex42.com/ExcelTemplates/simple-gantt-chart.html?utm_source=ms&amp;utm_medium=file&amp;utm_campaign=office&amp;utm_content=url" TargetMode="Externa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4.bin"/><Relationship Id="rId5" Type="http://schemas.openxmlformats.org/officeDocument/2006/relationships/comments" Target="../comments1.xml"/><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3.xml"/><Relationship Id="rId4" Type="http://schemas.openxmlformats.org/officeDocument/2006/relationships/comments" Target="../comments2.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5" Type="http://schemas.openxmlformats.org/officeDocument/2006/relationships/comments" Target="../comments3.xml"/><Relationship Id="rId4" Type="http://schemas.openxmlformats.org/officeDocument/2006/relationships/ctrlProp" Target="../ctrlProps/ctrlProp3.xm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4.xml"/><Relationship Id="rId2" Type="http://schemas.openxmlformats.org/officeDocument/2006/relationships/vmlDrawing" Target="../drawings/vmlDrawing4.vml"/><Relationship Id="rId1" Type="http://schemas.openxmlformats.org/officeDocument/2006/relationships/drawing" Target="../drawings/drawing5.xml"/><Relationship Id="rId4" Type="http://schemas.openxmlformats.org/officeDocument/2006/relationships/comments" Target="../comments4.xml"/></Relationships>
</file>

<file path=xl/worksheets/_rels/sheet8.xml.rels><?xml version="1.0" encoding="UTF-8" standalone="yes"?>
<Relationships xmlns="http://schemas.openxmlformats.org/package/2006/relationships"><Relationship Id="rId3" Type="http://schemas.openxmlformats.org/officeDocument/2006/relationships/ctrlProp" Target="../ctrlProps/ctrlProp5.xml"/><Relationship Id="rId2" Type="http://schemas.openxmlformats.org/officeDocument/2006/relationships/vmlDrawing" Target="../drawings/vmlDrawing5.vml"/><Relationship Id="rId1" Type="http://schemas.openxmlformats.org/officeDocument/2006/relationships/drawing" Target="../drawings/drawing6.xml"/><Relationship Id="rId4" Type="http://schemas.openxmlformats.org/officeDocument/2006/relationships/comments" Target="../comments5.xml"/></Relationships>
</file>

<file path=xl/worksheets/_rels/sheet9.xml.rels><?xml version="1.0" encoding="UTF-8" standalone="yes"?>
<Relationships xmlns="http://schemas.openxmlformats.org/package/2006/relationships"><Relationship Id="rId3" Type="http://schemas.openxmlformats.org/officeDocument/2006/relationships/ctrlProp" Target="../ctrlProps/ctrlProp6.xml"/><Relationship Id="rId2" Type="http://schemas.openxmlformats.org/officeDocument/2006/relationships/vmlDrawing" Target="../drawings/vmlDrawing6.vml"/><Relationship Id="rId1" Type="http://schemas.openxmlformats.org/officeDocument/2006/relationships/drawing" Target="../drawings/drawing7.xml"/><Relationship Id="rId4" Type="http://schemas.openxmlformats.org/officeDocument/2006/relationships/comments" Target="../comments6.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8.xml"/><Relationship Id="rId1" Type="http://schemas.openxmlformats.org/officeDocument/2006/relationships/printerSettings" Target="../printerSettings/printerSettings6.bin"/><Relationship Id="rId5" Type="http://schemas.openxmlformats.org/officeDocument/2006/relationships/comments" Target="../comments7.xml"/><Relationship Id="rId4" Type="http://schemas.openxmlformats.org/officeDocument/2006/relationships/ctrlProp" Target="../ctrlProps/ctrlProp7.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9.xml"/><Relationship Id="rId1" Type="http://schemas.openxmlformats.org/officeDocument/2006/relationships/printerSettings" Target="../printerSettings/printerSettings7.bin"/><Relationship Id="rId5" Type="http://schemas.openxmlformats.org/officeDocument/2006/relationships/comments" Target="../comments8.xml"/><Relationship Id="rId4" Type="http://schemas.openxmlformats.org/officeDocument/2006/relationships/ctrlProp" Target="../ctrlProps/ctrlProp8.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0.xml"/><Relationship Id="rId1" Type="http://schemas.openxmlformats.org/officeDocument/2006/relationships/printerSettings" Target="../printerSettings/printerSettings8.bin"/><Relationship Id="rId5" Type="http://schemas.openxmlformats.org/officeDocument/2006/relationships/comments" Target="../comments9.xml"/><Relationship Id="rId4" Type="http://schemas.openxmlformats.org/officeDocument/2006/relationships/ctrlProp" Target="../ctrlProps/ctrlProp9.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1.xml"/><Relationship Id="rId1" Type="http://schemas.openxmlformats.org/officeDocument/2006/relationships/printerSettings" Target="../printerSettings/printerSettings9.bin"/><Relationship Id="rId5" Type="http://schemas.openxmlformats.org/officeDocument/2006/relationships/comments" Target="../comments10.xml"/><Relationship Id="rId4" Type="http://schemas.openxmlformats.org/officeDocument/2006/relationships/ctrlProp" Target="../ctrlProps/ctrlProp10.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2.xml"/><Relationship Id="rId1" Type="http://schemas.openxmlformats.org/officeDocument/2006/relationships/printerSettings" Target="../printerSettings/printerSettings10.bin"/><Relationship Id="rId5" Type="http://schemas.openxmlformats.org/officeDocument/2006/relationships/comments" Target="../comments11.xml"/><Relationship Id="rId4" Type="http://schemas.openxmlformats.org/officeDocument/2006/relationships/ctrlProp" Target="../ctrlProps/ctrlProp1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pageSetUpPr fitToPage="1"/>
  </sheetPr>
  <dimension ref="A1:BM191"/>
  <sheetViews>
    <sheetView showGridLines="0" showRuler="0" zoomScaleNormal="100" zoomScalePageLayoutView="70" workbookViewId="0">
      <pane ySplit="6" topLeftCell="A181" activePane="bottomLeft" state="frozen"/>
      <selection pane="bottomLeft" activeCell="D130" sqref="D130"/>
    </sheetView>
  </sheetViews>
  <sheetFormatPr defaultColWidth="9" defaultRowHeight="30" customHeight="1" x14ac:dyDescent="0.3"/>
  <cols>
    <col min="1" max="1" width="3.125" style="46" customWidth="1"/>
    <col min="2" max="2" width="31.875" style="44" customWidth="1"/>
    <col min="3" max="3" width="9.875" style="44" customWidth="1"/>
    <col min="4" max="4" width="13" style="44" customWidth="1"/>
    <col min="5" max="5" width="11.625" style="45" customWidth="1"/>
    <col min="6" max="6" width="11.25" style="44" customWidth="1"/>
    <col min="7" max="7" width="3.125" style="44" customWidth="1"/>
    <col min="8" max="8" width="7.875" style="44" customWidth="1"/>
    <col min="9" max="9" width="39.625" style="44" customWidth="1"/>
    <col min="10" max="65" width="3" style="44" customWidth="1"/>
    <col min="66" max="16384" width="9" style="44"/>
  </cols>
  <sheetData>
    <row r="1" spans="1:65" ht="30" customHeight="1" x14ac:dyDescent="0.55000000000000004">
      <c r="A1" s="59" t="s">
        <v>336</v>
      </c>
      <c r="B1" s="121" t="s">
        <v>335</v>
      </c>
      <c r="C1" s="120"/>
      <c r="D1" s="117"/>
      <c r="E1" s="119"/>
      <c r="F1" s="118"/>
      <c r="H1" s="117"/>
      <c r="I1" s="117"/>
      <c r="J1" s="49" t="s">
        <v>334</v>
      </c>
    </row>
    <row r="2" spans="1:65" ht="30" customHeight="1" x14ac:dyDescent="0.35">
      <c r="A2" s="46" t="s">
        <v>333</v>
      </c>
      <c r="B2" s="116" t="s">
        <v>332</v>
      </c>
      <c r="J2" s="115" t="s">
        <v>331</v>
      </c>
    </row>
    <row r="3" spans="1:65" ht="30" customHeight="1" x14ac:dyDescent="0.3">
      <c r="A3" s="46" t="s">
        <v>330</v>
      </c>
      <c r="B3" s="114" t="s">
        <v>329</v>
      </c>
      <c r="C3" s="211" t="s">
        <v>328</v>
      </c>
      <c r="D3" s="212"/>
      <c r="E3" s="210">
        <v>43647</v>
      </c>
      <c r="F3" s="210"/>
    </row>
    <row r="4" spans="1:65" ht="30" customHeight="1" x14ac:dyDescent="0.3">
      <c r="A4" s="59" t="s">
        <v>327</v>
      </c>
      <c r="C4" s="211" t="s">
        <v>326</v>
      </c>
      <c r="D4" s="212"/>
      <c r="E4" s="113">
        <v>25</v>
      </c>
      <c r="J4" s="207">
        <f>J5</f>
        <v>43814</v>
      </c>
      <c r="K4" s="208"/>
      <c r="L4" s="208"/>
      <c r="M4" s="208"/>
      <c r="N4" s="208"/>
      <c r="O4" s="208"/>
      <c r="P4" s="209"/>
      <c r="Q4" s="207">
        <f>Q5</f>
        <v>43821</v>
      </c>
      <c r="R4" s="208"/>
      <c r="S4" s="208"/>
      <c r="T4" s="208"/>
      <c r="U4" s="208"/>
      <c r="V4" s="208"/>
      <c r="W4" s="209"/>
      <c r="X4" s="207">
        <f>X5</f>
        <v>43828</v>
      </c>
      <c r="Y4" s="208"/>
      <c r="Z4" s="208"/>
      <c r="AA4" s="208"/>
      <c r="AB4" s="208"/>
      <c r="AC4" s="208"/>
      <c r="AD4" s="209"/>
      <c r="AE4" s="207">
        <f>AE5</f>
        <v>43835</v>
      </c>
      <c r="AF4" s="208"/>
      <c r="AG4" s="208"/>
      <c r="AH4" s="208"/>
      <c r="AI4" s="208"/>
      <c r="AJ4" s="208"/>
      <c r="AK4" s="209"/>
      <c r="AL4" s="207">
        <f>AL5</f>
        <v>43842</v>
      </c>
      <c r="AM4" s="208"/>
      <c r="AN4" s="208"/>
      <c r="AO4" s="208"/>
      <c r="AP4" s="208"/>
      <c r="AQ4" s="208"/>
      <c r="AR4" s="209"/>
      <c r="AS4" s="207">
        <f>AS5</f>
        <v>43849</v>
      </c>
      <c r="AT4" s="208"/>
      <c r="AU4" s="208"/>
      <c r="AV4" s="208"/>
      <c r="AW4" s="208"/>
      <c r="AX4" s="208"/>
      <c r="AY4" s="209"/>
      <c r="AZ4" s="207">
        <f>AZ5</f>
        <v>43856</v>
      </c>
      <c r="BA4" s="208"/>
      <c r="BB4" s="208"/>
      <c r="BC4" s="208"/>
      <c r="BD4" s="208"/>
      <c r="BE4" s="208"/>
      <c r="BF4" s="209"/>
      <c r="BG4" s="207">
        <f>BG5</f>
        <v>43863</v>
      </c>
      <c r="BH4" s="208"/>
      <c r="BI4" s="208"/>
      <c r="BJ4" s="208"/>
      <c r="BK4" s="208"/>
      <c r="BL4" s="208"/>
      <c r="BM4" s="209"/>
    </row>
    <row r="5" spans="1:65" ht="15" customHeight="1" x14ac:dyDescent="0.3">
      <c r="A5" s="59" t="s">
        <v>325</v>
      </c>
      <c r="B5" s="213"/>
      <c r="C5" s="213"/>
      <c r="D5" s="213"/>
      <c r="E5" s="213"/>
      <c r="F5" s="213"/>
      <c r="G5" s="213"/>
      <c r="J5" s="112">
        <f>Project_Start-WEEKDAY(Project_Start,1)+1+7*(Display_Week-1)</f>
        <v>43814</v>
      </c>
      <c r="K5" s="111">
        <f t="shared" ref="K5:AP5" si="0">J5+1</f>
        <v>43815</v>
      </c>
      <c r="L5" s="111">
        <f t="shared" si="0"/>
        <v>43816</v>
      </c>
      <c r="M5" s="111">
        <f t="shared" si="0"/>
        <v>43817</v>
      </c>
      <c r="N5" s="111">
        <f t="shared" si="0"/>
        <v>43818</v>
      </c>
      <c r="O5" s="111">
        <f t="shared" si="0"/>
        <v>43819</v>
      </c>
      <c r="P5" s="110">
        <f t="shared" si="0"/>
        <v>43820</v>
      </c>
      <c r="Q5" s="112">
        <f t="shared" si="0"/>
        <v>43821</v>
      </c>
      <c r="R5" s="111">
        <f t="shared" si="0"/>
        <v>43822</v>
      </c>
      <c r="S5" s="111">
        <f t="shared" si="0"/>
        <v>43823</v>
      </c>
      <c r="T5" s="111">
        <f t="shared" si="0"/>
        <v>43824</v>
      </c>
      <c r="U5" s="111">
        <f t="shared" si="0"/>
        <v>43825</v>
      </c>
      <c r="V5" s="111">
        <f t="shared" si="0"/>
        <v>43826</v>
      </c>
      <c r="W5" s="110">
        <f t="shared" si="0"/>
        <v>43827</v>
      </c>
      <c r="X5" s="112">
        <f t="shared" si="0"/>
        <v>43828</v>
      </c>
      <c r="Y5" s="111">
        <f t="shared" si="0"/>
        <v>43829</v>
      </c>
      <c r="Z5" s="111">
        <f t="shared" si="0"/>
        <v>43830</v>
      </c>
      <c r="AA5" s="111">
        <f t="shared" si="0"/>
        <v>43831</v>
      </c>
      <c r="AB5" s="111">
        <f t="shared" si="0"/>
        <v>43832</v>
      </c>
      <c r="AC5" s="111">
        <f t="shared" si="0"/>
        <v>43833</v>
      </c>
      <c r="AD5" s="110">
        <f t="shared" si="0"/>
        <v>43834</v>
      </c>
      <c r="AE5" s="112">
        <f t="shared" si="0"/>
        <v>43835</v>
      </c>
      <c r="AF5" s="111">
        <f t="shared" si="0"/>
        <v>43836</v>
      </c>
      <c r="AG5" s="111">
        <f t="shared" si="0"/>
        <v>43837</v>
      </c>
      <c r="AH5" s="111">
        <f t="shared" si="0"/>
        <v>43838</v>
      </c>
      <c r="AI5" s="111">
        <f t="shared" si="0"/>
        <v>43839</v>
      </c>
      <c r="AJ5" s="111">
        <f t="shared" si="0"/>
        <v>43840</v>
      </c>
      <c r="AK5" s="110">
        <f t="shared" si="0"/>
        <v>43841</v>
      </c>
      <c r="AL5" s="112">
        <f t="shared" si="0"/>
        <v>43842</v>
      </c>
      <c r="AM5" s="111">
        <f t="shared" si="0"/>
        <v>43843</v>
      </c>
      <c r="AN5" s="111">
        <f t="shared" si="0"/>
        <v>43844</v>
      </c>
      <c r="AO5" s="111">
        <f t="shared" si="0"/>
        <v>43845</v>
      </c>
      <c r="AP5" s="111">
        <f t="shared" si="0"/>
        <v>43846</v>
      </c>
      <c r="AQ5" s="111">
        <f t="shared" ref="AQ5:BM5" si="1">AP5+1</f>
        <v>43847</v>
      </c>
      <c r="AR5" s="110">
        <f t="shared" si="1"/>
        <v>43848</v>
      </c>
      <c r="AS5" s="112">
        <f t="shared" si="1"/>
        <v>43849</v>
      </c>
      <c r="AT5" s="111">
        <f t="shared" si="1"/>
        <v>43850</v>
      </c>
      <c r="AU5" s="111">
        <f t="shared" si="1"/>
        <v>43851</v>
      </c>
      <c r="AV5" s="111">
        <f t="shared" si="1"/>
        <v>43852</v>
      </c>
      <c r="AW5" s="111">
        <f t="shared" si="1"/>
        <v>43853</v>
      </c>
      <c r="AX5" s="111">
        <f t="shared" si="1"/>
        <v>43854</v>
      </c>
      <c r="AY5" s="110">
        <f t="shared" si="1"/>
        <v>43855</v>
      </c>
      <c r="AZ5" s="112">
        <f t="shared" si="1"/>
        <v>43856</v>
      </c>
      <c r="BA5" s="111">
        <f t="shared" si="1"/>
        <v>43857</v>
      </c>
      <c r="BB5" s="111">
        <f t="shared" si="1"/>
        <v>43858</v>
      </c>
      <c r="BC5" s="111">
        <f t="shared" si="1"/>
        <v>43859</v>
      </c>
      <c r="BD5" s="111">
        <f t="shared" si="1"/>
        <v>43860</v>
      </c>
      <c r="BE5" s="111">
        <f t="shared" si="1"/>
        <v>43861</v>
      </c>
      <c r="BF5" s="110">
        <f t="shared" si="1"/>
        <v>43862</v>
      </c>
      <c r="BG5" s="112">
        <f t="shared" si="1"/>
        <v>43863</v>
      </c>
      <c r="BH5" s="111">
        <f t="shared" si="1"/>
        <v>43864</v>
      </c>
      <c r="BI5" s="111">
        <f t="shared" si="1"/>
        <v>43865</v>
      </c>
      <c r="BJ5" s="111">
        <f t="shared" si="1"/>
        <v>43866</v>
      </c>
      <c r="BK5" s="111">
        <f t="shared" si="1"/>
        <v>43867</v>
      </c>
      <c r="BL5" s="111">
        <f t="shared" si="1"/>
        <v>43868</v>
      </c>
      <c r="BM5" s="110">
        <f t="shared" si="1"/>
        <v>43869</v>
      </c>
    </row>
    <row r="6" spans="1:65" ht="30" customHeight="1" thickBot="1" x14ac:dyDescent="0.35">
      <c r="A6" s="59" t="s">
        <v>324</v>
      </c>
      <c r="B6" s="109" t="s">
        <v>323</v>
      </c>
      <c r="C6" s="108" t="s">
        <v>322</v>
      </c>
      <c r="D6" s="108" t="s">
        <v>321</v>
      </c>
      <c r="E6" s="108" t="s">
        <v>320</v>
      </c>
      <c r="F6" s="108" t="s">
        <v>319</v>
      </c>
      <c r="G6" s="108"/>
      <c r="H6" s="108" t="s">
        <v>318</v>
      </c>
      <c r="I6" s="107" t="s">
        <v>317</v>
      </c>
      <c r="J6" s="106" t="str">
        <f t="shared" ref="J6:AO6" si="2">LEFT(TEXT(J5,"aaa"),1)</f>
        <v>日</v>
      </c>
      <c r="K6" s="106" t="str">
        <f t="shared" si="2"/>
        <v>一</v>
      </c>
      <c r="L6" s="106" t="str">
        <f t="shared" si="2"/>
        <v>二</v>
      </c>
      <c r="M6" s="106" t="str">
        <f t="shared" si="2"/>
        <v>三</v>
      </c>
      <c r="N6" s="106" t="str">
        <f t="shared" si="2"/>
        <v>四</v>
      </c>
      <c r="O6" s="106" t="str">
        <f t="shared" si="2"/>
        <v>五</v>
      </c>
      <c r="P6" s="106" t="str">
        <f t="shared" si="2"/>
        <v>六</v>
      </c>
      <c r="Q6" s="106" t="str">
        <f t="shared" si="2"/>
        <v>日</v>
      </c>
      <c r="R6" s="106" t="str">
        <f t="shared" si="2"/>
        <v>一</v>
      </c>
      <c r="S6" s="106" t="str">
        <f t="shared" si="2"/>
        <v>二</v>
      </c>
      <c r="T6" s="106" t="str">
        <f t="shared" si="2"/>
        <v>三</v>
      </c>
      <c r="U6" s="106" t="str">
        <f t="shared" si="2"/>
        <v>四</v>
      </c>
      <c r="V6" s="106" t="str">
        <f t="shared" si="2"/>
        <v>五</v>
      </c>
      <c r="W6" s="106" t="str">
        <f t="shared" si="2"/>
        <v>六</v>
      </c>
      <c r="X6" s="106" t="str">
        <f t="shared" si="2"/>
        <v>日</v>
      </c>
      <c r="Y6" s="106" t="str">
        <f t="shared" si="2"/>
        <v>一</v>
      </c>
      <c r="Z6" s="106" t="str">
        <f t="shared" si="2"/>
        <v>二</v>
      </c>
      <c r="AA6" s="106" t="str">
        <f t="shared" si="2"/>
        <v>三</v>
      </c>
      <c r="AB6" s="106" t="str">
        <f t="shared" si="2"/>
        <v>四</v>
      </c>
      <c r="AC6" s="106" t="str">
        <f t="shared" si="2"/>
        <v>五</v>
      </c>
      <c r="AD6" s="106" t="str">
        <f t="shared" si="2"/>
        <v>六</v>
      </c>
      <c r="AE6" s="106" t="str">
        <f t="shared" si="2"/>
        <v>日</v>
      </c>
      <c r="AF6" s="106" t="str">
        <f t="shared" si="2"/>
        <v>一</v>
      </c>
      <c r="AG6" s="106" t="str">
        <f t="shared" si="2"/>
        <v>二</v>
      </c>
      <c r="AH6" s="106" t="str">
        <f t="shared" si="2"/>
        <v>三</v>
      </c>
      <c r="AI6" s="106" t="str">
        <f t="shared" si="2"/>
        <v>四</v>
      </c>
      <c r="AJ6" s="106" t="str">
        <f t="shared" si="2"/>
        <v>五</v>
      </c>
      <c r="AK6" s="106" t="str">
        <f t="shared" si="2"/>
        <v>六</v>
      </c>
      <c r="AL6" s="106" t="str">
        <f t="shared" si="2"/>
        <v>日</v>
      </c>
      <c r="AM6" s="106" t="str">
        <f t="shared" si="2"/>
        <v>一</v>
      </c>
      <c r="AN6" s="106" t="str">
        <f t="shared" si="2"/>
        <v>二</v>
      </c>
      <c r="AO6" s="106" t="str">
        <f t="shared" si="2"/>
        <v>三</v>
      </c>
      <c r="AP6" s="106" t="str">
        <f t="shared" ref="AP6:BM6" si="3">LEFT(TEXT(AP5,"aaa"),1)</f>
        <v>四</v>
      </c>
      <c r="AQ6" s="106" t="str">
        <f t="shared" si="3"/>
        <v>五</v>
      </c>
      <c r="AR6" s="106" t="str">
        <f t="shared" si="3"/>
        <v>六</v>
      </c>
      <c r="AS6" s="106" t="str">
        <f t="shared" si="3"/>
        <v>日</v>
      </c>
      <c r="AT6" s="106" t="str">
        <f t="shared" si="3"/>
        <v>一</v>
      </c>
      <c r="AU6" s="106" t="str">
        <f t="shared" si="3"/>
        <v>二</v>
      </c>
      <c r="AV6" s="106" t="str">
        <f t="shared" si="3"/>
        <v>三</v>
      </c>
      <c r="AW6" s="106" t="str">
        <f t="shared" si="3"/>
        <v>四</v>
      </c>
      <c r="AX6" s="106" t="str">
        <f t="shared" si="3"/>
        <v>五</v>
      </c>
      <c r="AY6" s="106" t="str">
        <f t="shared" si="3"/>
        <v>六</v>
      </c>
      <c r="AZ6" s="106" t="str">
        <f t="shared" si="3"/>
        <v>日</v>
      </c>
      <c r="BA6" s="106" t="str">
        <f t="shared" si="3"/>
        <v>一</v>
      </c>
      <c r="BB6" s="106" t="str">
        <f t="shared" si="3"/>
        <v>二</v>
      </c>
      <c r="BC6" s="106" t="str">
        <f t="shared" si="3"/>
        <v>三</v>
      </c>
      <c r="BD6" s="106" t="str">
        <f t="shared" si="3"/>
        <v>四</v>
      </c>
      <c r="BE6" s="106" t="str">
        <f t="shared" si="3"/>
        <v>五</v>
      </c>
      <c r="BF6" s="106" t="str">
        <f t="shared" si="3"/>
        <v>六</v>
      </c>
      <c r="BG6" s="106" t="str">
        <f t="shared" si="3"/>
        <v>日</v>
      </c>
      <c r="BH6" s="106" t="str">
        <f t="shared" si="3"/>
        <v>一</v>
      </c>
      <c r="BI6" s="106" t="str">
        <f t="shared" si="3"/>
        <v>二</v>
      </c>
      <c r="BJ6" s="106" t="str">
        <f t="shared" si="3"/>
        <v>三</v>
      </c>
      <c r="BK6" s="106" t="str">
        <f t="shared" si="3"/>
        <v>四</v>
      </c>
      <c r="BL6" s="106" t="str">
        <f t="shared" si="3"/>
        <v>五</v>
      </c>
      <c r="BM6" s="106" t="str">
        <f t="shared" si="3"/>
        <v>六</v>
      </c>
    </row>
    <row r="7" spans="1:65" ht="30" hidden="1" customHeight="1" thickBot="1" x14ac:dyDescent="0.35">
      <c r="A7" s="46" t="s">
        <v>316</v>
      </c>
      <c r="C7" s="105"/>
      <c r="E7" s="44"/>
      <c r="H7" s="44" t="str">
        <f t="shared" ref="H7:H38" si="4">IF(OR(ISBLANK(task_start),ISBLANK(task_end)),"",task_end-task_start+1)</f>
        <v/>
      </c>
      <c r="J7" s="60"/>
      <c r="K7" s="60"/>
      <c r="L7" s="60"/>
      <c r="M7" s="60"/>
      <c r="N7" s="60"/>
      <c r="O7" s="60"/>
      <c r="P7" s="60"/>
      <c r="Q7" s="60"/>
      <c r="R7" s="60"/>
      <c r="S7" s="60"/>
      <c r="T7" s="60"/>
      <c r="U7" s="60"/>
      <c r="V7" s="60"/>
      <c r="W7" s="60"/>
      <c r="X7" s="60"/>
      <c r="Y7" s="60"/>
      <c r="Z7" s="60"/>
      <c r="AA7" s="60"/>
      <c r="AB7" s="60"/>
      <c r="AC7" s="60"/>
      <c r="AD7" s="60"/>
      <c r="AE7" s="60"/>
      <c r="AF7" s="60"/>
      <c r="AG7" s="60"/>
      <c r="AH7" s="60"/>
      <c r="AI7" s="60"/>
      <c r="AJ7" s="60"/>
      <c r="AK7" s="60"/>
      <c r="AL7" s="60"/>
      <c r="AM7" s="60"/>
      <c r="AN7" s="60"/>
      <c r="AO7" s="60"/>
      <c r="AP7" s="60"/>
      <c r="AQ7" s="60"/>
      <c r="AR7" s="60"/>
      <c r="AS7" s="60"/>
      <c r="AT7" s="60"/>
      <c r="AU7" s="60"/>
      <c r="AV7" s="60"/>
      <c r="AW7" s="60"/>
      <c r="AX7" s="60"/>
      <c r="AY7" s="60"/>
      <c r="AZ7" s="60"/>
      <c r="BA7" s="60"/>
      <c r="BB7" s="60"/>
      <c r="BC7" s="60"/>
      <c r="BD7" s="60"/>
      <c r="BE7" s="60"/>
      <c r="BF7" s="60"/>
      <c r="BG7" s="60"/>
      <c r="BH7" s="60"/>
      <c r="BI7" s="60"/>
      <c r="BJ7" s="60"/>
      <c r="BK7" s="60"/>
      <c r="BL7" s="60"/>
      <c r="BM7" s="60"/>
    </row>
    <row r="8" spans="1:65" s="51" customFormat="1" ht="30" customHeight="1" thickBot="1" x14ac:dyDescent="0.35">
      <c r="A8" s="59" t="s">
        <v>315</v>
      </c>
      <c r="B8" s="104" t="s">
        <v>314</v>
      </c>
      <c r="C8" s="103"/>
      <c r="D8" s="102"/>
      <c r="E8" s="101"/>
      <c r="F8" s="100"/>
      <c r="G8" s="61"/>
      <c r="H8" s="61" t="str">
        <f t="shared" si="4"/>
        <v/>
      </c>
      <c r="I8" s="66"/>
      <c r="J8" s="60"/>
      <c r="K8" s="60"/>
      <c r="L8" s="60"/>
      <c r="M8" s="60"/>
      <c r="N8" s="60"/>
      <c r="O8" s="60"/>
      <c r="P8" s="60"/>
      <c r="Q8" s="60"/>
      <c r="R8" s="60"/>
      <c r="S8" s="60"/>
      <c r="T8" s="60"/>
      <c r="U8" s="60"/>
      <c r="V8" s="60"/>
      <c r="W8" s="60"/>
      <c r="X8" s="60"/>
      <c r="Y8" s="60"/>
      <c r="Z8" s="60"/>
      <c r="AA8" s="60"/>
      <c r="AB8" s="60"/>
      <c r="AC8" s="60"/>
      <c r="AD8" s="60"/>
      <c r="AE8" s="60"/>
      <c r="AF8" s="60"/>
      <c r="AG8" s="60"/>
      <c r="AH8" s="60"/>
      <c r="AI8" s="60"/>
      <c r="AJ8" s="60"/>
      <c r="AK8" s="60"/>
      <c r="AL8" s="60"/>
      <c r="AM8" s="60"/>
      <c r="AN8" s="60"/>
      <c r="AO8" s="60"/>
      <c r="AP8" s="60"/>
      <c r="AQ8" s="60"/>
      <c r="AR8" s="60"/>
      <c r="AS8" s="60"/>
      <c r="AT8" s="60"/>
      <c r="AU8" s="60"/>
      <c r="AV8" s="60"/>
      <c r="AW8" s="60"/>
      <c r="AX8" s="60"/>
      <c r="AY8" s="60"/>
      <c r="AZ8" s="60"/>
      <c r="BA8" s="60"/>
      <c r="BB8" s="60"/>
      <c r="BC8" s="60"/>
      <c r="BD8" s="60"/>
      <c r="BE8" s="60"/>
      <c r="BF8" s="60"/>
      <c r="BG8" s="60"/>
      <c r="BH8" s="60"/>
      <c r="BI8" s="60"/>
      <c r="BJ8" s="60"/>
      <c r="BK8" s="60"/>
      <c r="BL8" s="60"/>
      <c r="BM8" s="60"/>
    </row>
    <row r="9" spans="1:65" s="51" customFormat="1" ht="30" customHeight="1" thickBot="1" x14ac:dyDescent="0.35">
      <c r="A9" s="59" t="s">
        <v>313</v>
      </c>
      <c r="B9" s="99" t="s">
        <v>312</v>
      </c>
      <c r="C9" s="98" t="s">
        <v>285</v>
      </c>
      <c r="D9" s="97">
        <v>0.8</v>
      </c>
      <c r="E9" s="96">
        <v>43647</v>
      </c>
      <c r="F9" s="96">
        <f>E9+2</f>
        <v>43649</v>
      </c>
      <c r="G9" s="61"/>
      <c r="H9" s="61">
        <f t="shared" si="4"/>
        <v>3</v>
      </c>
      <c r="I9" s="66" t="s">
        <v>311</v>
      </c>
      <c r="J9" s="60"/>
      <c r="K9" s="60"/>
      <c r="L9" s="60"/>
      <c r="M9" s="60"/>
      <c r="N9" s="60"/>
      <c r="O9" s="60"/>
      <c r="P9" s="60"/>
      <c r="Q9" s="60"/>
      <c r="R9" s="60"/>
      <c r="S9" s="60"/>
      <c r="T9" s="60"/>
      <c r="U9" s="60"/>
      <c r="V9" s="60"/>
      <c r="W9" s="60"/>
      <c r="X9" s="60"/>
      <c r="Y9" s="60"/>
      <c r="Z9" s="60"/>
      <c r="AA9" s="60"/>
      <c r="AB9" s="60"/>
      <c r="AC9" s="60"/>
      <c r="AD9" s="60"/>
      <c r="AE9" s="60"/>
      <c r="AF9" s="60"/>
      <c r="AG9" s="60"/>
      <c r="AH9" s="60"/>
      <c r="AI9" s="60"/>
      <c r="AJ9" s="60"/>
      <c r="AK9" s="60"/>
      <c r="AL9" s="60"/>
      <c r="AM9" s="60"/>
      <c r="AN9" s="60"/>
      <c r="AO9" s="60"/>
      <c r="AP9" s="60"/>
      <c r="AQ9" s="60"/>
      <c r="AR9" s="60"/>
      <c r="AS9" s="60"/>
      <c r="AT9" s="60"/>
      <c r="AU9" s="60"/>
      <c r="AV9" s="60"/>
      <c r="AW9" s="60"/>
      <c r="AX9" s="60"/>
      <c r="AY9" s="60"/>
      <c r="AZ9" s="60"/>
      <c r="BA9" s="60"/>
      <c r="BB9" s="60"/>
      <c r="BC9" s="60"/>
      <c r="BD9" s="60"/>
      <c r="BE9" s="60"/>
      <c r="BF9" s="60"/>
      <c r="BG9" s="60"/>
      <c r="BH9" s="60"/>
      <c r="BI9" s="60"/>
      <c r="BJ9" s="60"/>
      <c r="BK9" s="60"/>
      <c r="BL9" s="60"/>
      <c r="BM9" s="60"/>
    </row>
    <row r="10" spans="1:65" s="51" customFormat="1" ht="30" customHeight="1" thickBot="1" x14ac:dyDescent="0.35">
      <c r="A10" s="59"/>
      <c r="B10" s="99" t="s">
        <v>310</v>
      </c>
      <c r="C10" s="98" t="s">
        <v>285</v>
      </c>
      <c r="D10" s="97">
        <v>1</v>
      </c>
      <c r="E10" s="96">
        <v>43649</v>
      </c>
      <c r="F10" s="96">
        <f>E10+1</f>
        <v>43650</v>
      </c>
      <c r="G10" s="61"/>
      <c r="H10" s="61">
        <f t="shared" si="4"/>
        <v>2</v>
      </c>
      <c r="I10" s="66"/>
      <c r="J10" s="60"/>
      <c r="K10" s="60"/>
      <c r="L10" s="60"/>
      <c r="M10" s="60"/>
      <c r="N10" s="60"/>
      <c r="O10" s="60"/>
      <c r="P10" s="60"/>
      <c r="Q10" s="60"/>
      <c r="R10" s="60"/>
      <c r="S10" s="60"/>
      <c r="T10" s="60"/>
      <c r="U10" s="60"/>
      <c r="V10" s="60"/>
      <c r="W10" s="60"/>
      <c r="X10" s="60"/>
      <c r="Y10" s="60"/>
      <c r="Z10" s="60"/>
      <c r="AA10" s="60"/>
      <c r="AB10" s="60"/>
      <c r="AC10" s="60"/>
      <c r="AD10" s="60"/>
      <c r="AE10" s="60"/>
      <c r="AF10" s="60"/>
      <c r="AG10" s="60"/>
      <c r="AH10" s="60"/>
      <c r="AI10" s="60"/>
      <c r="AJ10" s="60"/>
      <c r="AK10" s="60"/>
      <c r="AL10" s="60"/>
      <c r="AM10" s="60"/>
      <c r="AN10" s="60"/>
      <c r="AO10" s="60"/>
      <c r="AP10" s="60"/>
      <c r="AQ10" s="60"/>
      <c r="AR10" s="60"/>
      <c r="AS10" s="60"/>
      <c r="AT10" s="60"/>
      <c r="AU10" s="60"/>
      <c r="AV10" s="60"/>
      <c r="AW10" s="60"/>
      <c r="AX10" s="60"/>
      <c r="AY10" s="60"/>
      <c r="AZ10" s="60"/>
      <c r="BA10" s="60"/>
      <c r="BB10" s="60"/>
      <c r="BC10" s="60"/>
      <c r="BD10" s="60"/>
      <c r="BE10" s="60"/>
      <c r="BF10" s="60"/>
      <c r="BG10" s="60"/>
      <c r="BH10" s="60"/>
      <c r="BI10" s="60"/>
      <c r="BJ10" s="60"/>
      <c r="BK10" s="60"/>
      <c r="BL10" s="60"/>
      <c r="BM10" s="60"/>
    </row>
    <row r="11" spans="1:65" s="51" customFormat="1" ht="30" customHeight="1" thickBot="1" x14ac:dyDescent="0.35">
      <c r="A11" s="59" t="s">
        <v>309</v>
      </c>
      <c r="B11" s="99" t="s">
        <v>308</v>
      </c>
      <c r="C11" s="98" t="s">
        <v>285</v>
      </c>
      <c r="D11" s="97">
        <v>1</v>
      </c>
      <c r="E11" s="96">
        <v>43647</v>
      </c>
      <c r="F11" s="96">
        <f>E11+2</f>
        <v>43649</v>
      </c>
      <c r="G11" s="61"/>
      <c r="H11" s="61">
        <f t="shared" si="4"/>
        <v>3</v>
      </c>
      <c r="I11" s="66"/>
      <c r="J11" s="60"/>
      <c r="K11" s="60"/>
      <c r="L11" s="60"/>
      <c r="M11" s="60"/>
      <c r="N11" s="60"/>
      <c r="O11" s="60"/>
      <c r="P11" s="60"/>
      <c r="Q11" s="60"/>
      <c r="R11" s="60"/>
      <c r="S11" s="60"/>
      <c r="T11" s="60"/>
      <c r="U11" s="60"/>
      <c r="V11" s="90"/>
      <c r="W11" s="90"/>
      <c r="X11" s="60"/>
      <c r="Y11" s="60"/>
      <c r="Z11" s="60"/>
      <c r="AA11" s="60"/>
      <c r="AB11" s="60"/>
      <c r="AC11" s="60"/>
      <c r="AD11" s="60"/>
      <c r="AE11" s="60"/>
      <c r="AF11" s="60"/>
      <c r="AG11" s="60"/>
      <c r="AH11" s="60"/>
      <c r="AI11" s="60"/>
      <c r="AJ11" s="60"/>
      <c r="AK11" s="60"/>
      <c r="AL11" s="60"/>
      <c r="AM11" s="60"/>
      <c r="AN11" s="60"/>
      <c r="AO11" s="60"/>
      <c r="AP11" s="60"/>
      <c r="AQ11" s="60"/>
      <c r="AR11" s="60"/>
      <c r="AS11" s="60"/>
      <c r="AT11" s="60"/>
      <c r="AU11" s="60"/>
      <c r="AV11" s="60"/>
      <c r="AW11" s="60"/>
      <c r="AX11" s="60"/>
      <c r="AY11" s="60"/>
      <c r="AZ11" s="60"/>
      <c r="BA11" s="60"/>
      <c r="BB11" s="60"/>
      <c r="BC11" s="60"/>
      <c r="BD11" s="60"/>
      <c r="BE11" s="60"/>
      <c r="BF11" s="60"/>
      <c r="BG11" s="60"/>
      <c r="BH11" s="60"/>
      <c r="BI11" s="60"/>
      <c r="BJ11" s="60"/>
      <c r="BK11" s="60"/>
      <c r="BL11" s="60"/>
      <c r="BM11" s="60"/>
    </row>
    <row r="12" spans="1:65" s="51" customFormat="1" ht="30" customHeight="1" thickBot="1" x14ac:dyDescent="0.35">
      <c r="A12" s="46"/>
      <c r="B12" s="99" t="s">
        <v>307</v>
      </c>
      <c r="C12" s="98" t="s">
        <v>285</v>
      </c>
      <c r="D12" s="97">
        <v>1</v>
      </c>
      <c r="E12" s="96">
        <v>43650</v>
      </c>
      <c r="F12" s="96">
        <f>E12+6</f>
        <v>43656</v>
      </c>
      <c r="G12" s="61"/>
      <c r="H12" s="61">
        <f t="shared" si="4"/>
        <v>7</v>
      </c>
      <c r="I12" s="66"/>
      <c r="J12" s="60"/>
      <c r="K12" s="60"/>
      <c r="L12" s="60"/>
      <c r="M12" s="60"/>
      <c r="N12" s="60"/>
      <c r="O12" s="60"/>
      <c r="P12" s="60"/>
      <c r="Q12" s="60"/>
      <c r="R12" s="60"/>
      <c r="S12" s="60"/>
      <c r="T12" s="60"/>
      <c r="U12" s="60"/>
      <c r="V12" s="60"/>
      <c r="W12" s="60"/>
      <c r="X12" s="60"/>
      <c r="Y12" s="60"/>
      <c r="Z12" s="60"/>
      <c r="AA12" s="60"/>
      <c r="AB12" s="60"/>
      <c r="AC12" s="60"/>
      <c r="AD12" s="60"/>
      <c r="AE12" s="60"/>
      <c r="AF12" s="60"/>
      <c r="AG12" s="60"/>
      <c r="AH12" s="60"/>
      <c r="AI12" s="60"/>
      <c r="AJ12" s="60"/>
      <c r="AK12" s="60"/>
      <c r="AL12" s="60"/>
      <c r="AM12" s="60"/>
      <c r="AN12" s="60"/>
      <c r="AO12" s="60"/>
      <c r="AP12" s="60"/>
      <c r="AQ12" s="60"/>
      <c r="AR12" s="60"/>
      <c r="AS12" s="60"/>
      <c r="AT12" s="60"/>
      <c r="AU12" s="60"/>
      <c r="AV12" s="60"/>
      <c r="AW12" s="60"/>
      <c r="AX12" s="60"/>
      <c r="AY12" s="60"/>
      <c r="AZ12" s="60"/>
      <c r="BA12" s="60"/>
      <c r="BB12" s="60"/>
      <c r="BC12" s="60"/>
      <c r="BD12" s="60"/>
      <c r="BE12" s="60"/>
      <c r="BF12" s="60"/>
      <c r="BG12" s="60"/>
      <c r="BH12" s="60"/>
      <c r="BI12" s="60"/>
      <c r="BJ12" s="60"/>
      <c r="BK12" s="60"/>
      <c r="BL12" s="60"/>
      <c r="BM12" s="60"/>
    </row>
    <row r="13" spans="1:65" s="51" customFormat="1" ht="30" customHeight="1" thickBot="1" x14ac:dyDescent="0.35">
      <c r="A13" s="46"/>
      <c r="B13" s="99" t="s">
        <v>306</v>
      </c>
      <c r="C13" s="98" t="s">
        <v>285</v>
      </c>
      <c r="D13" s="97">
        <v>0.9</v>
      </c>
      <c r="E13" s="96">
        <v>43658</v>
      </c>
      <c r="F13" s="96">
        <f>E13+14</f>
        <v>43672</v>
      </c>
      <c r="G13" s="61"/>
      <c r="H13" s="61">
        <f t="shared" si="4"/>
        <v>15</v>
      </c>
      <c r="I13" s="89" t="s">
        <v>305</v>
      </c>
      <c r="J13" s="60"/>
      <c r="K13" s="60"/>
      <c r="L13" s="60"/>
      <c r="M13" s="60"/>
      <c r="N13" s="60"/>
      <c r="O13" s="60"/>
      <c r="P13" s="60"/>
      <c r="Q13" s="60"/>
      <c r="R13" s="60"/>
      <c r="S13" s="60"/>
      <c r="T13" s="60"/>
      <c r="U13" s="60"/>
      <c r="V13" s="60"/>
      <c r="W13" s="60"/>
      <c r="X13" s="60"/>
      <c r="Y13" s="60"/>
      <c r="Z13" s="90"/>
      <c r="AA13" s="60"/>
      <c r="AB13" s="60"/>
      <c r="AC13" s="60"/>
      <c r="AD13" s="60"/>
      <c r="AE13" s="60"/>
      <c r="AF13" s="60"/>
      <c r="AG13" s="60"/>
      <c r="AH13" s="60"/>
      <c r="AI13" s="60"/>
      <c r="AJ13" s="60"/>
      <c r="AK13" s="60"/>
      <c r="AL13" s="60"/>
      <c r="AM13" s="60"/>
      <c r="AN13" s="60"/>
      <c r="AO13" s="60"/>
      <c r="AP13" s="60"/>
      <c r="AQ13" s="60"/>
      <c r="AR13" s="60"/>
      <c r="AS13" s="60"/>
      <c r="AT13" s="60"/>
      <c r="AU13" s="60"/>
      <c r="AV13" s="60"/>
      <c r="AW13" s="60"/>
      <c r="AX13" s="60"/>
      <c r="AY13" s="60"/>
      <c r="AZ13" s="60"/>
      <c r="BA13" s="60"/>
      <c r="BB13" s="60"/>
      <c r="BC13" s="60"/>
      <c r="BD13" s="60"/>
      <c r="BE13" s="60"/>
      <c r="BF13" s="60"/>
      <c r="BG13" s="60"/>
      <c r="BH13" s="60"/>
      <c r="BI13" s="60"/>
      <c r="BJ13" s="60"/>
      <c r="BK13" s="60"/>
      <c r="BL13" s="60"/>
      <c r="BM13" s="60"/>
    </row>
    <row r="14" spans="1:65" s="51" customFormat="1" ht="30" customHeight="1" thickBot="1" x14ac:dyDescent="0.35">
      <c r="A14" s="46"/>
      <c r="B14" s="99" t="s">
        <v>304</v>
      </c>
      <c r="C14" s="98" t="s">
        <v>285</v>
      </c>
      <c r="D14" s="97">
        <v>1</v>
      </c>
      <c r="E14" s="96">
        <v>43661</v>
      </c>
      <c r="F14" s="96">
        <f>E14+10</f>
        <v>43671</v>
      </c>
      <c r="G14" s="61"/>
      <c r="H14" s="61">
        <f t="shared" si="4"/>
        <v>11</v>
      </c>
      <c r="I14" s="66"/>
      <c r="J14" s="60"/>
      <c r="K14" s="60"/>
      <c r="L14" s="60"/>
      <c r="M14" s="60"/>
      <c r="N14" s="60"/>
      <c r="O14" s="60"/>
      <c r="P14" s="60"/>
      <c r="Q14" s="60"/>
      <c r="R14" s="60"/>
      <c r="S14" s="60"/>
      <c r="T14" s="60"/>
      <c r="U14" s="60"/>
      <c r="V14" s="60"/>
      <c r="W14" s="60"/>
      <c r="X14" s="60"/>
      <c r="Y14" s="60"/>
      <c r="Z14" s="60"/>
      <c r="AA14" s="60"/>
      <c r="AB14" s="60"/>
      <c r="AC14" s="60"/>
      <c r="AD14" s="60"/>
      <c r="AE14" s="60"/>
      <c r="AF14" s="60"/>
      <c r="AG14" s="60"/>
      <c r="AH14" s="60"/>
      <c r="AI14" s="60"/>
      <c r="AJ14" s="60"/>
      <c r="AK14" s="60"/>
      <c r="AL14" s="60"/>
      <c r="AM14" s="60"/>
      <c r="AN14" s="60"/>
      <c r="AO14" s="60"/>
      <c r="AP14" s="60"/>
      <c r="AQ14" s="60"/>
      <c r="AR14" s="60"/>
      <c r="AS14" s="60"/>
      <c r="AT14" s="60"/>
      <c r="AU14" s="60"/>
      <c r="AV14" s="60"/>
      <c r="AW14" s="60"/>
      <c r="AX14" s="60"/>
      <c r="AY14" s="60"/>
      <c r="AZ14" s="60"/>
      <c r="BA14" s="60"/>
      <c r="BB14" s="60"/>
      <c r="BC14" s="60"/>
      <c r="BD14" s="60"/>
      <c r="BE14" s="60"/>
      <c r="BF14" s="60"/>
      <c r="BG14" s="60"/>
      <c r="BH14" s="60"/>
      <c r="BI14" s="60"/>
      <c r="BJ14" s="60"/>
      <c r="BK14" s="60"/>
      <c r="BL14" s="60"/>
      <c r="BM14" s="60"/>
    </row>
    <row r="15" spans="1:65" s="51" customFormat="1" ht="30" customHeight="1" thickBot="1" x14ac:dyDescent="0.35">
      <c r="A15" s="46"/>
      <c r="B15" s="99" t="s">
        <v>303</v>
      </c>
      <c r="C15" s="98" t="s">
        <v>285</v>
      </c>
      <c r="D15" s="97">
        <v>1</v>
      </c>
      <c r="E15" s="96">
        <v>43674</v>
      </c>
      <c r="F15" s="96">
        <f>E15+5</f>
        <v>43679</v>
      </c>
      <c r="G15" s="61"/>
      <c r="H15" s="61">
        <f t="shared" si="4"/>
        <v>6</v>
      </c>
      <c r="I15" s="66"/>
      <c r="J15" s="60"/>
      <c r="K15" s="60"/>
      <c r="L15" s="60"/>
      <c r="M15" s="60"/>
      <c r="N15" s="60"/>
      <c r="O15" s="60"/>
      <c r="P15" s="60"/>
      <c r="Q15" s="60"/>
      <c r="R15" s="60"/>
      <c r="S15" s="60"/>
      <c r="T15" s="60"/>
      <c r="U15" s="60"/>
      <c r="V15" s="60"/>
      <c r="W15" s="60"/>
      <c r="X15" s="60"/>
      <c r="Y15" s="60"/>
      <c r="Z15" s="90"/>
      <c r="AA15" s="60"/>
      <c r="AB15" s="60"/>
      <c r="AC15" s="60"/>
      <c r="AD15" s="60"/>
      <c r="AE15" s="60"/>
      <c r="AF15" s="60"/>
      <c r="AG15" s="60"/>
      <c r="AH15" s="60"/>
      <c r="AI15" s="60"/>
      <c r="AJ15" s="60"/>
      <c r="AK15" s="60"/>
      <c r="AL15" s="60"/>
      <c r="AM15" s="60"/>
      <c r="AN15" s="60"/>
      <c r="AO15" s="60"/>
      <c r="AP15" s="60"/>
      <c r="AQ15" s="60"/>
      <c r="AR15" s="60"/>
      <c r="AS15" s="60"/>
      <c r="AT15" s="60"/>
      <c r="AU15" s="60"/>
      <c r="AV15" s="60"/>
      <c r="AW15" s="60"/>
      <c r="AX15" s="60"/>
      <c r="AY15" s="60"/>
      <c r="AZ15" s="60"/>
      <c r="BA15" s="60"/>
      <c r="BB15" s="60"/>
      <c r="BC15" s="60"/>
      <c r="BD15" s="60"/>
      <c r="BE15" s="60"/>
      <c r="BF15" s="60"/>
      <c r="BG15" s="60"/>
      <c r="BH15" s="60"/>
      <c r="BI15" s="60"/>
      <c r="BJ15" s="60"/>
      <c r="BK15" s="60"/>
      <c r="BL15" s="60"/>
      <c r="BM15" s="60"/>
    </row>
    <row r="16" spans="1:65" s="51" customFormat="1" ht="30" customHeight="1" thickBot="1" x14ac:dyDescent="0.35">
      <c r="A16" s="46"/>
      <c r="B16" s="99" t="s">
        <v>302</v>
      </c>
      <c r="C16" s="98" t="s">
        <v>285</v>
      </c>
      <c r="D16" s="97">
        <v>1</v>
      </c>
      <c r="E16" s="96">
        <v>43680</v>
      </c>
      <c r="F16" s="96">
        <f>E16+5</f>
        <v>43685</v>
      </c>
      <c r="G16" s="61"/>
      <c r="H16" s="61">
        <f t="shared" si="4"/>
        <v>6</v>
      </c>
      <c r="I16" s="66"/>
      <c r="J16" s="60"/>
      <c r="K16" s="60"/>
      <c r="L16" s="60"/>
      <c r="M16" s="60"/>
      <c r="N16" s="60"/>
      <c r="O16" s="60"/>
      <c r="P16" s="60"/>
      <c r="Q16" s="60"/>
      <c r="R16" s="60"/>
      <c r="S16" s="60"/>
      <c r="T16" s="60"/>
      <c r="U16" s="60"/>
      <c r="V16" s="60"/>
      <c r="W16" s="60"/>
      <c r="X16" s="60"/>
      <c r="Y16" s="60"/>
      <c r="Z16" s="90"/>
      <c r="AA16" s="60"/>
      <c r="AB16" s="60"/>
      <c r="AC16" s="60"/>
      <c r="AD16" s="60"/>
      <c r="AE16" s="60"/>
      <c r="AF16" s="60"/>
      <c r="AG16" s="60"/>
      <c r="AH16" s="60"/>
      <c r="AI16" s="60"/>
      <c r="AJ16" s="60"/>
      <c r="AK16" s="60"/>
      <c r="AL16" s="60"/>
      <c r="AM16" s="60"/>
      <c r="AN16" s="60"/>
      <c r="AO16" s="60"/>
      <c r="AP16" s="60"/>
      <c r="AQ16" s="60"/>
      <c r="AR16" s="60"/>
      <c r="AS16" s="60"/>
      <c r="AT16" s="60"/>
      <c r="AU16" s="60"/>
      <c r="AV16" s="60"/>
      <c r="AW16" s="60"/>
      <c r="AX16" s="60"/>
      <c r="AY16" s="60"/>
      <c r="AZ16" s="60"/>
      <c r="BA16" s="60"/>
      <c r="BB16" s="60"/>
      <c r="BC16" s="60"/>
      <c r="BD16" s="60"/>
      <c r="BE16" s="60"/>
      <c r="BF16" s="60"/>
      <c r="BG16" s="60"/>
      <c r="BH16" s="60"/>
      <c r="BI16" s="60"/>
      <c r="BJ16" s="60"/>
      <c r="BK16" s="60"/>
      <c r="BL16" s="60"/>
      <c r="BM16" s="60"/>
    </row>
    <row r="17" spans="1:65" s="51" customFormat="1" ht="30" customHeight="1" thickBot="1" x14ac:dyDescent="0.35">
      <c r="A17" s="46"/>
      <c r="B17" s="99" t="s">
        <v>301</v>
      </c>
      <c r="C17" s="98" t="s">
        <v>285</v>
      </c>
      <c r="D17" s="97">
        <v>1</v>
      </c>
      <c r="E17" s="96">
        <v>43682</v>
      </c>
      <c r="F17" s="96">
        <f>E17+5</f>
        <v>43687</v>
      </c>
      <c r="G17" s="61"/>
      <c r="H17" s="61">
        <f t="shared" si="4"/>
        <v>6</v>
      </c>
      <c r="I17" s="66"/>
      <c r="J17" s="60"/>
      <c r="K17" s="60"/>
      <c r="L17" s="60"/>
      <c r="M17" s="60"/>
      <c r="N17" s="60"/>
      <c r="O17" s="60"/>
      <c r="P17" s="60"/>
      <c r="Q17" s="60"/>
      <c r="R17" s="60"/>
      <c r="S17" s="60"/>
      <c r="T17" s="60"/>
      <c r="U17" s="60"/>
      <c r="V17" s="60"/>
      <c r="W17" s="60"/>
      <c r="X17" s="60"/>
      <c r="Y17" s="60"/>
      <c r="Z17" s="90"/>
      <c r="AA17" s="60"/>
      <c r="AB17" s="60"/>
      <c r="AC17" s="60"/>
      <c r="AD17" s="60"/>
      <c r="AE17" s="60"/>
      <c r="AF17" s="60"/>
      <c r="AG17" s="60"/>
      <c r="AH17" s="60"/>
      <c r="AI17" s="60"/>
      <c r="AJ17" s="60"/>
      <c r="AK17" s="60"/>
      <c r="AL17" s="60"/>
      <c r="AM17" s="60"/>
      <c r="AN17" s="60"/>
      <c r="AO17" s="60"/>
      <c r="AP17" s="60"/>
      <c r="AQ17" s="60"/>
      <c r="AR17" s="60"/>
      <c r="AS17" s="60"/>
      <c r="AT17" s="60"/>
      <c r="AU17" s="60"/>
      <c r="AV17" s="60"/>
      <c r="AW17" s="60"/>
      <c r="AX17" s="60"/>
      <c r="AY17" s="60"/>
      <c r="AZ17" s="60"/>
      <c r="BA17" s="60"/>
      <c r="BB17" s="60"/>
      <c r="BC17" s="60"/>
      <c r="BD17" s="60"/>
      <c r="BE17" s="60"/>
      <c r="BF17" s="60"/>
      <c r="BG17" s="60"/>
      <c r="BH17" s="60"/>
      <c r="BI17" s="60"/>
      <c r="BJ17" s="60"/>
      <c r="BK17" s="60"/>
      <c r="BL17" s="60"/>
      <c r="BM17" s="60"/>
    </row>
    <row r="18" spans="1:65" s="51" customFormat="1" ht="30" customHeight="1" thickBot="1" x14ac:dyDescent="0.35">
      <c r="A18" s="46"/>
      <c r="B18" s="99" t="s">
        <v>300</v>
      </c>
      <c r="C18" s="98" t="s">
        <v>285</v>
      </c>
      <c r="D18" s="97">
        <v>0.9</v>
      </c>
      <c r="E18" s="96">
        <v>43689</v>
      </c>
      <c r="F18" s="96">
        <f>E18+2</f>
        <v>43691</v>
      </c>
      <c r="G18" s="61"/>
      <c r="H18" s="61">
        <f t="shared" si="4"/>
        <v>3</v>
      </c>
      <c r="I18" s="89" t="s">
        <v>299</v>
      </c>
      <c r="J18" s="60"/>
      <c r="K18" s="60"/>
      <c r="L18" s="60"/>
      <c r="M18" s="60"/>
      <c r="N18" s="60"/>
      <c r="O18" s="60"/>
      <c r="P18" s="60"/>
      <c r="Q18" s="60"/>
      <c r="R18" s="60"/>
      <c r="S18" s="60"/>
      <c r="T18" s="60"/>
      <c r="U18" s="60"/>
      <c r="V18" s="60"/>
      <c r="W18" s="60"/>
      <c r="X18" s="60"/>
      <c r="Y18" s="60"/>
      <c r="Z18" s="90"/>
      <c r="AA18" s="60"/>
      <c r="AB18" s="60"/>
      <c r="AC18" s="60"/>
      <c r="AD18" s="60"/>
      <c r="AE18" s="60"/>
      <c r="AF18" s="60"/>
      <c r="AG18" s="60"/>
      <c r="AH18" s="60"/>
      <c r="AI18" s="60"/>
      <c r="AJ18" s="60"/>
      <c r="AK18" s="60"/>
      <c r="AL18" s="60"/>
      <c r="AM18" s="60"/>
      <c r="AN18" s="60"/>
      <c r="AO18" s="60"/>
      <c r="AP18" s="60"/>
      <c r="AQ18" s="60"/>
      <c r="AR18" s="60"/>
      <c r="AS18" s="60"/>
      <c r="AT18" s="60"/>
      <c r="AU18" s="60"/>
      <c r="AV18" s="60"/>
      <c r="AW18" s="60"/>
      <c r="AX18" s="60"/>
      <c r="AY18" s="60"/>
      <c r="AZ18" s="60"/>
      <c r="BA18" s="60"/>
      <c r="BB18" s="60"/>
      <c r="BC18" s="60"/>
      <c r="BD18" s="60"/>
      <c r="BE18" s="60"/>
      <c r="BF18" s="60"/>
      <c r="BG18" s="60"/>
      <c r="BH18" s="60"/>
      <c r="BI18" s="60"/>
      <c r="BJ18" s="60"/>
      <c r="BK18" s="60"/>
      <c r="BL18" s="60"/>
      <c r="BM18" s="60"/>
    </row>
    <row r="19" spans="1:65" s="51" customFormat="1" ht="30" customHeight="1" thickBot="1" x14ac:dyDescent="0.35">
      <c r="A19" s="46"/>
      <c r="B19" s="99" t="s">
        <v>298</v>
      </c>
      <c r="C19" s="98" t="s">
        <v>285</v>
      </c>
      <c r="D19" s="97">
        <v>0.8</v>
      </c>
      <c r="E19" s="96">
        <v>43811</v>
      </c>
      <c r="F19" s="96">
        <f>E19+10</f>
        <v>43821</v>
      </c>
      <c r="G19" s="61"/>
      <c r="H19" s="61">
        <f t="shared" si="4"/>
        <v>11</v>
      </c>
      <c r="I19" s="89" t="s">
        <v>297</v>
      </c>
      <c r="J19" s="60"/>
      <c r="K19" s="60"/>
      <c r="L19" s="60"/>
      <c r="M19" s="60"/>
      <c r="N19" s="60"/>
      <c r="O19" s="60"/>
      <c r="P19" s="60"/>
      <c r="Q19" s="60"/>
      <c r="R19" s="60"/>
      <c r="S19" s="60"/>
      <c r="T19" s="60"/>
      <c r="U19" s="60"/>
      <c r="V19" s="60"/>
      <c r="W19" s="60"/>
      <c r="X19" s="60"/>
      <c r="Y19" s="60"/>
      <c r="Z19" s="90"/>
      <c r="AA19" s="60"/>
      <c r="AB19" s="60"/>
      <c r="AC19" s="60"/>
      <c r="AD19" s="60"/>
      <c r="AE19" s="60"/>
      <c r="AF19" s="60"/>
      <c r="AG19" s="60"/>
      <c r="AH19" s="60"/>
      <c r="AI19" s="60"/>
      <c r="AJ19" s="60"/>
      <c r="AK19" s="60"/>
      <c r="AL19" s="60"/>
      <c r="AM19" s="60"/>
      <c r="AN19" s="60"/>
      <c r="AO19" s="60"/>
      <c r="AP19" s="60"/>
      <c r="AQ19" s="60"/>
      <c r="AR19" s="60"/>
      <c r="AS19" s="60"/>
      <c r="AT19" s="60"/>
      <c r="AU19" s="60"/>
      <c r="AV19" s="60"/>
      <c r="AW19" s="60"/>
      <c r="AX19" s="60"/>
      <c r="AY19" s="60"/>
      <c r="AZ19" s="60"/>
      <c r="BA19" s="60"/>
      <c r="BB19" s="60"/>
      <c r="BC19" s="60"/>
      <c r="BD19" s="60"/>
      <c r="BE19" s="60"/>
      <c r="BF19" s="60"/>
      <c r="BG19" s="60"/>
      <c r="BH19" s="60"/>
      <c r="BI19" s="60"/>
      <c r="BJ19" s="60"/>
      <c r="BK19" s="60"/>
      <c r="BL19" s="60"/>
      <c r="BM19" s="60"/>
    </row>
    <row r="20" spans="1:65" s="51" customFormat="1" ht="30" customHeight="1" thickBot="1" x14ac:dyDescent="0.35">
      <c r="A20" s="46"/>
      <c r="B20" s="99" t="s">
        <v>296</v>
      </c>
      <c r="C20" s="98" t="s">
        <v>285</v>
      </c>
      <c r="D20" s="97">
        <v>0.85</v>
      </c>
      <c r="E20" s="96">
        <v>43823</v>
      </c>
      <c r="F20" s="96">
        <f>E20+3</f>
        <v>43826</v>
      </c>
      <c r="G20" s="61"/>
      <c r="H20" s="61">
        <f t="shared" si="4"/>
        <v>4</v>
      </c>
      <c r="I20" s="66" t="s">
        <v>295</v>
      </c>
      <c r="J20" s="60"/>
      <c r="K20" s="60"/>
      <c r="L20" s="60"/>
      <c r="M20" s="60"/>
      <c r="N20" s="60"/>
      <c r="O20" s="60"/>
      <c r="P20" s="60"/>
      <c r="Q20" s="60"/>
      <c r="R20" s="60"/>
      <c r="S20" s="60"/>
      <c r="T20" s="60"/>
      <c r="U20" s="60"/>
      <c r="V20" s="60"/>
      <c r="W20" s="60"/>
      <c r="X20" s="60"/>
      <c r="Y20" s="60"/>
      <c r="Z20" s="90"/>
      <c r="AA20" s="60"/>
      <c r="AB20" s="60"/>
      <c r="AC20" s="60"/>
      <c r="AD20" s="60"/>
      <c r="AE20" s="60"/>
      <c r="AF20" s="60"/>
      <c r="AG20" s="60"/>
      <c r="AH20" s="60"/>
      <c r="AI20" s="60"/>
      <c r="AJ20" s="60"/>
      <c r="AK20" s="60"/>
      <c r="AL20" s="60"/>
      <c r="AM20" s="60"/>
      <c r="AN20" s="60"/>
      <c r="AO20" s="60"/>
      <c r="AP20" s="60"/>
      <c r="AQ20" s="60"/>
      <c r="AR20" s="60"/>
      <c r="AS20" s="60"/>
      <c r="AT20" s="60"/>
      <c r="AU20" s="60"/>
      <c r="AV20" s="60"/>
      <c r="AW20" s="60"/>
      <c r="AX20" s="60"/>
      <c r="AY20" s="60"/>
      <c r="AZ20" s="60"/>
      <c r="BA20" s="60"/>
      <c r="BB20" s="60"/>
      <c r="BC20" s="60"/>
      <c r="BD20" s="60"/>
      <c r="BE20" s="60"/>
      <c r="BF20" s="60"/>
      <c r="BG20" s="60"/>
      <c r="BH20" s="60"/>
      <c r="BI20" s="60"/>
      <c r="BJ20" s="60"/>
      <c r="BK20" s="60"/>
      <c r="BL20" s="60"/>
      <c r="BM20" s="60"/>
    </row>
    <row r="21" spans="1:65" s="51" customFormat="1" ht="30" customHeight="1" thickBot="1" x14ac:dyDescent="0.35">
      <c r="A21" s="46"/>
      <c r="B21" s="99" t="s">
        <v>294</v>
      </c>
      <c r="C21" s="98" t="s">
        <v>285</v>
      </c>
      <c r="D21" s="97">
        <v>0.9</v>
      </c>
      <c r="E21" s="96">
        <v>43702</v>
      </c>
      <c r="F21" s="96">
        <f>E21+7</f>
        <v>43709</v>
      </c>
      <c r="G21" s="61"/>
      <c r="H21" s="61">
        <f t="shared" si="4"/>
        <v>8</v>
      </c>
      <c r="I21" s="66" t="s">
        <v>293</v>
      </c>
      <c r="J21" s="60"/>
      <c r="K21" s="60"/>
      <c r="L21" s="60"/>
      <c r="M21" s="60"/>
      <c r="N21" s="60"/>
      <c r="O21" s="60"/>
      <c r="P21" s="60"/>
      <c r="Q21" s="60"/>
      <c r="R21" s="60"/>
      <c r="S21" s="60"/>
      <c r="T21" s="60"/>
      <c r="U21" s="60"/>
      <c r="V21" s="60"/>
      <c r="W21" s="60"/>
      <c r="X21" s="60"/>
      <c r="Y21" s="60"/>
      <c r="Z21" s="90"/>
      <c r="AA21" s="60"/>
      <c r="AB21" s="60"/>
      <c r="AC21" s="60"/>
      <c r="AD21" s="60"/>
      <c r="AE21" s="60"/>
      <c r="AF21" s="60"/>
      <c r="AG21" s="60"/>
      <c r="AH21" s="60"/>
      <c r="AI21" s="60"/>
      <c r="AJ21" s="60"/>
      <c r="AK21" s="60"/>
      <c r="AL21" s="60"/>
      <c r="AM21" s="60"/>
      <c r="AN21" s="60"/>
      <c r="AO21" s="60"/>
      <c r="AP21" s="60"/>
      <c r="AQ21" s="60"/>
      <c r="AR21" s="60"/>
      <c r="AS21" s="60"/>
      <c r="AT21" s="60"/>
      <c r="AU21" s="60"/>
      <c r="AV21" s="60"/>
      <c r="AW21" s="60"/>
      <c r="AX21" s="60"/>
      <c r="AY21" s="60"/>
      <c r="AZ21" s="60"/>
      <c r="BA21" s="60"/>
      <c r="BB21" s="60"/>
      <c r="BC21" s="60"/>
      <c r="BD21" s="60"/>
      <c r="BE21" s="60"/>
      <c r="BF21" s="60"/>
      <c r="BG21" s="60"/>
      <c r="BH21" s="60"/>
      <c r="BI21" s="60"/>
      <c r="BJ21" s="60"/>
      <c r="BK21" s="60"/>
      <c r="BL21" s="60"/>
      <c r="BM21" s="60"/>
    </row>
    <row r="22" spans="1:65" s="51" customFormat="1" ht="30" customHeight="1" thickBot="1" x14ac:dyDescent="0.35">
      <c r="A22" s="46"/>
      <c r="B22" s="99" t="s">
        <v>292</v>
      </c>
      <c r="C22" s="98" t="s">
        <v>285</v>
      </c>
      <c r="D22" s="97">
        <v>0.7</v>
      </c>
      <c r="E22" s="96">
        <v>43703</v>
      </c>
      <c r="F22" s="96">
        <f>E22+7</f>
        <v>43710</v>
      </c>
      <c r="G22" s="61"/>
      <c r="H22" s="61">
        <f t="shared" si="4"/>
        <v>8</v>
      </c>
      <c r="I22" s="89" t="s">
        <v>290</v>
      </c>
      <c r="J22" s="60"/>
      <c r="K22" s="60"/>
      <c r="L22" s="60"/>
      <c r="M22" s="60"/>
      <c r="N22" s="60"/>
      <c r="O22" s="60"/>
      <c r="P22" s="60"/>
      <c r="Q22" s="60"/>
      <c r="R22" s="60"/>
      <c r="S22" s="60"/>
      <c r="T22" s="60"/>
      <c r="U22" s="60"/>
      <c r="V22" s="60"/>
      <c r="W22" s="60"/>
      <c r="X22" s="60"/>
      <c r="Y22" s="60"/>
      <c r="Z22" s="90"/>
      <c r="AA22" s="60"/>
      <c r="AB22" s="60"/>
      <c r="AC22" s="60"/>
      <c r="AD22" s="60"/>
      <c r="AE22" s="60"/>
      <c r="AF22" s="60"/>
      <c r="AG22" s="60"/>
      <c r="AH22" s="60"/>
      <c r="AI22" s="60"/>
      <c r="AJ22" s="60"/>
      <c r="AK22" s="60"/>
      <c r="AL22" s="60"/>
      <c r="AM22" s="60"/>
      <c r="AN22" s="60"/>
      <c r="AO22" s="60"/>
      <c r="AP22" s="60"/>
      <c r="AQ22" s="60"/>
      <c r="AR22" s="60"/>
      <c r="AS22" s="60"/>
      <c r="AT22" s="60"/>
      <c r="AU22" s="60"/>
      <c r="AV22" s="60"/>
      <c r="AW22" s="60"/>
      <c r="AX22" s="60"/>
      <c r="AY22" s="60"/>
      <c r="AZ22" s="60"/>
      <c r="BA22" s="60"/>
      <c r="BB22" s="60"/>
      <c r="BC22" s="60"/>
      <c r="BD22" s="60"/>
      <c r="BE22" s="60"/>
      <c r="BF22" s="60"/>
      <c r="BG22" s="60"/>
      <c r="BH22" s="60"/>
      <c r="BI22" s="60"/>
      <c r="BJ22" s="60"/>
      <c r="BK22" s="60"/>
      <c r="BL22" s="60"/>
      <c r="BM22" s="60"/>
    </row>
    <row r="23" spans="1:65" s="51" customFormat="1" ht="30" customHeight="1" thickBot="1" x14ac:dyDescent="0.35">
      <c r="A23" s="46"/>
      <c r="B23" s="99" t="s">
        <v>291</v>
      </c>
      <c r="C23" s="98" t="s">
        <v>285</v>
      </c>
      <c r="D23" s="97">
        <v>0.7</v>
      </c>
      <c r="E23" s="96">
        <v>43704</v>
      </c>
      <c r="F23" s="96">
        <f>E23+2</f>
        <v>43706</v>
      </c>
      <c r="G23" s="61"/>
      <c r="H23" s="61">
        <f t="shared" si="4"/>
        <v>3</v>
      </c>
      <c r="I23" s="89" t="s">
        <v>290</v>
      </c>
      <c r="J23" s="60"/>
      <c r="K23" s="60"/>
      <c r="L23" s="60"/>
      <c r="M23" s="60"/>
      <c r="N23" s="60"/>
      <c r="O23" s="60"/>
      <c r="P23" s="60"/>
      <c r="Q23" s="60"/>
      <c r="R23" s="60"/>
      <c r="S23" s="60"/>
      <c r="T23" s="60"/>
      <c r="U23" s="60"/>
      <c r="V23" s="60"/>
      <c r="W23" s="60"/>
      <c r="X23" s="60"/>
      <c r="Y23" s="60"/>
      <c r="Z23" s="90"/>
      <c r="AA23" s="60"/>
      <c r="AB23" s="60"/>
      <c r="AC23" s="60"/>
      <c r="AD23" s="60"/>
      <c r="AE23" s="60"/>
      <c r="AF23" s="60"/>
      <c r="AG23" s="60"/>
      <c r="AH23" s="60"/>
      <c r="AI23" s="60"/>
      <c r="AJ23" s="60"/>
      <c r="AK23" s="60"/>
      <c r="AL23" s="60"/>
      <c r="AM23" s="60"/>
      <c r="AN23" s="60"/>
      <c r="AO23" s="60"/>
      <c r="AP23" s="60"/>
      <c r="AQ23" s="60"/>
      <c r="AR23" s="60"/>
      <c r="AS23" s="60"/>
      <c r="AT23" s="60"/>
      <c r="AU23" s="60"/>
      <c r="AV23" s="60"/>
      <c r="AW23" s="60"/>
      <c r="AX23" s="60"/>
      <c r="AY23" s="60"/>
      <c r="AZ23" s="60"/>
      <c r="BA23" s="60"/>
      <c r="BB23" s="60"/>
      <c r="BC23" s="60"/>
      <c r="BD23" s="60"/>
      <c r="BE23" s="60"/>
      <c r="BF23" s="60"/>
      <c r="BG23" s="60"/>
      <c r="BH23" s="60"/>
      <c r="BI23" s="60"/>
      <c r="BJ23" s="60"/>
      <c r="BK23" s="60"/>
      <c r="BL23" s="60"/>
      <c r="BM23" s="60"/>
    </row>
    <row r="24" spans="1:65" s="51" customFormat="1" ht="30" customHeight="1" thickBot="1" x14ac:dyDescent="0.35">
      <c r="A24" s="46"/>
      <c r="B24" s="99" t="s">
        <v>289</v>
      </c>
      <c r="C24" s="98" t="s">
        <v>285</v>
      </c>
      <c r="D24" s="97">
        <v>1</v>
      </c>
      <c r="E24" s="96">
        <v>43693</v>
      </c>
      <c r="F24" s="96">
        <f>E24+2</f>
        <v>43695</v>
      </c>
      <c r="G24" s="61"/>
      <c r="H24" s="61">
        <f t="shared" si="4"/>
        <v>3</v>
      </c>
      <c r="I24" s="66"/>
      <c r="J24" s="60"/>
      <c r="K24" s="60"/>
      <c r="L24" s="60"/>
      <c r="M24" s="60"/>
      <c r="N24" s="60"/>
      <c r="O24" s="60"/>
      <c r="P24" s="60"/>
      <c r="Q24" s="60"/>
      <c r="R24" s="60"/>
      <c r="S24" s="60"/>
      <c r="T24" s="60"/>
      <c r="U24" s="60"/>
      <c r="V24" s="60"/>
      <c r="W24" s="60"/>
      <c r="X24" s="60"/>
      <c r="Y24" s="60"/>
      <c r="Z24" s="90"/>
      <c r="AA24" s="60"/>
      <c r="AB24" s="60"/>
      <c r="AC24" s="60"/>
      <c r="AD24" s="60"/>
      <c r="AE24" s="60"/>
      <c r="AF24" s="60"/>
      <c r="AG24" s="60"/>
      <c r="AH24" s="60"/>
      <c r="AI24" s="60"/>
      <c r="AJ24" s="60"/>
      <c r="AK24" s="60"/>
      <c r="AL24" s="60"/>
      <c r="AM24" s="60"/>
      <c r="AN24" s="60"/>
      <c r="AO24" s="60"/>
      <c r="AP24" s="60"/>
      <c r="AQ24" s="60"/>
      <c r="AR24" s="60"/>
      <c r="AS24" s="60"/>
      <c r="AT24" s="60"/>
      <c r="AU24" s="60"/>
      <c r="AV24" s="60"/>
      <c r="AW24" s="60"/>
      <c r="AX24" s="60"/>
      <c r="AY24" s="60"/>
      <c r="AZ24" s="60"/>
      <c r="BA24" s="60"/>
      <c r="BB24" s="60"/>
      <c r="BC24" s="60"/>
      <c r="BD24" s="60"/>
      <c r="BE24" s="60"/>
      <c r="BF24" s="60"/>
      <c r="BG24" s="60"/>
      <c r="BH24" s="60"/>
      <c r="BI24" s="60"/>
      <c r="BJ24" s="60"/>
      <c r="BK24" s="60"/>
      <c r="BL24" s="60"/>
      <c r="BM24" s="60"/>
    </row>
    <row r="25" spans="1:65" s="51" customFormat="1" ht="30" customHeight="1" thickBot="1" x14ac:dyDescent="0.35">
      <c r="A25" s="46"/>
      <c r="B25" s="99" t="s">
        <v>288</v>
      </c>
      <c r="C25" s="98" t="s">
        <v>285</v>
      </c>
      <c r="D25" s="97">
        <v>1</v>
      </c>
      <c r="E25" s="96">
        <v>43696</v>
      </c>
      <c r="F25" s="96">
        <f>E25+2</f>
        <v>43698</v>
      </c>
      <c r="G25" s="61"/>
      <c r="H25" s="61">
        <f t="shared" si="4"/>
        <v>3</v>
      </c>
      <c r="I25" s="66"/>
      <c r="J25" s="60"/>
      <c r="K25" s="60"/>
      <c r="L25" s="60"/>
      <c r="M25" s="60"/>
      <c r="N25" s="60"/>
      <c r="O25" s="60"/>
      <c r="P25" s="60"/>
      <c r="Q25" s="60"/>
      <c r="R25" s="60"/>
      <c r="S25" s="60"/>
      <c r="T25" s="60"/>
      <c r="U25" s="60"/>
      <c r="V25" s="60"/>
      <c r="W25" s="60"/>
      <c r="X25" s="60"/>
      <c r="Y25" s="60"/>
      <c r="Z25" s="90"/>
      <c r="AA25" s="60"/>
      <c r="AB25" s="60"/>
      <c r="AC25" s="60"/>
      <c r="AD25" s="60"/>
      <c r="AE25" s="60"/>
      <c r="AF25" s="60"/>
      <c r="AG25" s="60"/>
      <c r="AH25" s="60"/>
      <c r="AI25" s="60"/>
      <c r="AJ25" s="60"/>
      <c r="AK25" s="60"/>
      <c r="AL25" s="60"/>
      <c r="AM25" s="60"/>
      <c r="AN25" s="60"/>
      <c r="AO25" s="60"/>
      <c r="AP25" s="60"/>
      <c r="AQ25" s="60"/>
      <c r="AR25" s="60"/>
      <c r="AS25" s="60"/>
      <c r="AT25" s="60"/>
      <c r="AU25" s="60"/>
      <c r="AV25" s="60"/>
      <c r="AW25" s="60"/>
      <c r="AX25" s="60"/>
      <c r="AY25" s="60"/>
      <c r="AZ25" s="60"/>
      <c r="BA25" s="60"/>
      <c r="BB25" s="60"/>
      <c r="BC25" s="60"/>
      <c r="BD25" s="60"/>
      <c r="BE25" s="60"/>
      <c r="BF25" s="60"/>
      <c r="BG25" s="60"/>
      <c r="BH25" s="60"/>
      <c r="BI25" s="60"/>
      <c r="BJ25" s="60"/>
      <c r="BK25" s="60"/>
      <c r="BL25" s="60"/>
      <c r="BM25" s="60"/>
    </row>
    <row r="26" spans="1:65" s="51" customFormat="1" ht="30" customHeight="1" thickBot="1" x14ac:dyDescent="0.35">
      <c r="A26" s="46"/>
      <c r="B26" s="99" t="s">
        <v>287</v>
      </c>
      <c r="C26" s="98" t="s">
        <v>285</v>
      </c>
      <c r="D26" s="97">
        <v>1</v>
      </c>
      <c r="E26" s="96">
        <v>43699</v>
      </c>
      <c r="F26" s="96">
        <f>E26+2</f>
        <v>43701</v>
      </c>
      <c r="G26" s="61"/>
      <c r="H26" s="61">
        <f t="shared" si="4"/>
        <v>3</v>
      </c>
      <c r="I26" s="66"/>
      <c r="J26" s="60"/>
      <c r="K26" s="60"/>
      <c r="L26" s="60"/>
      <c r="M26" s="60"/>
      <c r="N26" s="60"/>
      <c r="O26" s="60"/>
      <c r="P26" s="60"/>
      <c r="Q26" s="60"/>
      <c r="R26" s="60"/>
      <c r="S26" s="60"/>
      <c r="T26" s="60"/>
      <c r="U26" s="60"/>
      <c r="V26" s="60"/>
      <c r="W26" s="60"/>
      <c r="X26" s="60"/>
      <c r="Y26" s="60"/>
      <c r="Z26" s="90"/>
      <c r="AA26" s="60"/>
      <c r="AB26" s="60"/>
      <c r="AC26" s="60"/>
      <c r="AD26" s="60"/>
      <c r="AE26" s="60"/>
      <c r="AF26" s="60"/>
      <c r="AG26" s="60"/>
      <c r="AH26" s="60"/>
      <c r="AI26" s="60"/>
      <c r="AJ26" s="60"/>
      <c r="AK26" s="60"/>
      <c r="AL26" s="60"/>
      <c r="AM26" s="60"/>
      <c r="AN26" s="60"/>
      <c r="AO26" s="60"/>
      <c r="AP26" s="60"/>
      <c r="AQ26" s="60"/>
      <c r="AR26" s="60"/>
      <c r="AS26" s="60"/>
      <c r="AT26" s="60"/>
      <c r="AU26" s="60"/>
      <c r="AV26" s="60"/>
      <c r="AW26" s="60"/>
      <c r="AX26" s="60"/>
      <c r="AY26" s="60"/>
      <c r="AZ26" s="60"/>
      <c r="BA26" s="60"/>
      <c r="BB26" s="60"/>
      <c r="BC26" s="60"/>
      <c r="BD26" s="60"/>
      <c r="BE26" s="60"/>
      <c r="BF26" s="60"/>
      <c r="BG26" s="60"/>
      <c r="BH26" s="60"/>
      <c r="BI26" s="60"/>
      <c r="BJ26" s="60"/>
      <c r="BK26" s="60"/>
      <c r="BL26" s="60"/>
      <c r="BM26" s="60"/>
    </row>
    <row r="27" spans="1:65" s="51" customFormat="1" ht="30" customHeight="1" thickBot="1" x14ac:dyDescent="0.35">
      <c r="A27" s="46"/>
      <c r="B27" s="99" t="s">
        <v>286</v>
      </c>
      <c r="C27" s="98" t="s">
        <v>285</v>
      </c>
      <c r="D27" s="97">
        <v>0.5</v>
      </c>
      <c r="E27" s="96">
        <f>F13</f>
        <v>43672</v>
      </c>
      <c r="F27" s="96">
        <f>E27+1</f>
        <v>43673</v>
      </c>
      <c r="G27" s="61"/>
      <c r="H27" s="61">
        <f t="shared" si="4"/>
        <v>2</v>
      </c>
      <c r="I27" s="89" t="s">
        <v>284</v>
      </c>
      <c r="J27" s="60"/>
      <c r="K27" s="60"/>
      <c r="L27" s="60"/>
      <c r="M27" s="60"/>
      <c r="N27" s="60"/>
      <c r="O27" s="60"/>
      <c r="P27" s="60"/>
      <c r="Q27" s="60"/>
      <c r="R27" s="60"/>
      <c r="S27" s="60"/>
      <c r="T27" s="60"/>
      <c r="U27" s="60"/>
      <c r="V27" s="60"/>
      <c r="W27" s="60"/>
      <c r="X27" s="60"/>
      <c r="Y27" s="60"/>
      <c r="Z27" s="90"/>
      <c r="AA27" s="60"/>
      <c r="AB27" s="60"/>
      <c r="AC27" s="60"/>
      <c r="AD27" s="60"/>
      <c r="AE27" s="60"/>
      <c r="AF27" s="60"/>
      <c r="AG27" s="60"/>
      <c r="AH27" s="60"/>
      <c r="AI27" s="60"/>
      <c r="AJ27" s="60"/>
      <c r="AK27" s="60"/>
      <c r="AL27" s="60"/>
      <c r="AM27" s="60"/>
      <c r="AN27" s="60"/>
      <c r="AO27" s="60"/>
      <c r="AP27" s="60"/>
      <c r="AQ27" s="60"/>
      <c r="AR27" s="60"/>
      <c r="AS27" s="60"/>
      <c r="AT27" s="60"/>
      <c r="AU27" s="60"/>
      <c r="AV27" s="60"/>
      <c r="AW27" s="60"/>
      <c r="AX27" s="60"/>
      <c r="AY27" s="60"/>
      <c r="AZ27" s="60"/>
      <c r="BA27" s="60"/>
      <c r="BB27" s="60"/>
      <c r="BC27" s="60"/>
      <c r="BD27" s="60"/>
      <c r="BE27" s="60"/>
      <c r="BF27" s="60"/>
      <c r="BG27" s="60"/>
      <c r="BH27" s="60"/>
      <c r="BI27" s="60"/>
      <c r="BJ27" s="60"/>
      <c r="BK27" s="60"/>
      <c r="BL27" s="60"/>
      <c r="BM27" s="60"/>
    </row>
    <row r="28" spans="1:65" s="51" customFormat="1" ht="30" customHeight="1" thickBot="1" x14ac:dyDescent="0.35">
      <c r="A28" s="46"/>
      <c r="B28" s="99" t="s">
        <v>283</v>
      </c>
      <c r="C28" s="98" t="s">
        <v>119</v>
      </c>
      <c r="D28" s="97">
        <v>0.9</v>
      </c>
      <c r="E28" s="96">
        <v>43879</v>
      </c>
      <c r="F28" s="96">
        <f>E28+3</f>
        <v>43882</v>
      </c>
      <c r="G28" s="61"/>
      <c r="H28" s="61">
        <f t="shared" si="4"/>
        <v>4</v>
      </c>
      <c r="I28" s="66" t="s">
        <v>282</v>
      </c>
      <c r="J28" s="60"/>
      <c r="K28" s="60"/>
      <c r="L28" s="60"/>
      <c r="M28" s="60"/>
      <c r="N28" s="60"/>
      <c r="O28" s="60"/>
      <c r="P28" s="60"/>
      <c r="Q28" s="60"/>
      <c r="R28" s="60"/>
      <c r="S28" s="60"/>
      <c r="T28" s="60"/>
      <c r="U28" s="60"/>
      <c r="V28" s="60"/>
      <c r="W28" s="60"/>
      <c r="X28" s="60"/>
      <c r="Y28" s="60"/>
      <c r="Z28" s="90"/>
      <c r="AA28" s="60"/>
      <c r="AB28" s="60"/>
      <c r="AC28" s="60"/>
      <c r="AD28" s="60"/>
      <c r="AE28" s="60"/>
      <c r="AF28" s="60"/>
      <c r="AG28" s="60"/>
      <c r="AH28" s="60"/>
      <c r="AI28" s="60"/>
      <c r="AJ28" s="60"/>
      <c r="AK28" s="60"/>
      <c r="AL28" s="60"/>
      <c r="AM28" s="60"/>
      <c r="AN28" s="60"/>
      <c r="AO28" s="60"/>
      <c r="AP28" s="60"/>
      <c r="AQ28" s="60"/>
      <c r="AR28" s="60"/>
      <c r="AS28" s="60"/>
      <c r="AT28" s="60"/>
      <c r="AU28" s="60"/>
      <c r="AV28" s="60"/>
      <c r="AW28" s="60"/>
      <c r="AX28" s="60"/>
      <c r="AY28" s="60"/>
      <c r="AZ28" s="60"/>
      <c r="BA28" s="60"/>
      <c r="BB28" s="60"/>
      <c r="BC28" s="60"/>
      <c r="BD28" s="60"/>
      <c r="BE28" s="60"/>
      <c r="BF28" s="60"/>
      <c r="BG28" s="60"/>
      <c r="BH28" s="60"/>
      <c r="BI28" s="60"/>
      <c r="BJ28" s="60"/>
      <c r="BK28" s="60"/>
      <c r="BL28" s="60"/>
      <c r="BM28" s="60"/>
    </row>
    <row r="29" spans="1:65" s="51" customFormat="1" ht="30" customHeight="1" thickBot="1" x14ac:dyDescent="0.35">
      <c r="A29" s="46"/>
      <c r="B29" s="99" t="s">
        <v>281</v>
      </c>
      <c r="C29" s="98" t="s">
        <v>119</v>
      </c>
      <c r="D29" s="97">
        <v>0.8</v>
      </c>
      <c r="E29" s="96">
        <v>43843</v>
      </c>
      <c r="F29" s="96">
        <f>E29+7</f>
        <v>43850</v>
      </c>
      <c r="G29" s="61"/>
      <c r="H29" s="61">
        <f t="shared" si="4"/>
        <v>8</v>
      </c>
      <c r="I29" s="66" t="s">
        <v>280</v>
      </c>
      <c r="J29" s="60"/>
      <c r="K29" s="60"/>
      <c r="L29" s="60"/>
      <c r="M29" s="60"/>
      <c r="N29" s="60"/>
      <c r="O29" s="60"/>
      <c r="P29" s="60"/>
      <c r="Q29" s="60"/>
      <c r="R29" s="60"/>
      <c r="S29" s="60"/>
      <c r="T29" s="60"/>
      <c r="U29" s="60"/>
      <c r="V29" s="60"/>
      <c r="W29" s="60"/>
      <c r="X29" s="60"/>
      <c r="Y29" s="60"/>
      <c r="Z29" s="90"/>
      <c r="AA29" s="60"/>
      <c r="AB29" s="60"/>
      <c r="AC29" s="60"/>
      <c r="AD29" s="60"/>
      <c r="AE29" s="60"/>
      <c r="AF29" s="60"/>
      <c r="AG29" s="60"/>
      <c r="AH29" s="60"/>
      <c r="AI29" s="60"/>
      <c r="AJ29" s="60"/>
      <c r="AK29" s="60"/>
      <c r="AL29" s="60"/>
      <c r="AM29" s="60"/>
      <c r="AN29" s="60"/>
      <c r="AO29" s="60"/>
      <c r="AP29" s="60"/>
      <c r="AQ29" s="60"/>
      <c r="AR29" s="60"/>
      <c r="AS29" s="60"/>
      <c r="AT29" s="60"/>
      <c r="AU29" s="60"/>
      <c r="AV29" s="60"/>
      <c r="AW29" s="60"/>
      <c r="AX29" s="60"/>
      <c r="AY29" s="60"/>
      <c r="AZ29" s="60"/>
      <c r="BA29" s="60"/>
      <c r="BB29" s="60"/>
      <c r="BC29" s="60"/>
      <c r="BD29" s="60"/>
      <c r="BE29" s="60"/>
      <c r="BF29" s="60"/>
      <c r="BG29" s="60"/>
      <c r="BH29" s="60"/>
      <c r="BI29" s="60"/>
      <c r="BJ29" s="60"/>
      <c r="BK29" s="60"/>
      <c r="BL29" s="60"/>
      <c r="BM29" s="60"/>
    </row>
    <row r="30" spans="1:65" s="51" customFormat="1" ht="30" customHeight="1" thickBot="1" x14ac:dyDescent="0.35">
      <c r="A30" s="46"/>
      <c r="B30" s="99" t="s">
        <v>279</v>
      </c>
      <c r="C30" s="98" t="s">
        <v>119</v>
      </c>
      <c r="D30" s="97">
        <v>0.5</v>
      </c>
      <c r="E30" s="96">
        <v>43843</v>
      </c>
      <c r="F30" s="96">
        <f>E30+7</f>
        <v>43850</v>
      </c>
      <c r="G30" s="61"/>
      <c r="H30" s="61">
        <f t="shared" si="4"/>
        <v>8</v>
      </c>
      <c r="I30" s="89" t="s">
        <v>278</v>
      </c>
      <c r="J30" s="60"/>
      <c r="K30" s="60"/>
      <c r="L30" s="60"/>
      <c r="M30" s="60"/>
      <c r="N30" s="60"/>
      <c r="O30" s="60"/>
      <c r="P30" s="60"/>
      <c r="Q30" s="60"/>
      <c r="R30" s="60"/>
      <c r="S30" s="60"/>
      <c r="T30" s="60"/>
      <c r="U30" s="60"/>
      <c r="V30" s="60"/>
      <c r="W30" s="60"/>
      <c r="X30" s="60"/>
      <c r="Y30" s="60"/>
      <c r="Z30" s="90"/>
      <c r="AA30" s="60"/>
      <c r="AB30" s="60"/>
      <c r="AC30" s="60"/>
      <c r="AD30" s="60"/>
      <c r="AE30" s="60"/>
      <c r="AF30" s="60"/>
      <c r="AG30" s="60"/>
      <c r="AH30" s="60"/>
      <c r="AI30" s="60"/>
      <c r="AJ30" s="60"/>
      <c r="AK30" s="60"/>
      <c r="AL30" s="60"/>
      <c r="AM30" s="60"/>
      <c r="AN30" s="60"/>
      <c r="AO30" s="60"/>
      <c r="AP30" s="60"/>
      <c r="AQ30" s="60"/>
      <c r="AR30" s="60"/>
      <c r="AS30" s="60"/>
      <c r="AT30" s="60"/>
      <c r="AU30" s="60"/>
      <c r="AV30" s="60"/>
      <c r="AW30" s="60"/>
      <c r="AX30" s="60"/>
      <c r="AY30" s="60"/>
      <c r="AZ30" s="60"/>
      <c r="BA30" s="60"/>
      <c r="BB30" s="60"/>
      <c r="BC30" s="60"/>
      <c r="BD30" s="60"/>
      <c r="BE30" s="60"/>
      <c r="BF30" s="60"/>
      <c r="BG30" s="60"/>
      <c r="BH30" s="60"/>
      <c r="BI30" s="60"/>
      <c r="BJ30" s="60"/>
      <c r="BK30" s="60"/>
      <c r="BL30" s="60"/>
      <c r="BM30" s="60"/>
    </row>
    <row r="31" spans="1:65" s="51" customFormat="1" ht="30" customHeight="1" thickBot="1" x14ac:dyDescent="0.35">
      <c r="A31" s="46"/>
      <c r="B31" s="99" t="s">
        <v>277</v>
      </c>
      <c r="C31" s="98" t="s">
        <v>119</v>
      </c>
      <c r="D31" s="97">
        <v>0</v>
      </c>
      <c r="E31" s="96"/>
      <c r="F31" s="96">
        <f>E31+3</f>
        <v>3</v>
      </c>
      <c r="G31" s="61"/>
      <c r="H31" s="61" t="str">
        <f t="shared" si="4"/>
        <v/>
      </c>
      <c r="I31" s="66" t="s">
        <v>276</v>
      </c>
      <c r="J31" s="60"/>
      <c r="K31" s="60"/>
      <c r="L31" s="60"/>
      <c r="M31" s="60"/>
      <c r="N31" s="60"/>
      <c r="O31" s="60"/>
      <c r="P31" s="60"/>
      <c r="Q31" s="60"/>
      <c r="R31" s="60"/>
      <c r="S31" s="60"/>
      <c r="T31" s="60"/>
      <c r="U31" s="60"/>
      <c r="V31" s="60"/>
      <c r="W31" s="60"/>
      <c r="X31" s="60"/>
      <c r="Y31" s="60"/>
      <c r="Z31" s="90"/>
      <c r="AA31" s="60"/>
      <c r="AB31" s="60"/>
      <c r="AC31" s="60"/>
      <c r="AD31" s="60"/>
      <c r="AE31" s="60"/>
      <c r="AF31" s="60"/>
      <c r="AG31" s="60"/>
      <c r="AH31" s="60"/>
      <c r="AI31" s="60"/>
      <c r="AJ31" s="60"/>
      <c r="AK31" s="60"/>
      <c r="AL31" s="60"/>
      <c r="AM31" s="60"/>
      <c r="AN31" s="60"/>
      <c r="AO31" s="60"/>
      <c r="AP31" s="60"/>
      <c r="AQ31" s="60"/>
      <c r="AR31" s="60"/>
      <c r="AS31" s="60"/>
      <c r="AT31" s="60"/>
      <c r="AU31" s="60"/>
      <c r="AV31" s="60"/>
      <c r="AW31" s="60"/>
      <c r="AX31" s="60"/>
      <c r="AY31" s="60"/>
      <c r="AZ31" s="60"/>
      <c r="BA31" s="60"/>
      <c r="BB31" s="60"/>
      <c r="BC31" s="60"/>
      <c r="BD31" s="60"/>
      <c r="BE31" s="60"/>
      <c r="BF31" s="60"/>
      <c r="BG31" s="60"/>
      <c r="BH31" s="60"/>
      <c r="BI31" s="60"/>
      <c r="BJ31" s="60"/>
      <c r="BK31" s="60"/>
      <c r="BL31" s="60"/>
      <c r="BM31" s="60"/>
    </row>
    <row r="32" spans="1:65" s="51" customFormat="1" ht="30" customHeight="1" thickBot="1" x14ac:dyDescent="0.35">
      <c r="A32" s="46"/>
      <c r="B32" s="99" t="s">
        <v>275</v>
      </c>
      <c r="C32" s="98" t="s">
        <v>119</v>
      </c>
      <c r="D32" s="97">
        <v>0.5</v>
      </c>
      <c r="E32" s="96">
        <v>43843</v>
      </c>
      <c r="F32" s="96">
        <f>E32+7</f>
        <v>43850</v>
      </c>
      <c r="G32" s="61"/>
      <c r="H32" s="61">
        <f t="shared" si="4"/>
        <v>8</v>
      </c>
      <c r="I32" s="66" t="s">
        <v>274</v>
      </c>
      <c r="J32" s="60"/>
      <c r="K32" s="60"/>
      <c r="L32" s="60"/>
      <c r="M32" s="60"/>
      <c r="N32" s="60"/>
      <c r="O32" s="60"/>
      <c r="P32" s="60"/>
      <c r="Q32" s="60"/>
      <c r="R32" s="60"/>
      <c r="S32" s="60"/>
      <c r="T32" s="60"/>
      <c r="U32" s="60"/>
      <c r="V32" s="60"/>
      <c r="W32" s="60"/>
      <c r="X32" s="60"/>
      <c r="Y32" s="60"/>
      <c r="Z32" s="90"/>
      <c r="AA32" s="60"/>
      <c r="AB32" s="60"/>
      <c r="AC32" s="60"/>
      <c r="AD32" s="60"/>
      <c r="AE32" s="60"/>
      <c r="AF32" s="60"/>
      <c r="AG32" s="60"/>
      <c r="AH32" s="60"/>
      <c r="AI32" s="60"/>
      <c r="AJ32" s="60"/>
      <c r="AK32" s="60"/>
      <c r="AL32" s="60"/>
      <c r="AM32" s="60"/>
      <c r="AN32" s="60"/>
      <c r="AO32" s="60"/>
      <c r="AP32" s="60"/>
      <c r="AQ32" s="60"/>
      <c r="AR32" s="60"/>
      <c r="AS32" s="60"/>
      <c r="AT32" s="60"/>
      <c r="AU32" s="60"/>
      <c r="AV32" s="60"/>
      <c r="AW32" s="60"/>
      <c r="AX32" s="60"/>
      <c r="AY32" s="60"/>
      <c r="AZ32" s="60"/>
      <c r="BA32" s="60"/>
      <c r="BB32" s="60"/>
      <c r="BC32" s="60"/>
      <c r="BD32" s="60"/>
      <c r="BE32" s="60"/>
      <c r="BF32" s="60"/>
      <c r="BG32" s="60"/>
      <c r="BH32" s="60"/>
      <c r="BI32" s="60"/>
      <c r="BJ32" s="60"/>
      <c r="BK32" s="60"/>
      <c r="BL32" s="60"/>
      <c r="BM32" s="60"/>
    </row>
    <row r="33" spans="1:65" s="51" customFormat="1" ht="30" customHeight="1" thickBot="1" x14ac:dyDescent="0.35">
      <c r="A33" s="46"/>
      <c r="B33" s="99"/>
      <c r="C33" s="98"/>
      <c r="D33" s="97"/>
      <c r="E33" s="96"/>
      <c r="F33" s="96"/>
      <c r="G33" s="61"/>
      <c r="H33" s="61" t="str">
        <f t="shared" si="4"/>
        <v/>
      </c>
      <c r="I33" s="66"/>
      <c r="J33" s="60"/>
      <c r="K33" s="60"/>
      <c r="L33" s="60"/>
      <c r="M33" s="60"/>
      <c r="N33" s="60"/>
      <c r="O33" s="60"/>
      <c r="P33" s="60"/>
      <c r="Q33" s="60"/>
      <c r="R33" s="60"/>
      <c r="S33" s="60"/>
      <c r="T33" s="60"/>
      <c r="U33" s="60"/>
      <c r="V33" s="60"/>
      <c r="W33" s="60"/>
      <c r="X33" s="60"/>
      <c r="Y33" s="60"/>
      <c r="Z33" s="90"/>
      <c r="AA33" s="60"/>
      <c r="AB33" s="60"/>
      <c r="AC33" s="60"/>
      <c r="AD33" s="60"/>
      <c r="AE33" s="60"/>
      <c r="AF33" s="60"/>
      <c r="AG33" s="60"/>
      <c r="AH33" s="60"/>
      <c r="AI33" s="60"/>
      <c r="AJ33" s="60"/>
      <c r="AK33" s="60"/>
      <c r="AL33" s="60"/>
      <c r="AM33" s="60"/>
      <c r="AN33" s="60"/>
      <c r="AO33" s="60"/>
      <c r="AP33" s="60"/>
      <c r="AQ33" s="60"/>
      <c r="AR33" s="60"/>
      <c r="AS33" s="60"/>
      <c r="AT33" s="60"/>
      <c r="AU33" s="60"/>
      <c r="AV33" s="60"/>
      <c r="AW33" s="60"/>
      <c r="AX33" s="60"/>
      <c r="AY33" s="60"/>
      <c r="AZ33" s="60"/>
      <c r="BA33" s="60"/>
      <c r="BB33" s="60"/>
      <c r="BC33" s="60"/>
      <c r="BD33" s="60"/>
      <c r="BE33" s="60"/>
      <c r="BF33" s="60"/>
      <c r="BG33" s="60"/>
      <c r="BH33" s="60"/>
      <c r="BI33" s="60"/>
      <c r="BJ33" s="60"/>
      <c r="BK33" s="60"/>
      <c r="BL33" s="60"/>
      <c r="BM33" s="60"/>
    </row>
    <row r="34" spans="1:65" s="51" customFormat="1" ht="30" customHeight="1" thickBot="1" x14ac:dyDescent="0.35">
      <c r="A34" s="59" t="s">
        <v>273</v>
      </c>
      <c r="B34" s="95" t="s">
        <v>272</v>
      </c>
      <c r="C34" s="94"/>
      <c r="D34" s="93"/>
      <c r="E34" s="92"/>
      <c r="F34" s="91"/>
      <c r="G34" s="61"/>
      <c r="H34" s="61" t="str">
        <f t="shared" si="4"/>
        <v/>
      </c>
      <c r="I34" s="66"/>
      <c r="J34" s="60"/>
      <c r="K34" s="60"/>
      <c r="L34" s="60"/>
      <c r="M34" s="60"/>
      <c r="N34" s="60"/>
      <c r="O34" s="60"/>
      <c r="P34" s="60"/>
      <c r="Q34" s="60"/>
      <c r="R34" s="60"/>
      <c r="S34" s="60"/>
      <c r="T34" s="60"/>
      <c r="U34" s="60"/>
      <c r="V34" s="60"/>
      <c r="W34" s="60"/>
      <c r="X34" s="60"/>
      <c r="Y34" s="60"/>
      <c r="Z34" s="60"/>
      <c r="AA34" s="60"/>
      <c r="AB34" s="60"/>
      <c r="AC34" s="60"/>
      <c r="AD34" s="60"/>
      <c r="AE34" s="60"/>
      <c r="AF34" s="60"/>
      <c r="AG34" s="60"/>
      <c r="AH34" s="60"/>
      <c r="AI34" s="60"/>
      <c r="AJ34" s="60"/>
      <c r="AK34" s="60"/>
      <c r="AL34" s="60"/>
      <c r="AM34" s="60"/>
      <c r="AN34" s="60"/>
      <c r="AO34" s="60"/>
      <c r="AP34" s="60"/>
      <c r="AQ34" s="60"/>
      <c r="AR34" s="60"/>
      <c r="AS34" s="60"/>
      <c r="AT34" s="60"/>
      <c r="AU34" s="60"/>
      <c r="AV34" s="60"/>
      <c r="AW34" s="60"/>
      <c r="AX34" s="60"/>
      <c r="AY34" s="60"/>
      <c r="AZ34" s="60"/>
      <c r="BA34" s="60"/>
      <c r="BB34" s="60"/>
      <c r="BC34" s="60"/>
      <c r="BD34" s="60"/>
      <c r="BE34" s="60"/>
      <c r="BF34" s="60"/>
      <c r="BG34" s="60"/>
      <c r="BH34" s="60"/>
      <c r="BI34" s="60"/>
      <c r="BJ34" s="60"/>
      <c r="BK34" s="60"/>
      <c r="BL34" s="60"/>
      <c r="BM34" s="60"/>
    </row>
    <row r="35" spans="1:65" s="51" customFormat="1" ht="30" customHeight="1" thickBot="1" x14ac:dyDescent="0.35">
      <c r="A35" s="59"/>
      <c r="B35" s="88" t="s">
        <v>271</v>
      </c>
      <c r="C35" s="87" t="s">
        <v>119</v>
      </c>
      <c r="D35" s="87">
        <v>0.95</v>
      </c>
      <c r="E35" s="86">
        <v>43709</v>
      </c>
      <c r="F35" s="86">
        <f>E35+3</f>
        <v>43712</v>
      </c>
      <c r="G35" s="61"/>
      <c r="H35" s="61">
        <f t="shared" si="4"/>
        <v>4</v>
      </c>
      <c r="I35" s="66" t="s">
        <v>270</v>
      </c>
      <c r="J35" s="60"/>
      <c r="K35" s="60"/>
      <c r="L35" s="60"/>
      <c r="M35" s="60"/>
      <c r="N35" s="60"/>
      <c r="O35" s="60"/>
      <c r="P35" s="60"/>
      <c r="Q35" s="60"/>
      <c r="R35" s="60"/>
      <c r="S35" s="60"/>
      <c r="T35" s="60"/>
      <c r="U35" s="60"/>
      <c r="V35" s="60"/>
      <c r="W35" s="60"/>
      <c r="X35" s="60"/>
      <c r="Y35" s="60"/>
      <c r="Z35" s="60"/>
      <c r="AA35" s="60"/>
      <c r="AB35" s="60"/>
      <c r="AC35" s="60"/>
      <c r="AD35" s="60"/>
      <c r="AE35" s="60"/>
      <c r="AF35" s="60"/>
      <c r="AG35" s="60"/>
      <c r="AH35" s="60"/>
      <c r="AI35" s="60"/>
      <c r="AJ35" s="60"/>
      <c r="AK35" s="60"/>
      <c r="AL35" s="60"/>
      <c r="AM35" s="60"/>
      <c r="AN35" s="60"/>
      <c r="AO35" s="60"/>
      <c r="AP35" s="60"/>
      <c r="AQ35" s="60"/>
      <c r="AR35" s="60"/>
      <c r="AS35" s="60"/>
      <c r="AT35" s="60"/>
      <c r="AU35" s="60"/>
      <c r="AV35" s="60"/>
      <c r="AW35" s="60"/>
      <c r="AX35" s="60"/>
      <c r="AY35" s="60"/>
      <c r="AZ35" s="60"/>
      <c r="BA35" s="60"/>
      <c r="BB35" s="60"/>
      <c r="BC35" s="60"/>
      <c r="BD35" s="60"/>
      <c r="BE35" s="60"/>
      <c r="BF35" s="60"/>
      <c r="BG35" s="60"/>
      <c r="BH35" s="60"/>
      <c r="BI35" s="60"/>
      <c r="BJ35" s="60"/>
      <c r="BK35" s="60"/>
      <c r="BL35" s="60"/>
      <c r="BM35" s="60"/>
    </row>
    <row r="36" spans="1:65" s="51" customFormat="1" ht="30" customHeight="1" thickBot="1" x14ac:dyDescent="0.35">
      <c r="A36" s="59"/>
      <c r="B36" s="88" t="s">
        <v>269</v>
      </c>
      <c r="C36" s="87" t="s">
        <v>119</v>
      </c>
      <c r="D36" s="87">
        <v>0.5</v>
      </c>
      <c r="E36" s="86">
        <v>43712</v>
      </c>
      <c r="F36" s="86">
        <f>E36+3</f>
        <v>43715</v>
      </c>
      <c r="G36" s="61"/>
      <c r="H36" s="61">
        <f t="shared" si="4"/>
        <v>4</v>
      </c>
      <c r="I36" s="89" t="s">
        <v>268</v>
      </c>
      <c r="J36" s="60"/>
      <c r="K36" s="60"/>
      <c r="L36" s="60"/>
      <c r="M36" s="60"/>
      <c r="N36" s="60"/>
      <c r="O36" s="60"/>
      <c r="P36" s="60"/>
      <c r="Q36" s="60"/>
      <c r="R36" s="60"/>
      <c r="S36" s="60"/>
      <c r="T36" s="60"/>
      <c r="U36" s="60"/>
      <c r="V36" s="60"/>
      <c r="W36" s="60"/>
      <c r="X36" s="60"/>
      <c r="Y36" s="60"/>
      <c r="Z36" s="60"/>
      <c r="AA36" s="60"/>
      <c r="AB36" s="60"/>
      <c r="AC36" s="60"/>
      <c r="AD36" s="60"/>
      <c r="AE36" s="60"/>
      <c r="AF36" s="60"/>
      <c r="AG36" s="60"/>
      <c r="AH36" s="60"/>
      <c r="AI36" s="60"/>
      <c r="AJ36" s="60"/>
      <c r="AK36" s="60"/>
      <c r="AL36" s="60"/>
      <c r="AM36" s="60"/>
      <c r="AN36" s="60"/>
      <c r="AO36" s="60"/>
      <c r="AP36" s="60"/>
      <c r="AQ36" s="60"/>
      <c r="AR36" s="60"/>
      <c r="AS36" s="60"/>
      <c r="AT36" s="60"/>
      <c r="AU36" s="60"/>
      <c r="AV36" s="60"/>
      <c r="AW36" s="60"/>
      <c r="AX36" s="60"/>
      <c r="AY36" s="60"/>
      <c r="AZ36" s="60"/>
      <c r="BA36" s="60"/>
      <c r="BB36" s="60"/>
      <c r="BC36" s="60"/>
      <c r="BD36" s="60"/>
      <c r="BE36" s="60"/>
      <c r="BF36" s="60"/>
      <c r="BG36" s="60"/>
      <c r="BH36" s="60"/>
      <c r="BI36" s="60"/>
      <c r="BJ36" s="60"/>
      <c r="BK36" s="60"/>
      <c r="BL36" s="60"/>
      <c r="BM36" s="60"/>
    </row>
    <row r="37" spans="1:65" s="51" customFormat="1" ht="30" customHeight="1" thickBot="1" x14ac:dyDescent="0.35">
      <c r="A37" s="46"/>
      <c r="B37" s="88" t="s">
        <v>267</v>
      </c>
      <c r="C37" s="87" t="s">
        <v>119</v>
      </c>
      <c r="D37" s="87">
        <v>1</v>
      </c>
      <c r="E37" s="86">
        <v>43717</v>
      </c>
      <c r="F37" s="86">
        <f>E37+3</f>
        <v>43720</v>
      </c>
      <c r="G37" s="61"/>
      <c r="H37" s="61">
        <f t="shared" si="4"/>
        <v>4</v>
      </c>
      <c r="I37" s="66"/>
      <c r="J37" s="60"/>
      <c r="K37" s="60"/>
      <c r="L37" s="60"/>
      <c r="M37" s="60"/>
      <c r="N37" s="60"/>
      <c r="O37" s="60"/>
      <c r="P37" s="60"/>
      <c r="Q37" s="60"/>
      <c r="R37" s="60"/>
      <c r="S37" s="60"/>
      <c r="T37" s="60"/>
      <c r="U37" s="60"/>
      <c r="V37" s="90"/>
      <c r="W37" s="90"/>
      <c r="X37" s="60"/>
      <c r="Y37" s="60"/>
      <c r="Z37" s="60"/>
      <c r="AA37" s="60"/>
      <c r="AB37" s="60"/>
      <c r="AC37" s="60"/>
      <c r="AD37" s="60"/>
      <c r="AE37" s="60"/>
      <c r="AF37" s="60"/>
      <c r="AG37" s="60"/>
      <c r="AH37" s="60"/>
      <c r="AI37" s="60"/>
      <c r="AJ37" s="60"/>
      <c r="AK37" s="60"/>
      <c r="AL37" s="60"/>
      <c r="AM37" s="60"/>
      <c r="AN37" s="60"/>
      <c r="AO37" s="60"/>
      <c r="AP37" s="60"/>
      <c r="AQ37" s="60"/>
      <c r="AR37" s="60"/>
      <c r="AS37" s="60"/>
      <c r="AT37" s="60"/>
      <c r="AU37" s="60"/>
      <c r="AV37" s="60"/>
      <c r="AW37" s="60"/>
      <c r="AX37" s="60"/>
      <c r="AY37" s="60"/>
      <c r="AZ37" s="60"/>
      <c r="BA37" s="60"/>
      <c r="BB37" s="60"/>
      <c r="BC37" s="60"/>
      <c r="BD37" s="60"/>
      <c r="BE37" s="60"/>
      <c r="BF37" s="60"/>
      <c r="BG37" s="60"/>
      <c r="BH37" s="60"/>
      <c r="BI37" s="60"/>
      <c r="BJ37" s="60"/>
      <c r="BK37" s="60"/>
      <c r="BL37" s="60"/>
      <c r="BM37" s="60"/>
    </row>
    <row r="38" spans="1:65" s="51" customFormat="1" ht="30" customHeight="1" thickBot="1" x14ac:dyDescent="0.35">
      <c r="A38" s="46"/>
      <c r="B38" s="88" t="s">
        <v>266</v>
      </c>
      <c r="C38" s="87" t="s">
        <v>119</v>
      </c>
      <c r="D38" s="87">
        <v>0.4</v>
      </c>
      <c r="E38" s="86">
        <v>43721</v>
      </c>
      <c r="F38" s="86">
        <f>E38+1</f>
        <v>43722</v>
      </c>
      <c r="G38" s="61"/>
      <c r="H38" s="61">
        <f t="shared" si="4"/>
        <v>2</v>
      </c>
      <c r="I38" s="89" t="s">
        <v>265</v>
      </c>
      <c r="J38" s="60"/>
      <c r="K38" s="60"/>
      <c r="L38" s="60"/>
      <c r="M38" s="60"/>
      <c r="N38" s="60"/>
      <c r="O38" s="60"/>
      <c r="P38" s="60"/>
      <c r="Q38" s="60"/>
      <c r="R38" s="60"/>
      <c r="S38" s="60"/>
      <c r="T38" s="60"/>
      <c r="U38" s="60"/>
      <c r="V38" s="60"/>
      <c r="W38" s="60"/>
      <c r="X38" s="60"/>
      <c r="Y38" s="60"/>
      <c r="Z38" s="60"/>
      <c r="AA38" s="60"/>
      <c r="AB38" s="60"/>
      <c r="AC38" s="60"/>
      <c r="AD38" s="60"/>
      <c r="AE38" s="60"/>
      <c r="AF38" s="60"/>
      <c r="AG38" s="60"/>
      <c r="AH38" s="60"/>
      <c r="AI38" s="60"/>
      <c r="AJ38" s="60"/>
      <c r="AK38" s="60"/>
      <c r="AL38" s="60"/>
      <c r="AM38" s="60"/>
      <c r="AN38" s="60"/>
      <c r="AO38" s="60"/>
      <c r="AP38" s="60"/>
      <c r="AQ38" s="60"/>
      <c r="AR38" s="60"/>
      <c r="AS38" s="60"/>
      <c r="AT38" s="60"/>
      <c r="AU38" s="60"/>
      <c r="AV38" s="60"/>
      <c r="AW38" s="60"/>
      <c r="AX38" s="60"/>
      <c r="AY38" s="60"/>
      <c r="AZ38" s="60"/>
      <c r="BA38" s="60"/>
      <c r="BB38" s="60"/>
      <c r="BC38" s="60"/>
      <c r="BD38" s="60"/>
      <c r="BE38" s="60"/>
      <c r="BF38" s="60"/>
      <c r="BG38" s="60"/>
      <c r="BH38" s="60"/>
      <c r="BI38" s="60"/>
      <c r="BJ38" s="60"/>
      <c r="BK38" s="60"/>
      <c r="BL38" s="60"/>
      <c r="BM38" s="60"/>
    </row>
    <row r="39" spans="1:65" s="51" customFormat="1" ht="30" customHeight="1" thickBot="1" x14ac:dyDescent="0.35">
      <c r="A39" s="46"/>
      <c r="B39" s="88" t="s">
        <v>264</v>
      </c>
      <c r="C39" s="87" t="s">
        <v>119</v>
      </c>
      <c r="D39" s="87">
        <v>0.8</v>
      </c>
      <c r="E39" s="86">
        <f>E38</f>
        <v>43721</v>
      </c>
      <c r="F39" s="86">
        <f>E39+3</f>
        <v>43724</v>
      </c>
      <c r="G39" s="61"/>
      <c r="H39" s="61">
        <f t="shared" ref="H39:H70" si="5">IF(OR(ISBLANK(task_start),ISBLANK(task_end)),"",task_end-task_start+1)</f>
        <v>4</v>
      </c>
      <c r="I39" s="66"/>
      <c r="J39" s="60"/>
      <c r="K39" s="60"/>
      <c r="L39" s="60"/>
      <c r="M39" s="60"/>
      <c r="N39" s="60"/>
      <c r="O39" s="60"/>
      <c r="P39" s="60"/>
      <c r="Q39" s="60"/>
      <c r="R39" s="60"/>
      <c r="S39" s="60"/>
      <c r="T39" s="60"/>
      <c r="U39" s="60"/>
      <c r="V39" s="60"/>
      <c r="W39" s="60"/>
      <c r="X39" s="60"/>
      <c r="Y39" s="60"/>
      <c r="Z39" s="90"/>
      <c r="AA39" s="60"/>
      <c r="AB39" s="60"/>
      <c r="AC39" s="60"/>
      <c r="AD39" s="60"/>
      <c r="AE39" s="60"/>
      <c r="AF39" s="60"/>
      <c r="AG39" s="60"/>
      <c r="AH39" s="60"/>
      <c r="AI39" s="60"/>
      <c r="AJ39" s="60"/>
      <c r="AK39" s="60"/>
      <c r="AL39" s="60"/>
      <c r="AM39" s="60"/>
      <c r="AN39" s="60"/>
      <c r="AO39" s="60"/>
      <c r="AP39" s="60"/>
      <c r="AQ39" s="60"/>
      <c r="AR39" s="60"/>
      <c r="AS39" s="60"/>
      <c r="AT39" s="60"/>
      <c r="AU39" s="60"/>
      <c r="AV39" s="60"/>
      <c r="AW39" s="60"/>
      <c r="AX39" s="60"/>
      <c r="AY39" s="60"/>
      <c r="AZ39" s="60"/>
      <c r="BA39" s="60"/>
      <c r="BB39" s="60"/>
      <c r="BC39" s="60"/>
      <c r="BD39" s="60"/>
      <c r="BE39" s="60"/>
      <c r="BF39" s="60"/>
      <c r="BG39" s="60"/>
      <c r="BH39" s="60"/>
      <c r="BI39" s="60"/>
      <c r="BJ39" s="60"/>
      <c r="BK39" s="60"/>
      <c r="BL39" s="60"/>
      <c r="BM39" s="60"/>
    </row>
    <row r="40" spans="1:65" s="51" customFormat="1" ht="30" customHeight="1" thickBot="1" x14ac:dyDescent="0.35">
      <c r="A40" s="46"/>
      <c r="B40" s="88" t="s">
        <v>263</v>
      </c>
      <c r="C40" s="87" t="s">
        <v>119</v>
      </c>
      <c r="D40" s="87">
        <v>0.4</v>
      </c>
      <c r="E40" s="86">
        <v>43723</v>
      </c>
      <c r="F40" s="86">
        <f>E40+3</f>
        <v>43726</v>
      </c>
      <c r="G40" s="61"/>
      <c r="H40" s="61">
        <f t="shared" si="5"/>
        <v>4</v>
      </c>
      <c r="I40" s="89" t="s">
        <v>262</v>
      </c>
      <c r="J40" s="60"/>
      <c r="K40" s="60"/>
      <c r="L40" s="60"/>
      <c r="M40" s="60"/>
      <c r="N40" s="60"/>
      <c r="O40" s="60"/>
      <c r="P40" s="60"/>
      <c r="Q40" s="60"/>
      <c r="R40" s="60"/>
      <c r="S40" s="60"/>
      <c r="T40" s="60"/>
      <c r="U40" s="60"/>
      <c r="V40" s="60"/>
      <c r="W40" s="60"/>
      <c r="X40" s="60"/>
      <c r="Y40" s="60"/>
      <c r="Z40" s="90"/>
      <c r="AA40" s="60"/>
      <c r="AB40" s="60"/>
      <c r="AC40" s="60"/>
      <c r="AD40" s="60"/>
      <c r="AE40" s="60"/>
      <c r="AF40" s="60"/>
      <c r="AG40" s="60"/>
      <c r="AH40" s="60"/>
      <c r="AI40" s="60"/>
      <c r="AJ40" s="60"/>
      <c r="AK40" s="60"/>
      <c r="AL40" s="60"/>
      <c r="AM40" s="60"/>
      <c r="AN40" s="60"/>
      <c r="AO40" s="60"/>
      <c r="AP40" s="60"/>
      <c r="AQ40" s="60"/>
      <c r="AR40" s="60"/>
      <c r="AS40" s="60"/>
      <c r="AT40" s="60"/>
      <c r="AU40" s="60"/>
      <c r="AV40" s="60"/>
      <c r="AW40" s="60"/>
      <c r="AX40" s="60"/>
      <c r="AY40" s="60"/>
      <c r="AZ40" s="60"/>
      <c r="BA40" s="60"/>
      <c r="BB40" s="60"/>
      <c r="BC40" s="60"/>
      <c r="BD40" s="60"/>
      <c r="BE40" s="60"/>
      <c r="BF40" s="60"/>
      <c r="BG40" s="60"/>
      <c r="BH40" s="60"/>
      <c r="BI40" s="60"/>
      <c r="BJ40" s="60"/>
      <c r="BK40" s="60"/>
      <c r="BL40" s="60"/>
      <c r="BM40" s="60"/>
    </row>
    <row r="41" spans="1:65" s="51" customFormat="1" ht="30" customHeight="1" thickBot="1" x14ac:dyDescent="0.35">
      <c r="A41" s="46"/>
      <c r="B41" s="88" t="s">
        <v>261</v>
      </c>
      <c r="C41" s="87" t="s">
        <v>119</v>
      </c>
      <c r="D41" s="87">
        <v>0</v>
      </c>
      <c r="E41" s="86"/>
      <c r="F41" s="86">
        <f>E41+3</f>
        <v>3</v>
      </c>
      <c r="G41" s="61"/>
      <c r="H41" s="61" t="str">
        <f t="shared" si="5"/>
        <v/>
      </c>
      <c r="I41" s="66"/>
      <c r="J41" s="60"/>
      <c r="K41" s="60"/>
      <c r="L41" s="60"/>
      <c r="M41" s="60"/>
      <c r="N41" s="60"/>
      <c r="O41" s="60"/>
      <c r="P41" s="60"/>
      <c r="Q41" s="60"/>
      <c r="R41" s="60"/>
      <c r="S41" s="60"/>
      <c r="T41" s="60"/>
      <c r="U41" s="60"/>
      <c r="V41" s="60"/>
      <c r="W41" s="60"/>
      <c r="X41" s="60"/>
      <c r="Y41" s="60"/>
      <c r="Z41" s="90"/>
      <c r="AA41" s="60"/>
      <c r="AB41" s="60"/>
      <c r="AC41" s="60"/>
      <c r="AD41" s="60"/>
      <c r="AE41" s="60"/>
      <c r="AF41" s="60"/>
      <c r="AG41" s="60"/>
      <c r="AH41" s="60"/>
      <c r="AI41" s="60"/>
      <c r="AJ41" s="60"/>
      <c r="AK41" s="60"/>
      <c r="AL41" s="60"/>
      <c r="AM41" s="60"/>
      <c r="AN41" s="60"/>
      <c r="AO41" s="60"/>
      <c r="AP41" s="60"/>
      <c r="AQ41" s="60"/>
      <c r="AR41" s="60"/>
      <c r="AS41" s="60"/>
      <c r="AT41" s="60"/>
      <c r="AU41" s="60"/>
      <c r="AV41" s="60"/>
      <c r="AW41" s="60"/>
      <c r="AX41" s="60"/>
      <c r="AY41" s="60"/>
      <c r="AZ41" s="60"/>
      <c r="BA41" s="60"/>
      <c r="BB41" s="60"/>
      <c r="BC41" s="60"/>
      <c r="BD41" s="60"/>
      <c r="BE41" s="60"/>
      <c r="BF41" s="60"/>
      <c r="BG41" s="60"/>
      <c r="BH41" s="60"/>
      <c r="BI41" s="60"/>
      <c r="BJ41" s="60"/>
      <c r="BK41" s="60"/>
      <c r="BL41" s="60"/>
      <c r="BM41" s="60"/>
    </row>
    <row r="42" spans="1:65" s="51" customFormat="1" ht="30" customHeight="1" thickBot="1" x14ac:dyDescent="0.35">
      <c r="A42" s="46"/>
      <c r="B42" s="88" t="s">
        <v>260</v>
      </c>
      <c r="C42" s="87"/>
      <c r="D42" s="87">
        <v>0.5</v>
      </c>
      <c r="E42" s="86">
        <v>43727</v>
      </c>
      <c r="F42" s="86">
        <f>E42+1</f>
        <v>43728</v>
      </c>
      <c r="G42" s="61"/>
      <c r="H42" s="61">
        <f t="shared" si="5"/>
        <v>2</v>
      </c>
      <c r="I42" s="66" t="s">
        <v>259</v>
      </c>
      <c r="J42" s="60"/>
      <c r="K42" s="60"/>
      <c r="L42" s="60"/>
      <c r="M42" s="60"/>
      <c r="N42" s="60"/>
      <c r="O42" s="60"/>
      <c r="P42" s="60"/>
      <c r="Q42" s="60"/>
      <c r="R42" s="60"/>
      <c r="S42" s="60"/>
      <c r="T42" s="60"/>
      <c r="U42" s="60"/>
      <c r="V42" s="60"/>
      <c r="W42" s="60"/>
      <c r="X42" s="60"/>
      <c r="Y42" s="60"/>
      <c r="Z42" s="90"/>
      <c r="AA42" s="60"/>
      <c r="AB42" s="60"/>
      <c r="AC42" s="60"/>
      <c r="AD42" s="60"/>
      <c r="AE42" s="60"/>
      <c r="AF42" s="60"/>
      <c r="AG42" s="60"/>
      <c r="AH42" s="60"/>
      <c r="AI42" s="60"/>
      <c r="AJ42" s="60"/>
      <c r="AK42" s="60"/>
      <c r="AL42" s="60"/>
      <c r="AM42" s="60"/>
      <c r="AN42" s="60"/>
      <c r="AO42" s="60"/>
      <c r="AP42" s="60"/>
      <c r="AQ42" s="60"/>
      <c r="AR42" s="60"/>
      <c r="AS42" s="60"/>
      <c r="AT42" s="60"/>
      <c r="AU42" s="60"/>
      <c r="AV42" s="60"/>
      <c r="AW42" s="60"/>
      <c r="AX42" s="60"/>
      <c r="AY42" s="60"/>
      <c r="AZ42" s="60"/>
      <c r="BA42" s="60"/>
      <c r="BB42" s="60"/>
      <c r="BC42" s="60"/>
      <c r="BD42" s="60"/>
      <c r="BE42" s="60"/>
      <c r="BF42" s="60"/>
      <c r="BG42" s="60"/>
      <c r="BH42" s="60"/>
      <c r="BI42" s="60"/>
      <c r="BJ42" s="60"/>
      <c r="BK42" s="60"/>
      <c r="BL42" s="60"/>
      <c r="BM42" s="60"/>
    </row>
    <row r="43" spans="1:65" s="51" customFormat="1" ht="30" customHeight="1" thickBot="1" x14ac:dyDescent="0.35">
      <c r="A43" s="46"/>
      <c r="B43" s="88" t="s">
        <v>258</v>
      </c>
      <c r="C43" s="87" t="s">
        <v>119</v>
      </c>
      <c r="D43" s="87">
        <v>0.9</v>
      </c>
      <c r="E43" s="86">
        <v>43728</v>
      </c>
      <c r="F43" s="86">
        <f>E43+1</f>
        <v>43729</v>
      </c>
      <c r="G43" s="61"/>
      <c r="H43" s="61">
        <f t="shared" si="5"/>
        <v>2</v>
      </c>
      <c r="I43" s="66"/>
      <c r="J43" s="60"/>
      <c r="K43" s="60"/>
      <c r="L43" s="60"/>
      <c r="M43" s="60"/>
      <c r="N43" s="60"/>
      <c r="O43" s="60"/>
      <c r="P43" s="60"/>
      <c r="Q43" s="60"/>
      <c r="R43" s="60"/>
      <c r="S43" s="60"/>
      <c r="T43" s="60"/>
      <c r="U43" s="60"/>
      <c r="V43" s="60"/>
      <c r="W43" s="60"/>
      <c r="X43" s="60"/>
      <c r="Y43" s="60"/>
      <c r="Z43" s="60"/>
      <c r="AA43" s="60"/>
      <c r="AB43" s="60"/>
      <c r="AC43" s="60"/>
      <c r="AD43" s="60"/>
      <c r="AE43" s="60"/>
      <c r="AF43" s="60"/>
      <c r="AG43" s="60"/>
      <c r="AH43" s="60"/>
      <c r="AI43" s="60"/>
      <c r="AJ43" s="60"/>
      <c r="AK43" s="60"/>
      <c r="AL43" s="60"/>
      <c r="AM43" s="60"/>
      <c r="AN43" s="60"/>
      <c r="AO43" s="60"/>
      <c r="AP43" s="60"/>
      <c r="AQ43" s="60"/>
      <c r="AR43" s="60"/>
      <c r="AS43" s="60"/>
      <c r="AT43" s="60"/>
      <c r="AU43" s="60"/>
      <c r="AV43" s="60"/>
      <c r="AW43" s="60"/>
      <c r="AX43" s="60"/>
      <c r="AY43" s="60"/>
      <c r="AZ43" s="60"/>
      <c r="BA43" s="60"/>
      <c r="BB43" s="60"/>
      <c r="BC43" s="60"/>
      <c r="BD43" s="60"/>
      <c r="BE43" s="60"/>
      <c r="BF43" s="60"/>
      <c r="BG43" s="60"/>
      <c r="BH43" s="60"/>
      <c r="BI43" s="60"/>
      <c r="BJ43" s="60"/>
      <c r="BK43" s="60"/>
      <c r="BL43" s="60"/>
      <c r="BM43" s="60"/>
    </row>
    <row r="44" spans="1:65" s="51" customFormat="1" ht="30" customHeight="1" thickBot="1" x14ac:dyDescent="0.35">
      <c r="A44" s="46"/>
      <c r="B44" s="88" t="s">
        <v>257</v>
      </c>
      <c r="C44" s="87" t="s">
        <v>119</v>
      </c>
      <c r="D44" s="87">
        <v>0.95</v>
      </c>
      <c r="E44" s="86">
        <v>43725</v>
      </c>
      <c r="F44" s="86">
        <f>E44+4</f>
        <v>43729</v>
      </c>
      <c r="G44" s="61"/>
      <c r="H44" s="61">
        <f t="shared" si="5"/>
        <v>5</v>
      </c>
      <c r="I44" s="89" t="s">
        <v>256</v>
      </c>
      <c r="J44" s="60"/>
      <c r="K44" s="60"/>
      <c r="L44" s="60"/>
      <c r="M44" s="60"/>
      <c r="N44" s="60"/>
      <c r="O44" s="60"/>
      <c r="P44" s="60"/>
      <c r="Q44" s="60"/>
      <c r="R44" s="60"/>
      <c r="S44" s="60"/>
      <c r="T44" s="60"/>
      <c r="U44" s="60"/>
      <c r="V44" s="60"/>
      <c r="W44" s="60"/>
      <c r="X44" s="60"/>
      <c r="Y44" s="60"/>
      <c r="Z44" s="60"/>
      <c r="AA44" s="60"/>
      <c r="AB44" s="60"/>
      <c r="AC44" s="60"/>
      <c r="AD44" s="60"/>
      <c r="AE44" s="60"/>
      <c r="AF44" s="60"/>
      <c r="AG44" s="60"/>
      <c r="AH44" s="60"/>
      <c r="AI44" s="60"/>
      <c r="AJ44" s="60"/>
      <c r="AK44" s="60"/>
      <c r="AL44" s="60"/>
      <c r="AM44" s="60"/>
      <c r="AN44" s="60"/>
      <c r="AO44" s="60"/>
      <c r="AP44" s="60"/>
      <c r="AQ44" s="60"/>
      <c r="AR44" s="60"/>
      <c r="AS44" s="60"/>
      <c r="AT44" s="60"/>
      <c r="AU44" s="60"/>
      <c r="AV44" s="60"/>
      <c r="AW44" s="60"/>
      <c r="AX44" s="60"/>
      <c r="AY44" s="60"/>
      <c r="AZ44" s="60"/>
      <c r="BA44" s="60"/>
      <c r="BB44" s="60"/>
      <c r="BC44" s="60"/>
      <c r="BD44" s="60"/>
      <c r="BE44" s="60"/>
      <c r="BF44" s="60"/>
      <c r="BG44" s="60"/>
      <c r="BH44" s="60"/>
      <c r="BI44" s="60"/>
      <c r="BJ44" s="60"/>
      <c r="BK44" s="60"/>
      <c r="BL44" s="60"/>
      <c r="BM44" s="60"/>
    </row>
    <row r="45" spans="1:65" s="51" customFormat="1" ht="30" customHeight="1" thickBot="1" x14ac:dyDescent="0.35">
      <c r="A45" s="46"/>
      <c r="B45" s="88" t="s">
        <v>255</v>
      </c>
      <c r="C45" s="87" t="s">
        <v>119</v>
      </c>
      <c r="D45" s="87">
        <v>0.8</v>
      </c>
      <c r="E45" s="86">
        <v>43862</v>
      </c>
      <c r="F45" s="86">
        <f t="shared" ref="F45:F76" si="6">E45+28</f>
        <v>43890</v>
      </c>
      <c r="G45" s="61"/>
      <c r="H45" s="61">
        <f t="shared" si="5"/>
        <v>29</v>
      </c>
      <c r="I45" s="89" t="s">
        <v>254</v>
      </c>
      <c r="J45" s="60"/>
      <c r="K45" s="60"/>
      <c r="L45" s="60"/>
      <c r="M45" s="60"/>
      <c r="N45" s="60"/>
      <c r="O45" s="60"/>
      <c r="P45" s="60"/>
      <c r="Q45" s="60"/>
      <c r="R45" s="60"/>
      <c r="S45" s="60"/>
      <c r="T45" s="60"/>
      <c r="U45" s="60"/>
      <c r="V45" s="60"/>
      <c r="W45" s="60"/>
      <c r="X45" s="60"/>
      <c r="Y45" s="60"/>
      <c r="Z45" s="60"/>
      <c r="AA45" s="60"/>
      <c r="AB45" s="60"/>
      <c r="AC45" s="60"/>
      <c r="AD45" s="60"/>
      <c r="AE45" s="60"/>
      <c r="AF45" s="60"/>
      <c r="AG45" s="60"/>
      <c r="AH45" s="60"/>
      <c r="AI45" s="60"/>
      <c r="AJ45" s="60"/>
      <c r="AK45" s="60"/>
      <c r="AL45" s="60"/>
      <c r="AM45" s="60"/>
      <c r="AN45" s="60"/>
      <c r="AO45" s="60"/>
      <c r="AP45" s="60"/>
      <c r="AQ45" s="60"/>
      <c r="AR45" s="60"/>
      <c r="AS45" s="60"/>
      <c r="AT45" s="60"/>
      <c r="AU45" s="60"/>
      <c r="AV45" s="60"/>
      <c r="AW45" s="60"/>
      <c r="AX45" s="60"/>
      <c r="AY45" s="60"/>
      <c r="AZ45" s="60"/>
      <c r="BA45" s="60"/>
      <c r="BB45" s="60"/>
      <c r="BC45" s="60"/>
      <c r="BD45" s="60"/>
      <c r="BE45" s="60"/>
      <c r="BF45" s="60"/>
      <c r="BG45" s="60"/>
      <c r="BH45" s="60"/>
      <c r="BI45" s="60"/>
      <c r="BJ45" s="60"/>
      <c r="BK45" s="60"/>
      <c r="BL45" s="60"/>
      <c r="BM45" s="60"/>
    </row>
    <row r="46" spans="1:65" s="51" customFormat="1" ht="30" customHeight="1" thickBot="1" x14ac:dyDescent="0.35">
      <c r="A46" s="46"/>
      <c r="B46" s="88" t="s">
        <v>253</v>
      </c>
      <c r="C46" s="87" t="s">
        <v>119</v>
      </c>
      <c r="D46" s="87">
        <v>0.8</v>
      </c>
      <c r="E46" s="86">
        <v>43862</v>
      </c>
      <c r="F46" s="86">
        <f t="shared" si="6"/>
        <v>43890</v>
      </c>
      <c r="G46" s="61"/>
      <c r="H46" s="61">
        <f t="shared" si="5"/>
        <v>29</v>
      </c>
      <c r="I46" s="66"/>
      <c r="J46" s="60"/>
      <c r="K46" s="60"/>
      <c r="L46" s="60"/>
      <c r="M46" s="60"/>
      <c r="N46" s="60"/>
      <c r="O46" s="60"/>
      <c r="P46" s="60"/>
      <c r="Q46" s="60"/>
      <c r="R46" s="60"/>
      <c r="S46" s="60"/>
      <c r="T46" s="60"/>
      <c r="U46" s="60"/>
      <c r="V46" s="60"/>
      <c r="W46" s="60"/>
      <c r="X46" s="60"/>
      <c r="Y46" s="60"/>
      <c r="Z46" s="60"/>
      <c r="AA46" s="60"/>
      <c r="AB46" s="60"/>
      <c r="AC46" s="60"/>
      <c r="AD46" s="60"/>
      <c r="AE46" s="60"/>
      <c r="AF46" s="60"/>
      <c r="AG46" s="60"/>
      <c r="AH46" s="60"/>
      <c r="AI46" s="60"/>
      <c r="AJ46" s="60"/>
      <c r="AK46" s="60"/>
      <c r="AL46" s="60"/>
      <c r="AM46" s="60"/>
      <c r="AN46" s="60"/>
      <c r="AO46" s="60"/>
      <c r="AP46" s="60"/>
      <c r="AQ46" s="60"/>
      <c r="AR46" s="60"/>
      <c r="AS46" s="60"/>
      <c r="AT46" s="60"/>
      <c r="AU46" s="60"/>
      <c r="AV46" s="60"/>
      <c r="AW46" s="60"/>
      <c r="AX46" s="60"/>
      <c r="AY46" s="60"/>
      <c r="AZ46" s="60"/>
      <c r="BA46" s="60"/>
      <c r="BB46" s="60"/>
      <c r="BC46" s="60"/>
      <c r="BD46" s="60"/>
      <c r="BE46" s="60"/>
      <c r="BF46" s="60"/>
      <c r="BG46" s="60"/>
      <c r="BH46" s="60"/>
      <c r="BI46" s="60"/>
      <c r="BJ46" s="60"/>
      <c r="BK46" s="60"/>
      <c r="BL46" s="60"/>
      <c r="BM46" s="60"/>
    </row>
    <row r="47" spans="1:65" s="51" customFormat="1" ht="30" customHeight="1" thickBot="1" x14ac:dyDescent="0.35">
      <c r="A47" s="46"/>
      <c r="B47" s="88" t="s">
        <v>252</v>
      </c>
      <c r="C47" s="87" t="s">
        <v>119</v>
      </c>
      <c r="D47" s="87">
        <v>0.8</v>
      </c>
      <c r="E47" s="86">
        <v>43862</v>
      </c>
      <c r="F47" s="86">
        <f t="shared" si="6"/>
        <v>43890</v>
      </c>
      <c r="G47" s="61"/>
      <c r="H47" s="61">
        <f t="shared" si="5"/>
        <v>29</v>
      </c>
      <c r="I47" s="66"/>
      <c r="J47" s="60"/>
      <c r="K47" s="60"/>
      <c r="L47" s="60"/>
      <c r="M47" s="60"/>
      <c r="N47" s="60"/>
      <c r="O47" s="60"/>
      <c r="P47" s="60"/>
      <c r="Q47" s="60"/>
      <c r="R47" s="60"/>
      <c r="S47" s="60"/>
      <c r="T47" s="60"/>
      <c r="U47" s="60"/>
      <c r="V47" s="60"/>
      <c r="W47" s="60"/>
      <c r="X47" s="60"/>
      <c r="Y47" s="60"/>
      <c r="Z47" s="60"/>
      <c r="AA47" s="60"/>
      <c r="AB47" s="60"/>
      <c r="AC47" s="60"/>
      <c r="AD47" s="60"/>
      <c r="AE47" s="60"/>
      <c r="AF47" s="60"/>
      <c r="AG47" s="60"/>
      <c r="AH47" s="60"/>
      <c r="AI47" s="60"/>
      <c r="AJ47" s="60"/>
      <c r="AK47" s="60"/>
      <c r="AL47" s="60"/>
      <c r="AM47" s="60"/>
      <c r="AN47" s="60"/>
      <c r="AO47" s="60"/>
      <c r="AP47" s="60"/>
      <c r="AQ47" s="60"/>
      <c r="AR47" s="60"/>
      <c r="AS47" s="60"/>
      <c r="AT47" s="60"/>
      <c r="AU47" s="60"/>
      <c r="AV47" s="60"/>
      <c r="AW47" s="60"/>
      <c r="AX47" s="60"/>
      <c r="AY47" s="60"/>
      <c r="AZ47" s="60"/>
      <c r="BA47" s="60"/>
      <c r="BB47" s="60"/>
      <c r="BC47" s="60"/>
      <c r="BD47" s="60"/>
      <c r="BE47" s="60"/>
      <c r="BF47" s="60"/>
      <c r="BG47" s="60"/>
      <c r="BH47" s="60"/>
      <c r="BI47" s="60"/>
      <c r="BJ47" s="60"/>
      <c r="BK47" s="60"/>
      <c r="BL47" s="60"/>
      <c r="BM47" s="60"/>
    </row>
    <row r="48" spans="1:65" s="51" customFormat="1" ht="30" customHeight="1" thickBot="1" x14ac:dyDescent="0.35">
      <c r="A48" s="46"/>
      <c r="B48" s="88" t="s">
        <v>251</v>
      </c>
      <c r="C48" s="87" t="s">
        <v>119</v>
      </c>
      <c r="D48" s="87">
        <v>0.8</v>
      </c>
      <c r="E48" s="86">
        <v>43862</v>
      </c>
      <c r="F48" s="86">
        <f t="shared" si="6"/>
        <v>43890</v>
      </c>
      <c r="G48" s="61"/>
      <c r="H48" s="61">
        <f t="shared" si="5"/>
        <v>29</v>
      </c>
      <c r="I48" s="66"/>
      <c r="J48" s="60"/>
      <c r="K48" s="60"/>
      <c r="L48" s="60"/>
      <c r="M48" s="60"/>
      <c r="N48" s="60"/>
      <c r="O48" s="60"/>
      <c r="P48" s="60"/>
      <c r="Q48" s="60"/>
      <c r="R48" s="60"/>
      <c r="S48" s="60"/>
      <c r="T48" s="60"/>
      <c r="U48" s="60"/>
      <c r="V48" s="60"/>
      <c r="W48" s="60"/>
      <c r="X48" s="60"/>
      <c r="Y48" s="60"/>
      <c r="Z48" s="60"/>
      <c r="AA48" s="60"/>
      <c r="AB48" s="60"/>
      <c r="AC48" s="60"/>
      <c r="AD48" s="60"/>
      <c r="AE48" s="60"/>
      <c r="AF48" s="60"/>
      <c r="AG48" s="60"/>
      <c r="AH48" s="60"/>
      <c r="AI48" s="60"/>
      <c r="AJ48" s="60"/>
      <c r="AK48" s="60"/>
      <c r="AL48" s="60"/>
      <c r="AM48" s="60"/>
      <c r="AN48" s="60"/>
      <c r="AO48" s="60"/>
      <c r="AP48" s="60"/>
      <c r="AQ48" s="60"/>
      <c r="AR48" s="60"/>
      <c r="AS48" s="60"/>
      <c r="AT48" s="60"/>
      <c r="AU48" s="60"/>
      <c r="AV48" s="60"/>
      <c r="AW48" s="60"/>
      <c r="AX48" s="60"/>
      <c r="AY48" s="60"/>
      <c r="AZ48" s="60"/>
      <c r="BA48" s="60"/>
      <c r="BB48" s="60"/>
      <c r="BC48" s="60"/>
      <c r="BD48" s="60"/>
      <c r="BE48" s="60"/>
      <c r="BF48" s="60"/>
      <c r="BG48" s="60"/>
      <c r="BH48" s="60"/>
      <c r="BI48" s="60"/>
      <c r="BJ48" s="60"/>
      <c r="BK48" s="60"/>
      <c r="BL48" s="60"/>
      <c r="BM48" s="60"/>
    </row>
    <row r="49" spans="1:65" s="51" customFormat="1" ht="30" customHeight="1" thickBot="1" x14ac:dyDescent="0.35">
      <c r="A49" s="46"/>
      <c r="B49" s="88" t="s">
        <v>250</v>
      </c>
      <c r="C49" s="87" t="s">
        <v>119</v>
      </c>
      <c r="D49" s="87">
        <v>0.8</v>
      </c>
      <c r="E49" s="86">
        <v>43862</v>
      </c>
      <c r="F49" s="86">
        <f t="shared" si="6"/>
        <v>43890</v>
      </c>
      <c r="G49" s="61"/>
      <c r="H49" s="61">
        <f t="shared" si="5"/>
        <v>29</v>
      </c>
      <c r="I49" s="66"/>
      <c r="J49" s="60"/>
      <c r="K49" s="60"/>
      <c r="L49" s="60"/>
      <c r="M49" s="60"/>
      <c r="N49" s="60"/>
      <c r="O49" s="60"/>
      <c r="P49" s="60"/>
      <c r="Q49" s="60"/>
      <c r="R49" s="60"/>
      <c r="S49" s="60"/>
      <c r="T49" s="60"/>
      <c r="U49" s="60"/>
      <c r="V49" s="60"/>
      <c r="W49" s="60"/>
      <c r="X49" s="60"/>
      <c r="Y49" s="60"/>
      <c r="Z49" s="60"/>
      <c r="AA49" s="60"/>
      <c r="AB49" s="60"/>
      <c r="AC49" s="60"/>
      <c r="AD49" s="60"/>
      <c r="AE49" s="60"/>
      <c r="AF49" s="60"/>
      <c r="AG49" s="60"/>
      <c r="AH49" s="60"/>
      <c r="AI49" s="60"/>
      <c r="AJ49" s="60"/>
      <c r="AK49" s="60"/>
      <c r="AL49" s="60"/>
      <c r="AM49" s="60"/>
      <c r="AN49" s="60"/>
      <c r="AO49" s="60"/>
      <c r="AP49" s="60"/>
      <c r="AQ49" s="60"/>
      <c r="AR49" s="60"/>
      <c r="AS49" s="60"/>
      <c r="AT49" s="60"/>
      <c r="AU49" s="60"/>
      <c r="AV49" s="60"/>
      <c r="AW49" s="60"/>
      <c r="AX49" s="60"/>
      <c r="AY49" s="60"/>
      <c r="AZ49" s="60"/>
      <c r="BA49" s="60"/>
      <c r="BB49" s="60"/>
      <c r="BC49" s="60"/>
      <c r="BD49" s="60"/>
      <c r="BE49" s="60"/>
      <c r="BF49" s="60"/>
      <c r="BG49" s="60"/>
      <c r="BH49" s="60"/>
      <c r="BI49" s="60"/>
      <c r="BJ49" s="60"/>
      <c r="BK49" s="60"/>
      <c r="BL49" s="60"/>
      <c r="BM49" s="60"/>
    </row>
    <row r="50" spans="1:65" s="51" customFormat="1" ht="30" customHeight="1" thickBot="1" x14ac:dyDescent="0.35">
      <c r="A50" s="46"/>
      <c r="B50" s="88" t="s">
        <v>249</v>
      </c>
      <c r="C50" s="87" t="s">
        <v>119</v>
      </c>
      <c r="D50" s="87">
        <v>0.8</v>
      </c>
      <c r="E50" s="86">
        <v>43862</v>
      </c>
      <c r="F50" s="86">
        <f t="shared" si="6"/>
        <v>43890</v>
      </c>
      <c r="G50" s="61"/>
      <c r="H50" s="61">
        <f t="shared" si="5"/>
        <v>29</v>
      </c>
      <c r="I50" s="66"/>
      <c r="J50" s="60"/>
      <c r="K50" s="60"/>
      <c r="L50" s="60"/>
      <c r="M50" s="60"/>
      <c r="N50" s="60"/>
      <c r="O50" s="60"/>
      <c r="P50" s="60"/>
      <c r="Q50" s="60"/>
      <c r="R50" s="60"/>
      <c r="S50" s="60"/>
      <c r="T50" s="60"/>
      <c r="U50" s="60"/>
      <c r="V50" s="60"/>
      <c r="W50" s="60"/>
      <c r="X50" s="60"/>
      <c r="Y50" s="60"/>
      <c r="Z50" s="60"/>
      <c r="AA50" s="60"/>
      <c r="AB50" s="60"/>
      <c r="AC50" s="60"/>
      <c r="AD50" s="60"/>
      <c r="AE50" s="60"/>
      <c r="AF50" s="60"/>
      <c r="AG50" s="60"/>
      <c r="AH50" s="60"/>
      <c r="AI50" s="60"/>
      <c r="AJ50" s="60"/>
      <c r="AK50" s="60"/>
      <c r="AL50" s="60"/>
      <c r="AM50" s="60"/>
      <c r="AN50" s="60"/>
      <c r="AO50" s="60"/>
      <c r="AP50" s="60"/>
      <c r="AQ50" s="60"/>
      <c r="AR50" s="60"/>
      <c r="AS50" s="60"/>
      <c r="AT50" s="60"/>
      <c r="AU50" s="60"/>
      <c r="AV50" s="60"/>
      <c r="AW50" s="60"/>
      <c r="AX50" s="60"/>
      <c r="AY50" s="60"/>
      <c r="AZ50" s="60"/>
      <c r="BA50" s="60"/>
      <c r="BB50" s="60"/>
      <c r="BC50" s="60"/>
      <c r="BD50" s="60"/>
      <c r="BE50" s="60"/>
      <c r="BF50" s="60"/>
      <c r="BG50" s="60"/>
      <c r="BH50" s="60"/>
      <c r="BI50" s="60"/>
      <c r="BJ50" s="60"/>
      <c r="BK50" s="60"/>
      <c r="BL50" s="60"/>
      <c r="BM50" s="60"/>
    </row>
    <row r="51" spans="1:65" s="51" customFormat="1" ht="30" customHeight="1" thickBot="1" x14ac:dyDescent="0.35">
      <c r="A51" s="46"/>
      <c r="B51" s="88" t="s">
        <v>248</v>
      </c>
      <c r="C51" s="87" t="s">
        <v>119</v>
      </c>
      <c r="D51" s="87">
        <v>0.8</v>
      </c>
      <c r="E51" s="86">
        <v>43862</v>
      </c>
      <c r="F51" s="86">
        <f t="shared" si="6"/>
        <v>43890</v>
      </c>
      <c r="G51" s="61"/>
      <c r="H51" s="61">
        <f t="shared" si="5"/>
        <v>29</v>
      </c>
      <c r="I51" s="66"/>
      <c r="J51" s="60"/>
      <c r="K51" s="60"/>
      <c r="L51" s="60"/>
      <c r="M51" s="60"/>
      <c r="N51" s="60"/>
      <c r="O51" s="60"/>
      <c r="P51" s="60"/>
      <c r="Q51" s="60"/>
      <c r="R51" s="60"/>
      <c r="S51" s="60"/>
      <c r="T51" s="60"/>
      <c r="U51" s="60"/>
      <c r="V51" s="60"/>
      <c r="W51" s="60"/>
      <c r="X51" s="60"/>
      <c r="Y51" s="60"/>
      <c r="Z51" s="60"/>
      <c r="AA51" s="60"/>
      <c r="AB51" s="60"/>
      <c r="AC51" s="60"/>
      <c r="AD51" s="60"/>
      <c r="AE51" s="60"/>
      <c r="AF51" s="60"/>
      <c r="AG51" s="60"/>
      <c r="AH51" s="60"/>
      <c r="AI51" s="60"/>
      <c r="AJ51" s="60"/>
      <c r="AK51" s="60"/>
      <c r="AL51" s="60"/>
      <c r="AM51" s="60"/>
      <c r="AN51" s="60"/>
      <c r="AO51" s="60"/>
      <c r="AP51" s="60"/>
      <c r="AQ51" s="60"/>
      <c r="AR51" s="60"/>
      <c r="AS51" s="60"/>
      <c r="AT51" s="60"/>
      <c r="AU51" s="60"/>
      <c r="AV51" s="60"/>
      <c r="AW51" s="60"/>
      <c r="AX51" s="60"/>
      <c r="AY51" s="60"/>
      <c r="AZ51" s="60"/>
      <c r="BA51" s="60"/>
      <c r="BB51" s="60"/>
      <c r="BC51" s="60"/>
      <c r="BD51" s="60"/>
      <c r="BE51" s="60"/>
      <c r="BF51" s="60"/>
      <c r="BG51" s="60"/>
      <c r="BH51" s="60"/>
      <c r="BI51" s="60"/>
      <c r="BJ51" s="60"/>
      <c r="BK51" s="60"/>
      <c r="BL51" s="60"/>
      <c r="BM51" s="60"/>
    </row>
    <row r="52" spans="1:65" s="51" customFormat="1" ht="30" customHeight="1" thickBot="1" x14ac:dyDescent="0.35">
      <c r="A52" s="46"/>
      <c r="B52" s="88" t="s">
        <v>248</v>
      </c>
      <c r="C52" s="87" t="s">
        <v>119</v>
      </c>
      <c r="D52" s="87">
        <v>0.8</v>
      </c>
      <c r="E52" s="86">
        <v>43862</v>
      </c>
      <c r="F52" s="86">
        <f t="shared" si="6"/>
        <v>43890</v>
      </c>
      <c r="G52" s="61"/>
      <c r="H52" s="61">
        <f t="shared" si="5"/>
        <v>29</v>
      </c>
      <c r="I52" s="66"/>
      <c r="J52" s="60"/>
      <c r="K52" s="60"/>
      <c r="L52" s="60"/>
      <c r="M52" s="60"/>
      <c r="N52" s="60"/>
      <c r="O52" s="60"/>
      <c r="P52" s="60"/>
      <c r="Q52" s="60"/>
      <c r="R52" s="60"/>
      <c r="S52" s="60"/>
      <c r="T52" s="60"/>
      <c r="U52" s="60"/>
      <c r="V52" s="60"/>
      <c r="W52" s="60"/>
      <c r="X52" s="60"/>
      <c r="Y52" s="60"/>
      <c r="Z52" s="60"/>
      <c r="AA52" s="60"/>
      <c r="AB52" s="60"/>
      <c r="AC52" s="60"/>
      <c r="AD52" s="60"/>
      <c r="AE52" s="60"/>
      <c r="AF52" s="60"/>
      <c r="AG52" s="60"/>
      <c r="AH52" s="60"/>
      <c r="AI52" s="60"/>
      <c r="AJ52" s="60"/>
      <c r="AK52" s="60"/>
      <c r="AL52" s="60"/>
      <c r="AM52" s="60"/>
      <c r="AN52" s="60"/>
      <c r="AO52" s="60"/>
      <c r="AP52" s="60"/>
      <c r="AQ52" s="60"/>
      <c r="AR52" s="60"/>
      <c r="AS52" s="60"/>
      <c r="AT52" s="60"/>
      <c r="AU52" s="60"/>
      <c r="AV52" s="60"/>
      <c r="AW52" s="60"/>
      <c r="AX52" s="60"/>
      <c r="AY52" s="60"/>
      <c r="AZ52" s="60"/>
      <c r="BA52" s="60"/>
      <c r="BB52" s="60"/>
      <c r="BC52" s="60"/>
      <c r="BD52" s="60"/>
      <c r="BE52" s="60"/>
      <c r="BF52" s="60"/>
      <c r="BG52" s="60"/>
      <c r="BH52" s="60"/>
      <c r="BI52" s="60"/>
      <c r="BJ52" s="60"/>
      <c r="BK52" s="60"/>
      <c r="BL52" s="60"/>
      <c r="BM52" s="60"/>
    </row>
    <row r="53" spans="1:65" s="51" customFormat="1" ht="30" customHeight="1" thickBot="1" x14ac:dyDescent="0.35">
      <c r="A53" s="46"/>
      <c r="B53" s="88" t="s">
        <v>247</v>
      </c>
      <c r="C53" s="87" t="s">
        <v>119</v>
      </c>
      <c r="D53" s="87">
        <v>0.8</v>
      </c>
      <c r="E53" s="86">
        <v>43862</v>
      </c>
      <c r="F53" s="86">
        <f t="shared" si="6"/>
        <v>43890</v>
      </c>
      <c r="G53" s="61"/>
      <c r="H53" s="61">
        <f t="shared" si="5"/>
        <v>29</v>
      </c>
      <c r="I53" s="66"/>
      <c r="J53" s="60"/>
      <c r="K53" s="60"/>
      <c r="L53" s="60"/>
      <c r="M53" s="60"/>
      <c r="N53" s="60"/>
      <c r="O53" s="60"/>
      <c r="P53" s="60"/>
      <c r="Q53" s="60"/>
      <c r="R53" s="60"/>
      <c r="S53" s="60"/>
      <c r="T53" s="60"/>
      <c r="U53" s="60"/>
      <c r="V53" s="60"/>
      <c r="W53" s="60"/>
      <c r="X53" s="60"/>
      <c r="Y53" s="60"/>
      <c r="Z53" s="60"/>
      <c r="AA53" s="60"/>
      <c r="AB53" s="60"/>
      <c r="AC53" s="60"/>
      <c r="AD53" s="60"/>
      <c r="AE53" s="60"/>
      <c r="AF53" s="60"/>
      <c r="AG53" s="60"/>
      <c r="AH53" s="60"/>
      <c r="AI53" s="60"/>
      <c r="AJ53" s="60"/>
      <c r="AK53" s="60"/>
      <c r="AL53" s="60"/>
      <c r="AM53" s="60"/>
      <c r="AN53" s="60"/>
      <c r="AO53" s="60"/>
      <c r="AP53" s="60"/>
      <c r="AQ53" s="60"/>
      <c r="AR53" s="60"/>
      <c r="AS53" s="60"/>
      <c r="AT53" s="60"/>
      <c r="AU53" s="60"/>
      <c r="AV53" s="60"/>
      <c r="AW53" s="60"/>
      <c r="AX53" s="60"/>
      <c r="AY53" s="60"/>
      <c r="AZ53" s="60"/>
      <c r="BA53" s="60"/>
      <c r="BB53" s="60"/>
      <c r="BC53" s="60"/>
      <c r="BD53" s="60"/>
      <c r="BE53" s="60"/>
      <c r="BF53" s="60"/>
      <c r="BG53" s="60"/>
      <c r="BH53" s="60"/>
      <c r="BI53" s="60"/>
      <c r="BJ53" s="60"/>
      <c r="BK53" s="60"/>
      <c r="BL53" s="60"/>
      <c r="BM53" s="60"/>
    </row>
    <row r="54" spans="1:65" s="51" customFormat="1" ht="30" customHeight="1" thickBot="1" x14ac:dyDescent="0.35">
      <c r="A54" s="46"/>
      <c r="B54" s="88" t="s">
        <v>246</v>
      </c>
      <c r="C54" s="87" t="s">
        <v>119</v>
      </c>
      <c r="D54" s="87">
        <v>0.8</v>
      </c>
      <c r="E54" s="86">
        <v>43862</v>
      </c>
      <c r="F54" s="86">
        <f t="shared" si="6"/>
        <v>43890</v>
      </c>
      <c r="G54" s="61"/>
      <c r="H54" s="61">
        <f t="shared" si="5"/>
        <v>29</v>
      </c>
      <c r="I54" s="66"/>
      <c r="J54" s="60"/>
      <c r="K54" s="60"/>
      <c r="L54" s="60"/>
      <c r="M54" s="60"/>
      <c r="N54" s="60"/>
      <c r="O54" s="60"/>
      <c r="P54" s="60"/>
      <c r="Q54" s="60"/>
      <c r="R54" s="60"/>
      <c r="S54" s="60"/>
      <c r="T54" s="60"/>
      <c r="U54" s="60"/>
      <c r="V54" s="60"/>
      <c r="W54" s="60"/>
      <c r="X54" s="60"/>
      <c r="Y54" s="60"/>
      <c r="Z54" s="60"/>
      <c r="AA54" s="60"/>
      <c r="AB54" s="60"/>
      <c r="AC54" s="60"/>
      <c r="AD54" s="60"/>
      <c r="AE54" s="60"/>
      <c r="AF54" s="60"/>
      <c r="AG54" s="60"/>
      <c r="AH54" s="60"/>
      <c r="AI54" s="60"/>
      <c r="AJ54" s="60"/>
      <c r="AK54" s="60"/>
      <c r="AL54" s="60"/>
      <c r="AM54" s="60"/>
      <c r="AN54" s="60"/>
      <c r="AO54" s="60"/>
      <c r="AP54" s="60"/>
      <c r="AQ54" s="60"/>
      <c r="AR54" s="60"/>
      <c r="AS54" s="60"/>
      <c r="AT54" s="60"/>
      <c r="AU54" s="60"/>
      <c r="AV54" s="60"/>
      <c r="AW54" s="60"/>
      <c r="AX54" s="60"/>
      <c r="AY54" s="60"/>
      <c r="AZ54" s="60"/>
      <c r="BA54" s="60"/>
      <c r="BB54" s="60"/>
      <c r="BC54" s="60"/>
      <c r="BD54" s="60"/>
      <c r="BE54" s="60"/>
      <c r="BF54" s="60"/>
      <c r="BG54" s="60"/>
      <c r="BH54" s="60"/>
      <c r="BI54" s="60"/>
      <c r="BJ54" s="60"/>
      <c r="BK54" s="60"/>
      <c r="BL54" s="60"/>
      <c r="BM54" s="60"/>
    </row>
    <row r="55" spans="1:65" s="51" customFormat="1" ht="30" customHeight="1" thickBot="1" x14ac:dyDescent="0.35">
      <c r="A55" s="46"/>
      <c r="B55" s="88" t="s">
        <v>245</v>
      </c>
      <c r="C55" s="87" t="s">
        <v>119</v>
      </c>
      <c r="D55" s="87">
        <v>0.8</v>
      </c>
      <c r="E55" s="86">
        <v>43862</v>
      </c>
      <c r="F55" s="86">
        <f t="shared" si="6"/>
        <v>43890</v>
      </c>
      <c r="G55" s="61"/>
      <c r="H55" s="61">
        <f t="shared" si="5"/>
        <v>29</v>
      </c>
      <c r="I55" s="66"/>
      <c r="J55" s="60"/>
      <c r="K55" s="60"/>
      <c r="L55" s="60"/>
      <c r="M55" s="60"/>
      <c r="N55" s="60"/>
      <c r="O55" s="60"/>
      <c r="P55" s="60"/>
      <c r="Q55" s="60"/>
      <c r="R55" s="60"/>
      <c r="S55" s="60"/>
      <c r="T55" s="60"/>
      <c r="U55" s="60"/>
      <c r="V55" s="60"/>
      <c r="W55" s="60"/>
      <c r="X55" s="60"/>
      <c r="Y55" s="60"/>
      <c r="Z55" s="60"/>
      <c r="AA55" s="60"/>
      <c r="AB55" s="60"/>
      <c r="AC55" s="60"/>
      <c r="AD55" s="60"/>
      <c r="AE55" s="60"/>
      <c r="AF55" s="60"/>
      <c r="AG55" s="60"/>
      <c r="AH55" s="60"/>
      <c r="AI55" s="60"/>
      <c r="AJ55" s="60"/>
      <c r="AK55" s="60"/>
      <c r="AL55" s="60"/>
      <c r="AM55" s="60"/>
      <c r="AN55" s="60"/>
      <c r="AO55" s="60"/>
      <c r="AP55" s="60"/>
      <c r="AQ55" s="60"/>
      <c r="AR55" s="60"/>
      <c r="AS55" s="60"/>
      <c r="AT55" s="60"/>
      <c r="AU55" s="60"/>
      <c r="AV55" s="60"/>
      <c r="AW55" s="60"/>
      <c r="AX55" s="60"/>
      <c r="AY55" s="60"/>
      <c r="AZ55" s="60"/>
      <c r="BA55" s="60"/>
      <c r="BB55" s="60"/>
      <c r="BC55" s="60"/>
      <c r="BD55" s="60"/>
      <c r="BE55" s="60"/>
      <c r="BF55" s="60"/>
      <c r="BG55" s="60"/>
      <c r="BH55" s="60"/>
      <c r="BI55" s="60"/>
      <c r="BJ55" s="60"/>
      <c r="BK55" s="60"/>
      <c r="BL55" s="60"/>
      <c r="BM55" s="60"/>
    </row>
    <row r="56" spans="1:65" s="51" customFormat="1" ht="30" customHeight="1" thickBot="1" x14ac:dyDescent="0.35">
      <c r="A56" s="46"/>
      <c r="B56" s="88" t="s">
        <v>244</v>
      </c>
      <c r="C56" s="87" t="s">
        <v>119</v>
      </c>
      <c r="D56" s="87">
        <v>0.8</v>
      </c>
      <c r="E56" s="86">
        <v>43862</v>
      </c>
      <c r="F56" s="86">
        <f t="shared" si="6"/>
        <v>43890</v>
      </c>
      <c r="G56" s="61"/>
      <c r="H56" s="61">
        <f t="shared" si="5"/>
        <v>29</v>
      </c>
      <c r="I56" s="66"/>
      <c r="J56" s="60"/>
      <c r="K56" s="60"/>
      <c r="L56" s="60"/>
      <c r="M56" s="60"/>
      <c r="N56" s="60"/>
      <c r="O56" s="60"/>
      <c r="P56" s="60"/>
      <c r="Q56" s="60"/>
      <c r="R56" s="60"/>
      <c r="S56" s="60"/>
      <c r="T56" s="60"/>
      <c r="U56" s="60"/>
      <c r="V56" s="60"/>
      <c r="W56" s="60"/>
      <c r="X56" s="60"/>
      <c r="Y56" s="60"/>
      <c r="Z56" s="60"/>
      <c r="AA56" s="60"/>
      <c r="AB56" s="60"/>
      <c r="AC56" s="60"/>
      <c r="AD56" s="60"/>
      <c r="AE56" s="60"/>
      <c r="AF56" s="60"/>
      <c r="AG56" s="60"/>
      <c r="AH56" s="60"/>
      <c r="AI56" s="60"/>
      <c r="AJ56" s="60"/>
      <c r="AK56" s="60"/>
      <c r="AL56" s="60"/>
      <c r="AM56" s="60"/>
      <c r="AN56" s="60"/>
      <c r="AO56" s="60"/>
      <c r="AP56" s="60"/>
      <c r="AQ56" s="60"/>
      <c r="AR56" s="60"/>
      <c r="AS56" s="60"/>
      <c r="AT56" s="60"/>
      <c r="AU56" s="60"/>
      <c r="AV56" s="60"/>
      <c r="AW56" s="60"/>
      <c r="AX56" s="60"/>
      <c r="AY56" s="60"/>
      <c r="AZ56" s="60"/>
      <c r="BA56" s="60"/>
      <c r="BB56" s="60"/>
      <c r="BC56" s="60"/>
      <c r="BD56" s="60"/>
      <c r="BE56" s="60"/>
      <c r="BF56" s="60"/>
      <c r="BG56" s="60"/>
      <c r="BH56" s="60"/>
      <c r="BI56" s="60"/>
      <c r="BJ56" s="60"/>
      <c r="BK56" s="60"/>
      <c r="BL56" s="60"/>
      <c r="BM56" s="60"/>
    </row>
    <row r="57" spans="1:65" s="51" customFormat="1" ht="30" customHeight="1" thickBot="1" x14ac:dyDescent="0.35">
      <c r="A57" s="46"/>
      <c r="B57" s="88" t="s">
        <v>243</v>
      </c>
      <c r="C57" s="87" t="s">
        <v>119</v>
      </c>
      <c r="D57" s="87">
        <v>0.8</v>
      </c>
      <c r="E57" s="86">
        <v>43862</v>
      </c>
      <c r="F57" s="86">
        <f t="shared" si="6"/>
        <v>43890</v>
      </c>
      <c r="G57" s="61"/>
      <c r="H57" s="61">
        <f t="shared" si="5"/>
        <v>29</v>
      </c>
      <c r="I57" s="66"/>
      <c r="J57" s="60"/>
      <c r="K57" s="60"/>
      <c r="L57" s="60"/>
      <c r="M57" s="60"/>
      <c r="N57" s="60"/>
      <c r="O57" s="60"/>
      <c r="P57" s="60"/>
      <c r="Q57" s="60"/>
      <c r="R57" s="60"/>
      <c r="S57" s="60"/>
      <c r="T57" s="60"/>
      <c r="U57" s="60"/>
      <c r="V57" s="60"/>
      <c r="W57" s="60"/>
      <c r="X57" s="60"/>
      <c r="Y57" s="60"/>
      <c r="Z57" s="60"/>
      <c r="AA57" s="60"/>
      <c r="AB57" s="60"/>
      <c r="AC57" s="60"/>
      <c r="AD57" s="60"/>
      <c r="AE57" s="60"/>
      <c r="AF57" s="60"/>
      <c r="AG57" s="60"/>
      <c r="AH57" s="60"/>
      <c r="AI57" s="60"/>
      <c r="AJ57" s="60"/>
      <c r="AK57" s="60"/>
      <c r="AL57" s="60"/>
      <c r="AM57" s="60"/>
      <c r="AN57" s="60"/>
      <c r="AO57" s="60"/>
      <c r="AP57" s="60"/>
      <c r="AQ57" s="60"/>
      <c r="AR57" s="60"/>
      <c r="AS57" s="60"/>
      <c r="AT57" s="60"/>
      <c r="AU57" s="60"/>
      <c r="AV57" s="60"/>
      <c r="AW57" s="60"/>
      <c r="AX57" s="60"/>
      <c r="AY57" s="60"/>
      <c r="AZ57" s="60"/>
      <c r="BA57" s="60"/>
      <c r="BB57" s="60"/>
      <c r="BC57" s="60"/>
      <c r="BD57" s="60"/>
      <c r="BE57" s="60"/>
      <c r="BF57" s="60"/>
      <c r="BG57" s="60"/>
      <c r="BH57" s="60"/>
      <c r="BI57" s="60"/>
      <c r="BJ57" s="60"/>
      <c r="BK57" s="60"/>
      <c r="BL57" s="60"/>
      <c r="BM57" s="60"/>
    </row>
    <row r="58" spans="1:65" s="51" customFormat="1" ht="30" customHeight="1" thickBot="1" x14ac:dyDescent="0.35">
      <c r="A58" s="46"/>
      <c r="B58" s="88" t="s">
        <v>242</v>
      </c>
      <c r="C58" s="87" t="s">
        <v>119</v>
      </c>
      <c r="D58" s="87">
        <v>0.8</v>
      </c>
      <c r="E58" s="86">
        <v>43862</v>
      </c>
      <c r="F58" s="86">
        <f t="shared" si="6"/>
        <v>43890</v>
      </c>
      <c r="G58" s="61"/>
      <c r="H58" s="61">
        <f t="shared" si="5"/>
        <v>29</v>
      </c>
      <c r="I58" s="66"/>
      <c r="J58" s="60"/>
      <c r="K58" s="60"/>
      <c r="L58" s="60"/>
      <c r="M58" s="60"/>
      <c r="N58" s="60"/>
      <c r="O58" s="60"/>
      <c r="P58" s="60"/>
      <c r="Q58" s="60"/>
      <c r="R58" s="60"/>
      <c r="S58" s="60"/>
      <c r="T58" s="60"/>
      <c r="U58" s="60"/>
      <c r="V58" s="60"/>
      <c r="W58" s="60"/>
      <c r="X58" s="60"/>
      <c r="Y58" s="60"/>
      <c r="Z58" s="60"/>
      <c r="AA58" s="60"/>
      <c r="AB58" s="60"/>
      <c r="AC58" s="60"/>
      <c r="AD58" s="60"/>
      <c r="AE58" s="60"/>
      <c r="AF58" s="60"/>
      <c r="AG58" s="60"/>
      <c r="AH58" s="60"/>
      <c r="AI58" s="60"/>
      <c r="AJ58" s="60"/>
      <c r="AK58" s="60"/>
      <c r="AL58" s="60"/>
      <c r="AM58" s="60"/>
      <c r="AN58" s="60"/>
      <c r="AO58" s="60"/>
      <c r="AP58" s="60"/>
      <c r="AQ58" s="60"/>
      <c r="AR58" s="60"/>
      <c r="AS58" s="60"/>
      <c r="AT58" s="60"/>
      <c r="AU58" s="60"/>
      <c r="AV58" s="60"/>
      <c r="AW58" s="60"/>
      <c r="AX58" s="60"/>
      <c r="AY58" s="60"/>
      <c r="AZ58" s="60"/>
      <c r="BA58" s="60"/>
      <c r="BB58" s="60"/>
      <c r="BC58" s="60"/>
      <c r="BD58" s="60"/>
      <c r="BE58" s="60"/>
      <c r="BF58" s="60"/>
      <c r="BG58" s="60"/>
      <c r="BH58" s="60"/>
      <c r="BI58" s="60"/>
      <c r="BJ58" s="60"/>
      <c r="BK58" s="60"/>
      <c r="BL58" s="60"/>
      <c r="BM58" s="60"/>
    </row>
    <row r="59" spans="1:65" s="51" customFormat="1" ht="30" customHeight="1" thickBot="1" x14ac:dyDescent="0.35">
      <c r="A59" s="46"/>
      <c r="B59" s="88" t="s">
        <v>241</v>
      </c>
      <c r="C59" s="87" t="s">
        <v>119</v>
      </c>
      <c r="D59" s="87">
        <v>0.8</v>
      </c>
      <c r="E59" s="86">
        <v>43862</v>
      </c>
      <c r="F59" s="86">
        <f t="shared" si="6"/>
        <v>43890</v>
      </c>
      <c r="G59" s="61"/>
      <c r="H59" s="61">
        <f t="shared" si="5"/>
        <v>29</v>
      </c>
      <c r="I59" s="66"/>
      <c r="J59" s="60"/>
      <c r="K59" s="60"/>
      <c r="L59" s="60"/>
      <c r="M59" s="60"/>
      <c r="N59" s="60"/>
      <c r="O59" s="60"/>
      <c r="P59" s="60"/>
      <c r="Q59" s="60"/>
      <c r="R59" s="60"/>
      <c r="S59" s="60"/>
      <c r="T59" s="60"/>
      <c r="U59" s="60"/>
      <c r="V59" s="60"/>
      <c r="W59" s="60"/>
      <c r="X59" s="60"/>
      <c r="Y59" s="60"/>
      <c r="Z59" s="60"/>
      <c r="AA59" s="60"/>
      <c r="AB59" s="60"/>
      <c r="AC59" s="60"/>
      <c r="AD59" s="60"/>
      <c r="AE59" s="60"/>
      <c r="AF59" s="60"/>
      <c r="AG59" s="60"/>
      <c r="AH59" s="60"/>
      <c r="AI59" s="60"/>
      <c r="AJ59" s="60"/>
      <c r="AK59" s="60"/>
      <c r="AL59" s="60"/>
      <c r="AM59" s="60"/>
      <c r="AN59" s="60"/>
      <c r="AO59" s="60"/>
      <c r="AP59" s="60"/>
      <c r="AQ59" s="60"/>
      <c r="AR59" s="60"/>
      <c r="AS59" s="60"/>
      <c r="AT59" s="60"/>
      <c r="AU59" s="60"/>
      <c r="AV59" s="60"/>
      <c r="AW59" s="60"/>
      <c r="AX59" s="60"/>
      <c r="AY59" s="60"/>
      <c r="AZ59" s="60"/>
      <c r="BA59" s="60"/>
      <c r="BB59" s="60"/>
      <c r="BC59" s="60"/>
      <c r="BD59" s="60"/>
      <c r="BE59" s="60"/>
      <c r="BF59" s="60"/>
      <c r="BG59" s="60"/>
      <c r="BH59" s="60"/>
      <c r="BI59" s="60"/>
      <c r="BJ59" s="60"/>
      <c r="BK59" s="60"/>
      <c r="BL59" s="60"/>
      <c r="BM59" s="60"/>
    </row>
    <row r="60" spans="1:65" s="51" customFormat="1" ht="30" customHeight="1" thickBot="1" x14ac:dyDescent="0.35">
      <c r="A60" s="46"/>
      <c r="B60" s="88" t="s">
        <v>240</v>
      </c>
      <c r="C60" s="87" t="s">
        <v>119</v>
      </c>
      <c r="D60" s="87">
        <v>0.8</v>
      </c>
      <c r="E60" s="86">
        <v>43862</v>
      </c>
      <c r="F60" s="86">
        <f t="shared" si="6"/>
        <v>43890</v>
      </c>
      <c r="G60" s="61"/>
      <c r="H60" s="61">
        <f t="shared" si="5"/>
        <v>29</v>
      </c>
      <c r="I60" s="66"/>
      <c r="J60" s="60"/>
      <c r="K60" s="60"/>
      <c r="L60" s="60"/>
      <c r="M60" s="60"/>
      <c r="N60" s="60"/>
      <c r="O60" s="60"/>
      <c r="P60" s="60"/>
      <c r="Q60" s="60"/>
      <c r="R60" s="60"/>
      <c r="S60" s="60"/>
      <c r="T60" s="60"/>
      <c r="U60" s="60"/>
      <c r="V60" s="60"/>
      <c r="W60" s="60"/>
      <c r="X60" s="60"/>
      <c r="Y60" s="60"/>
      <c r="Z60" s="60"/>
      <c r="AA60" s="60"/>
      <c r="AB60" s="60"/>
      <c r="AC60" s="60"/>
      <c r="AD60" s="60"/>
      <c r="AE60" s="60"/>
      <c r="AF60" s="60"/>
      <c r="AG60" s="60"/>
      <c r="AH60" s="60"/>
      <c r="AI60" s="60"/>
      <c r="AJ60" s="60"/>
      <c r="AK60" s="60"/>
      <c r="AL60" s="60"/>
      <c r="AM60" s="60"/>
      <c r="AN60" s="60"/>
      <c r="AO60" s="60"/>
      <c r="AP60" s="60"/>
      <c r="AQ60" s="60"/>
      <c r="AR60" s="60"/>
      <c r="AS60" s="60"/>
      <c r="AT60" s="60"/>
      <c r="AU60" s="60"/>
      <c r="AV60" s="60"/>
      <c r="AW60" s="60"/>
      <c r="AX60" s="60"/>
      <c r="AY60" s="60"/>
      <c r="AZ60" s="60"/>
      <c r="BA60" s="60"/>
      <c r="BB60" s="60"/>
      <c r="BC60" s="60"/>
      <c r="BD60" s="60"/>
      <c r="BE60" s="60"/>
      <c r="BF60" s="60"/>
      <c r="BG60" s="60"/>
      <c r="BH60" s="60"/>
      <c r="BI60" s="60"/>
      <c r="BJ60" s="60"/>
      <c r="BK60" s="60"/>
      <c r="BL60" s="60"/>
      <c r="BM60" s="60"/>
    </row>
    <row r="61" spans="1:65" s="51" customFormat="1" ht="30" customHeight="1" thickBot="1" x14ac:dyDescent="0.35">
      <c r="A61" s="46"/>
      <c r="B61" s="88" t="s">
        <v>239</v>
      </c>
      <c r="C61" s="87" t="s">
        <v>119</v>
      </c>
      <c r="D61" s="87">
        <v>0.8</v>
      </c>
      <c r="E61" s="86">
        <v>43862</v>
      </c>
      <c r="F61" s="86">
        <f t="shared" si="6"/>
        <v>43890</v>
      </c>
      <c r="G61" s="61"/>
      <c r="H61" s="61">
        <f t="shared" si="5"/>
        <v>29</v>
      </c>
      <c r="I61" s="66"/>
      <c r="J61" s="60"/>
      <c r="K61" s="60"/>
      <c r="L61" s="60"/>
      <c r="M61" s="60"/>
      <c r="N61" s="60"/>
      <c r="O61" s="60"/>
      <c r="P61" s="60"/>
      <c r="Q61" s="60"/>
      <c r="R61" s="60"/>
      <c r="S61" s="60"/>
      <c r="T61" s="60"/>
      <c r="U61" s="60"/>
      <c r="V61" s="60"/>
      <c r="W61" s="60"/>
      <c r="X61" s="60"/>
      <c r="Y61" s="60"/>
      <c r="Z61" s="60"/>
      <c r="AA61" s="60"/>
      <c r="AB61" s="60"/>
      <c r="AC61" s="60"/>
      <c r="AD61" s="60"/>
      <c r="AE61" s="60"/>
      <c r="AF61" s="60"/>
      <c r="AG61" s="60"/>
      <c r="AH61" s="60"/>
      <c r="AI61" s="60"/>
      <c r="AJ61" s="60"/>
      <c r="AK61" s="60"/>
      <c r="AL61" s="60"/>
      <c r="AM61" s="60"/>
      <c r="AN61" s="60"/>
      <c r="AO61" s="60"/>
      <c r="AP61" s="60"/>
      <c r="AQ61" s="60"/>
      <c r="AR61" s="60"/>
      <c r="AS61" s="60"/>
      <c r="AT61" s="60"/>
      <c r="AU61" s="60"/>
      <c r="AV61" s="60"/>
      <c r="AW61" s="60"/>
      <c r="AX61" s="60"/>
      <c r="AY61" s="60"/>
      <c r="AZ61" s="60"/>
      <c r="BA61" s="60"/>
      <c r="BB61" s="60"/>
      <c r="BC61" s="60"/>
      <c r="BD61" s="60"/>
      <c r="BE61" s="60"/>
      <c r="BF61" s="60"/>
      <c r="BG61" s="60"/>
      <c r="BH61" s="60"/>
      <c r="BI61" s="60"/>
      <c r="BJ61" s="60"/>
      <c r="BK61" s="60"/>
      <c r="BL61" s="60"/>
      <c r="BM61" s="60"/>
    </row>
    <row r="62" spans="1:65" s="51" customFormat="1" ht="30" customHeight="1" thickBot="1" x14ac:dyDescent="0.35">
      <c r="A62" s="46"/>
      <c r="B62" s="88" t="s">
        <v>238</v>
      </c>
      <c r="C62" s="87" t="s">
        <v>119</v>
      </c>
      <c r="D62" s="87">
        <v>0.8</v>
      </c>
      <c r="E62" s="86">
        <v>43862</v>
      </c>
      <c r="F62" s="86">
        <f t="shared" si="6"/>
        <v>43890</v>
      </c>
      <c r="G62" s="61"/>
      <c r="H62" s="61">
        <f t="shared" si="5"/>
        <v>29</v>
      </c>
      <c r="I62" s="66"/>
      <c r="J62" s="60"/>
      <c r="K62" s="60"/>
      <c r="L62" s="60"/>
      <c r="M62" s="60"/>
      <c r="N62" s="60"/>
      <c r="O62" s="60"/>
      <c r="P62" s="60"/>
      <c r="Q62" s="60"/>
      <c r="R62" s="60"/>
      <c r="S62" s="60"/>
      <c r="T62" s="60"/>
      <c r="U62" s="60"/>
      <c r="V62" s="60"/>
      <c r="W62" s="60"/>
      <c r="X62" s="60"/>
      <c r="Y62" s="60"/>
      <c r="Z62" s="60"/>
      <c r="AA62" s="60"/>
      <c r="AB62" s="60"/>
      <c r="AC62" s="60"/>
      <c r="AD62" s="60"/>
      <c r="AE62" s="60"/>
      <c r="AF62" s="60"/>
      <c r="AG62" s="60"/>
      <c r="AH62" s="60"/>
      <c r="AI62" s="60"/>
      <c r="AJ62" s="60"/>
      <c r="AK62" s="60"/>
      <c r="AL62" s="60"/>
      <c r="AM62" s="60"/>
      <c r="AN62" s="60"/>
      <c r="AO62" s="60"/>
      <c r="AP62" s="60"/>
      <c r="AQ62" s="60"/>
      <c r="AR62" s="60"/>
      <c r="AS62" s="60"/>
      <c r="AT62" s="60"/>
      <c r="AU62" s="60"/>
      <c r="AV62" s="60"/>
      <c r="AW62" s="60"/>
      <c r="AX62" s="60"/>
      <c r="AY62" s="60"/>
      <c r="AZ62" s="60"/>
      <c r="BA62" s="60"/>
      <c r="BB62" s="60"/>
      <c r="BC62" s="60"/>
      <c r="BD62" s="60"/>
      <c r="BE62" s="60"/>
      <c r="BF62" s="60"/>
      <c r="BG62" s="60"/>
      <c r="BH62" s="60"/>
      <c r="BI62" s="60"/>
      <c r="BJ62" s="60"/>
      <c r="BK62" s="60"/>
      <c r="BL62" s="60"/>
      <c r="BM62" s="60"/>
    </row>
    <row r="63" spans="1:65" s="51" customFormat="1" ht="30" customHeight="1" thickBot="1" x14ac:dyDescent="0.35">
      <c r="A63" s="46"/>
      <c r="B63" s="88" t="s">
        <v>237</v>
      </c>
      <c r="C63" s="87" t="s">
        <v>222</v>
      </c>
      <c r="D63" s="87">
        <v>0.8</v>
      </c>
      <c r="E63" s="86">
        <v>43862</v>
      </c>
      <c r="F63" s="86">
        <f t="shared" si="6"/>
        <v>43890</v>
      </c>
      <c r="G63" s="61"/>
      <c r="H63" s="61">
        <f t="shared" si="5"/>
        <v>29</v>
      </c>
      <c r="I63" s="66"/>
      <c r="J63" s="60"/>
      <c r="K63" s="60"/>
      <c r="L63" s="60"/>
      <c r="M63" s="60"/>
      <c r="N63" s="60"/>
      <c r="O63" s="60"/>
      <c r="P63" s="60"/>
      <c r="Q63" s="60"/>
      <c r="R63" s="60"/>
      <c r="S63" s="60"/>
      <c r="T63" s="60"/>
      <c r="U63" s="60"/>
      <c r="V63" s="60"/>
      <c r="W63" s="60"/>
      <c r="X63" s="60"/>
      <c r="Y63" s="60"/>
      <c r="Z63" s="60"/>
      <c r="AA63" s="60"/>
      <c r="AB63" s="60"/>
      <c r="AC63" s="60"/>
      <c r="AD63" s="60"/>
      <c r="AE63" s="60"/>
      <c r="AF63" s="60"/>
      <c r="AG63" s="60"/>
      <c r="AH63" s="60"/>
      <c r="AI63" s="60"/>
      <c r="AJ63" s="60"/>
      <c r="AK63" s="60"/>
      <c r="AL63" s="60"/>
      <c r="AM63" s="60"/>
      <c r="AN63" s="60"/>
      <c r="AO63" s="60"/>
      <c r="AP63" s="60"/>
      <c r="AQ63" s="60"/>
      <c r="AR63" s="60"/>
      <c r="AS63" s="60"/>
      <c r="AT63" s="60"/>
      <c r="AU63" s="60"/>
      <c r="AV63" s="60"/>
      <c r="AW63" s="60"/>
      <c r="AX63" s="60"/>
      <c r="AY63" s="60"/>
      <c r="AZ63" s="60"/>
      <c r="BA63" s="60"/>
      <c r="BB63" s="60"/>
      <c r="BC63" s="60"/>
      <c r="BD63" s="60"/>
      <c r="BE63" s="60"/>
      <c r="BF63" s="60"/>
      <c r="BG63" s="60"/>
      <c r="BH63" s="60"/>
      <c r="BI63" s="60"/>
      <c r="BJ63" s="60"/>
      <c r="BK63" s="60"/>
      <c r="BL63" s="60"/>
      <c r="BM63" s="60"/>
    </row>
    <row r="64" spans="1:65" s="51" customFormat="1" ht="30" customHeight="1" thickBot="1" x14ac:dyDescent="0.35">
      <c r="A64" s="46"/>
      <c r="B64" s="88" t="s">
        <v>236</v>
      </c>
      <c r="C64" s="87" t="s">
        <v>222</v>
      </c>
      <c r="D64" s="87">
        <v>0.8</v>
      </c>
      <c r="E64" s="86">
        <v>43862</v>
      </c>
      <c r="F64" s="86">
        <f t="shared" si="6"/>
        <v>43890</v>
      </c>
      <c r="G64" s="61"/>
      <c r="H64" s="61">
        <f t="shared" si="5"/>
        <v>29</v>
      </c>
      <c r="I64" s="66"/>
      <c r="J64" s="60"/>
      <c r="K64" s="60"/>
      <c r="L64" s="60"/>
      <c r="M64" s="60"/>
      <c r="N64" s="60"/>
      <c r="O64" s="60"/>
      <c r="P64" s="60"/>
      <c r="Q64" s="60"/>
      <c r="R64" s="60"/>
      <c r="S64" s="60"/>
      <c r="T64" s="60"/>
      <c r="U64" s="60"/>
      <c r="V64" s="60"/>
      <c r="W64" s="60"/>
      <c r="X64" s="60"/>
      <c r="Y64" s="60"/>
      <c r="Z64" s="60"/>
      <c r="AA64" s="60"/>
      <c r="AB64" s="60"/>
      <c r="AC64" s="60"/>
      <c r="AD64" s="60"/>
      <c r="AE64" s="60"/>
      <c r="AF64" s="60"/>
      <c r="AG64" s="60"/>
      <c r="AH64" s="60"/>
      <c r="AI64" s="60"/>
      <c r="AJ64" s="60"/>
      <c r="AK64" s="60"/>
      <c r="AL64" s="60"/>
      <c r="AM64" s="60"/>
      <c r="AN64" s="60"/>
      <c r="AO64" s="60"/>
      <c r="AP64" s="60"/>
      <c r="AQ64" s="60"/>
      <c r="AR64" s="60"/>
      <c r="AS64" s="60"/>
      <c r="AT64" s="60"/>
      <c r="AU64" s="60"/>
      <c r="AV64" s="60"/>
      <c r="AW64" s="60"/>
      <c r="AX64" s="60"/>
      <c r="AY64" s="60"/>
      <c r="AZ64" s="60"/>
      <c r="BA64" s="60"/>
      <c r="BB64" s="60"/>
      <c r="BC64" s="60"/>
      <c r="BD64" s="60"/>
      <c r="BE64" s="60"/>
      <c r="BF64" s="60"/>
      <c r="BG64" s="60"/>
      <c r="BH64" s="60"/>
      <c r="BI64" s="60"/>
      <c r="BJ64" s="60"/>
      <c r="BK64" s="60"/>
      <c r="BL64" s="60"/>
      <c r="BM64" s="60"/>
    </row>
    <row r="65" spans="1:65" s="51" customFormat="1" ht="30" customHeight="1" thickBot="1" x14ac:dyDescent="0.35">
      <c r="A65" s="46"/>
      <c r="B65" s="88" t="s">
        <v>235</v>
      </c>
      <c r="C65" s="87" t="s">
        <v>222</v>
      </c>
      <c r="D65" s="87">
        <v>0.8</v>
      </c>
      <c r="E65" s="86">
        <v>43862</v>
      </c>
      <c r="F65" s="86">
        <f t="shared" si="6"/>
        <v>43890</v>
      </c>
      <c r="G65" s="61"/>
      <c r="H65" s="61">
        <f t="shared" si="5"/>
        <v>29</v>
      </c>
      <c r="I65" s="66"/>
      <c r="J65" s="60"/>
      <c r="K65" s="60"/>
      <c r="L65" s="60"/>
      <c r="M65" s="60"/>
      <c r="N65" s="60"/>
      <c r="O65" s="60"/>
      <c r="P65" s="60"/>
      <c r="Q65" s="60"/>
      <c r="R65" s="60"/>
      <c r="S65" s="60"/>
      <c r="T65" s="60"/>
      <c r="U65" s="60"/>
      <c r="V65" s="60"/>
      <c r="W65" s="60"/>
      <c r="X65" s="60"/>
      <c r="Y65" s="60"/>
      <c r="Z65" s="60"/>
      <c r="AA65" s="60"/>
      <c r="AB65" s="60"/>
      <c r="AC65" s="60"/>
      <c r="AD65" s="60"/>
      <c r="AE65" s="60"/>
      <c r="AF65" s="60"/>
      <c r="AG65" s="60"/>
      <c r="AH65" s="60"/>
      <c r="AI65" s="60"/>
      <c r="AJ65" s="60"/>
      <c r="AK65" s="60"/>
      <c r="AL65" s="60"/>
      <c r="AM65" s="60"/>
      <c r="AN65" s="60"/>
      <c r="AO65" s="60"/>
      <c r="AP65" s="60"/>
      <c r="AQ65" s="60"/>
      <c r="AR65" s="60"/>
      <c r="AS65" s="60"/>
      <c r="AT65" s="60"/>
      <c r="AU65" s="60"/>
      <c r="AV65" s="60"/>
      <c r="AW65" s="60"/>
      <c r="AX65" s="60"/>
      <c r="AY65" s="60"/>
      <c r="AZ65" s="60"/>
      <c r="BA65" s="60"/>
      <c r="BB65" s="60"/>
      <c r="BC65" s="60"/>
      <c r="BD65" s="60"/>
      <c r="BE65" s="60"/>
      <c r="BF65" s="60"/>
      <c r="BG65" s="60"/>
      <c r="BH65" s="60"/>
      <c r="BI65" s="60"/>
      <c r="BJ65" s="60"/>
      <c r="BK65" s="60"/>
      <c r="BL65" s="60"/>
      <c r="BM65" s="60"/>
    </row>
    <row r="66" spans="1:65" s="51" customFormat="1" ht="30" customHeight="1" thickBot="1" x14ac:dyDescent="0.35">
      <c r="A66" s="46"/>
      <c r="B66" s="88" t="s">
        <v>234</v>
      </c>
      <c r="C66" s="87" t="s">
        <v>179</v>
      </c>
      <c r="D66" s="87">
        <v>0.8</v>
      </c>
      <c r="E66" s="86">
        <v>43862</v>
      </c>
      <c r="F66" s="86">
        <f t="shared" si="6"/>
        <v>43890</v>
      </c>
      <c r="G66" s="61"/>
      <c r="H66" s="61">
        <f t="shared" si="5"/>
        <v>29</v>
      </c>
      <c r="I66" s="66"/>
      <c r="J66" s="60"/>
      <c r="K66" s="60"/>
      <c r="L66" s="60"/>
      <c r="M66" s="60"/>
      <c r="N66" s="60"/>
      <c r="O66" s="60"/>
      <c r="P66" s="60"/>
      <c r="Q66" s="60"/>
      <c r="R66" s="60"/>
      <c r="S66" s="60"/>
      <c r="T66" s="60"/>
      <c r="U66" s="60"/>
      <c r="V66" s="60"/>
      <c r="W66" s="60"/>
      <c r="X66" s="60"/>
      <c r="Y66" s="60"/>
      <c r="Z66" s="60"/>
      <c r="AA66" s="60"/>
      <c r="AB66" s="60"/>
      <c r="AC66" s="60"/>
      <c r="AD66" s="60"/>
      <c r="AE66" s="60"/>
      <c r="AF66" s="60"/>
      <c r="AG66" s="60"/>
      <c r="AH66" s="60"/>
      <c r="AI66" s="60"/>
      <c r="AJ66" s="60"/>
      <c r="AK66" s="60"/>
      <c r="AL66" s="60"/>
      <c r="AM66" s="60"/>
      <c r="AN66" s="60"/>
      <c r="AO66" s="60"/>
      <c r="AP66" s="60"/>
      <c r="AQ66" s="60"/>
      <c r="AR66" s="60"/>
      <c r="AS66" s="60"/>
      <c r="AT66" s="60"/>
      <c r="AU66" s="60"/>
      <c r="AV66" s="60"/>
      <c r="AW66" s="60"/>
      <c r="AX66" s="60"/>
      <c r="AY66" s="60"/>
      <c r="AZ66" s="60"/>
      <c r="BA66" s="60"/>
      <c r="BB66" s="60"/>
      <c r="BC66" s="60"/>
      <c r="BD66" s="60"/>
      <c r="BE66" s="60"/>
      <c r="BF66" s="60"/>
      <c r="BG66" s="60"/>
      <c r="BH66" s="60"/>
      <c r="BI66" s="60"/>
      <c r="BJ66" s="60"/>
      <c r="BK66" s="60"/>
      <c r="BL66" s="60"/>
      <c r="BM66" s="60"/>
    </row>
    <row r="67" spans="1:65" s="51" customFormat="1" ht="30" customHeight="1" thickBot="1" x14ac:dyDescent="0.35">
      <c r="A67" s="46"/>
      <c r="B67" s="88" t="s">
        <v>233</v>
      </c>
      <c r="C67" s="87" t="s">
        <v>179</v>
      </c>
      <c r="D67" s="87">
        <v>0.8</v>
      </c>
      <c r="E67" s="86">
        <v>43862</v>
      </c>
      <c r="F67" s="86">
        <f t="shared" si="6"/>
        <v>43890</v>
      </c>
      <c r="G67" s="61"/>
      <c r="H67" s="61">
        <f t="shared" si="5"/>
        <v>29</v>
      </c>
      <c r="I67" s="66"/>
      <c r="J67" s="60"/>
      <c r="K67" s="60"/>
      <c r="L67" s="60"/>
      <c r="M67" s="60"/>
      <c r="N67" s="60"/>
      <c r="O67" s="60"/>
      <c r="P67" s="60"/>
      <c r="Q67" s="60"/>
      <c r="R67" s="60"/>
      <c r="S67" s="60"/>
      <c r="T67" s="60"/>
      <c r="U67" s="60"/>
      <c r="V67" s="60"/>
      <c r="W67" s="60"/>
      <c r="X67" s="60"/>
      <c r="Y67" s="60"/>
      <c r="Z67" s="60"/>
      <c r="AA67" s="60"/>
      <c r="AB67" s="60"/>
      <c r="AC67" s="60"/>
      <c r="AD67" s="60"/>
      <c r="AE67" s="60"/>
      <c r="AF67" s="60"/>
      <c r="AG67" s="60"/>
      <c r="AH67" s="60"/>
      <c r="AI67" s="60"/>
      <c r="AJ67" s="60"/>
      <c r="AK67" s="60"/>
      <c r="AL67" s="60"/>
      <c r="AM67" s="60"/>
      <c r="AN67" s="60"/>
      <c r="AO67" s="60"/>
      <c r="AP67" s="60"/>
      <c r="AQ67" s="60"/>
      <c r="AR67" s="60"/>
      <c r="AS67" s="60"/>
      <c r="AT67" s="60"/>
      <c r="AU67" s="60"/>
      <c r="AV67" s="60"/>
      <c r="AW67" s="60"/>
      <c r="AX67" s="60"/>
      <c r="AY67" s="60"/>
      <c r="AZ67" s="60"/>
      <c r="BA67" s="60"/>
      <c r="BB67" s="60"/>
      <c r="BC67" s="60"/>
      <c r="BD67" s="60"/>
      <c r="BE67" s="60"/>
      <c r="BF67" s="60"/>
      <c r="BG67" s="60"/>
      <c r="BH67" s="60"/>
      <c r="BI67" s="60"/>
      <c r="BJ67" s="60"/>
      <c r="BK67" s="60"/>
      <c r="BL67" s="60"/>
      <c r="BM67" s="60"/>
    </row>
    <row r="68" spans="1:65" s="51" customFormat="1" ht="30" customHeight="1" thickBot="1" x14ac:dyDescent="0.35">
      <c r="A68" s="46"/>
      <c r="B68" s="88" t="s">
        <v>232</v>
      </c>
      <c r="C68" s="87" t="s">
        <v>179</v>
      </c>
      <c r="D68" s="87">
        <v>0.8</v>
      </c>
      <c r="E68" s="86">
        <v>43862</v>
      </c>
      <c r="F68" s="86">
        <f t="shared" si="6"/>
        <v>43890</v>
      </c>
      <c r="G68" s="61"/>
      <c r="H68" s="61">
        <f t="shared" si="5"/>
        <v>29</v>
      </c>
      <c r="I68" s="66"/>
      <c r="J68" s="60"/>
      <c r="K68" s="60"/>
      <c r="L68" s="60"/>
      <c r="M68" s="60"/>
      <c r="N68" s="60"/>
      <c r="O68" s="60"/>
      <c r="P68" s="60"/>
      <c r="Q68" s="60"/>
      <c r="R68" s="60"/>
      <c r="S68" s="60"/>
      <c r="T68" s="60"/>
      <c r="U68" s="60"/>
      <c r="V68" s="60"/>
      <c r="W68" s="60"/>
      <c r="X68" s="60"/>
      <c r="Y68" s="60"/>
      <c r="Z68" s="60"/>
      <c r="AA68" s="60"/>
      <c r="AB68" s="60"/>
      <c r="AC68" s="60"/>
      <c r="AD68" s="60"/>
      <c r="AE68" s="60"/>
      <c r="AF68" s="60"/>
      <c r="AG68" s="60"/>
      <c r="AH68" s="60"/>
      <c r="AI68" s="60"/>
      <c r="AJ68" s="60"/>
      <c r="AK68" s="60"/>
      <c r="AL68" s="60"/>
      <c r="AM68" s="60"/>
      <c r="AN68" s="60"/>
      <c r="AO68" s="60"/>
      <c r="AP68" s="60"/>
      <c r="AQ68" s="60"/>
      <c r="AR68" s="60"/>
      <c r="AS68" s="60"/>
      <c r="AT68" s="60"/>
      <c r="AU68" s="60"/>
      <c r="AV68" s="60"/>
      <c r="AW68" s="60"/>
      <c r="AX68" s="60"/>
      <c r="AY68" s="60"/>
      <c r="AZ68" s="60"/>
      <c r="BA68" s="60"/>
      <c r="BB68" s="60"/>
      <c r="BC68" s="60"/>
      <c r="BD68" s="60"/>
      <c r="BE68" s="60"/>
      <c r="BF68" s="60"/>
      <c r="BG68" s="60"/>
      <c r="BH68" s="60"/>
      <c r="BI68" s="60"/>
      <c r="BJ68" s="60"/>
      <c r="BK68" s="60"/>
      <c r="BL68" s="60"/>
      <c r="BM68" s="60"/>
    </row>
    <row r="69" spans="1:65" s="51" customFormat="1" ht="30" customHeight="1" thickBot="1" x14ac:dyDescent="0.35">
      <c r="A69" s="46"/>
      <c r="B69" s="88" t="s">
        <v>231</v>
      </c>
      <c r="C69" s="87" t="s">
        <v>222</v>
      </c>
      <c r="D69" s="87">
        <v>0.8</v>
      </c>
      <c r="E69" s="86">
        <v>43862</v>
      </c>
      <c r="F69" s="86">
        <f t="shared" si="6"/>
        <v>43890</v>
      </c>
      <c r="G69" s="61"/>
      <c r="H69" s="61">
        <f t="shared" si="5"/>
        <v>29</v>
      </c>
      <c r="I69" s="66"/>
      <c r="J69" s="60"/>
      <c r="K69" s="60"/>
      <c r="L69" s="60"/>
      <c r="M69" s="60"/>
      <c r="N69" s="60"/>
      <c r="O69" s="60"/>
      <c r="P69" s="60"/>
      <c r="Q69" s="60"/>
      <c r="R69" s="60"/>
      <c r="S69" s="60"/>
      <c r="T69" s="60"/>
      <c r="U69" s="60"/>
      <c r="V69" s="60"/>
      <c r="W69" s="60"/>
      <c r="X69" s="60"/>
      <c r="Y69" s="60"/>
      <c r="Z69" s="60"/>
      <c r="AA69" s="60"/>
      <c r="AB69" s="60"/>
      <c r="AC69" s="60"/>
      <c r="AD69" s="60"/>
      <c r="AE69" s="60"/>
      <c r="AF69" s="60"/>
      <c r="AG69" s="60"/>
      <c r="AH69" s="60"/>
      <c r="AI69" s="60"/>
      <c r="AJ69" s="60"/>
      <c r="AK69" s="60"/>
      <c r="AL69" s="60"/>
      <c r="AM69" s="60"/>
      <c r="AN69" s="60"/>
      <c r="AO69" s="60"/>
      <c r="AP69" s="60"/>
      <c r="AQ69" s="60"/>
      <c r="AR69" s="60"/>
      <c r="AS69" s="60"/>
      <c r="AT69" s="60"/>
      <c r="AU69" s="60"/>
      <c r="AV69" s="60"/>
      <c r="AW69" s="60"/>
      <c r="AX69" s="60"/>
      <c r="AY69" s="60"/>
      <c r="AZ69" s="60"/>
      <c r="BA69" s="60"/>
      <c r="BB69" s="60"/>
      <c r="BC69" s="60"/>
      <c r="BD69" s="60"/>
      <c r="BE69" s="60"/>
      <c r="BF69" s="60"/>
      <c r="BG69" s="60"/>
      <c r="BH69" s="60"/>
      <c r="BI69" s="60"/>
      <c r="BJ69" s="60"/>
      <c r="BK69" s="60"/>
      <c r="BL69" s="60"/>
      <c r="BM69" s="60"/>
    </row>
    <row r="70" spans="1:65" s="51" customFormat="1" ht="30" customHeight="1" thickBot="1" x14ac:dyDescent="0.35">
      <c r="A70" s="46"/>
      <c r="B70" s="88" t="s">
        <v>230</v>
      </c>
      <c r="C70" s="87" t="s">
        <v>119</v>
      </c>
      <c r="D70" s="87">
        <v>0.8</v>
      </c>
      <c r="E70" s="86">
        <v>43862</v>
      </c>
      <c r="F70" s="86">
        <f t="shared" si="6"/>
        <v>43890</v>
      </c>
      <c r="G70" s="61"/>
      <c r="H70" s="61">
        <f t="shared" si="5"/>
        <v>29</v>
      </c>
      <c r="I70" s="66"/>
      <c r="J70" s="60"/>
      <c r="K70" s="60"/>
      <c r="L70" s="60"/>
      <c r="M70" s="60"/>
      <c r="N70" s="60"/>
      <c r="O70" s="60"/>
      <c r="P70" s="60"/>
      <c r="Q70" s="60"/>
      <c r="R70" s="60"/>
      <c r="S70" s="60"/>
      <c r="T70" s="60"/>
      <c r="U70" s="60"/>
      <c r="V70" s="60"/>
      <c r="W70" s="60"/>
      <c r="X70" s="60"/>
      <c r="Y70" s="60"/>
      <c r="Z70" s="60"/>
      <c r="AA70" s="60"/>
      <c r="AB70" s="60"/>
      <c r="AC70" s="60"/>
      <c r="AD70" s="60"/>
      <c r="AE70" s="60"/>
      <c r="AF70" s="60"/>
      <c r="AG70" s="60"/>
      <c r="AH70" s="60"/>
      <c r="AI70" s="60"/>
      <c r="AJ70" s="60"/>
      <c r="AK70" s="60"/>
      <c r="AL70" s="60"/>
      <c r="AM70" s="60"/>
      <c r="AN70" s="60"/>
      <c r="AO70" s="60"/>
      <c r="AP70" s="60"/>
      <c r="AQ70" s="60"/>
      <c r="AR70" s="60"/>
      <c r="AS70" s="60"/>
      <c r="AT70" s="60"/>
      <c r="AU70" s="60"/>
      <c r="AV70" s="60"/>
      <c r="AW70" s="60"/>
      <c r="AX70" s="60"/>
      <c r="AY70" s="60"/>
      <c r="AZ70" s="60"/>
      <c r="BA70" s="60"/>
      <c r="BB70" s="60"/>
      <c r="BC70" s="60"/>
      <c r="BD70" s="60"/>
      <c r="BE70" s="60"/>
      <c r="BF70" s="60"/>
      <c r="BG70" s="60"/>
      <c r="BH70" s="60"/>
      <c r="BI70" s="60"/>
      <c r="BJ70" s="60"/>
      <c r="BK70" s="60"/>
      <c r="BL70" s="60"/>
      <c r="BM70" s="60"/>
    </row>
    <row r="71" spans="1:65" s="51" customFormat="1" ht="30" customHeight="1" thickBot="1" x14ac:dyDescent="0.35">
      <c r="A71" s="46"/>
      <c r="B71" s="88" t="s">
        <v>229</v>
      </c>
      <c r="C71" s="87" t="s">
        <v>119</v>
      </c>
      <c r="D71" s="87">
        <v>0.8</v>
      </c>
      <c r="E71" s="86">
        <v>43862</v>
      </c>
      <c r="F71" s="86">
        <f t="shared" si="6"/>
        <v>43890</v>
      </c>
      <c r="G71" s="61"/>
      <c r="H71" s="61">
        <f t="shared" ref="H71:H78" si="7">IF(OR(ISBLANK(task_start),ISBLANK(task_end)),"",task_end-task_start+1)</f>
        <v>29</v>
      </c>
      <c r="I71" s="66"/>
      <c r="J71" s="60"/>
      <c r="K71" s="60"/>
      <c r="L71" s="60"/>
      <c r="M71" s="60"/>
      <c r="N71" s="60"/>
      <c r="O71" s="60"/>
      <c r="P71" s="60"/>
      <c r="Q71" s="60"/>
      <c r="R71" s="60"/>
      <c r="S71" s="60"/>
      <c r="T71" s="60"/>
      <c r="U71" s="60"/>
      <c r="V71" s="60"/>
      <c r="W71" s="60"/>
      <c r="X71" s="60"/>
      <c r="Y71" s="60"/>
      <c r="Z71" s="60"/>
      <c r="AA71" s="60"/>
      <c r="AB71" s="60"/>
      <c r="AC71" s="60"/>
      <c r="AD71" s="60"/>
      <c r="AE71" s="60"/>
      <c r="AF71" s="60"/>
      <c r="AG71" s="60"/>
      <c r="AH71" s="60"/>
      <c r="AI71" s="60"/>
      <c r="AJ71" s="60"/>
      <c r="AK71" s="60"/>
      <c r="AL71" s="60"/>
      <c r="AM71" s="60"/>
      <c r="AN71" s="60"/>
      <c r="AO71" s="60"/>
      <c r="AP71" s="60"/>
      <c r="AQ71" s="60"/>
      <c r="AR71" s="60"/>
      <c r="AS71" s="60"/>
      <c r="AT71" s="60"/>
      <c r="AU71" s="60"/>
      <c r="AV71" s="60"/>
      <c r="AW71" s="60"/>
      <c r="AX71" s="60"/>
      <c r="AY71" s="60"/>
      <c r="AZ71" s="60"/>
      <c r="BA71" s="60"/>
      <c r="BB71" s="60"/>
      <c r="BC71" s="60"/>
      <c r="BD71" s="60"/>
      <c r="BE71" s="60"/>
      <c r="BF71" s="60"/>
      <c r="BG71" s="60"/>
      <c r="BH71" s="60"/>
      <c r="BI71" s="60"/>
      <c r="BJ71" s="60"/>
      <c r="BK71" s="60"/>
      <c r="BL71" s="60"/>
      <c r="BM71" s="60"/>
    </row>
    <row r="72" spans="1:65" s="51" customFormat="1" ht="30" customHeight="1" thickBot="1" x14ac:dyDescent="0.35">
      <c r="A72" s="46"/>
      <c r="B72" s="88" t="s">
        <v>228</v>
      </c>
      <c r="C72" s="87" t="s">
        <v>119</v>
      </c>
      <c r="D72" s="87">
        <v>0.8</v>
      </c>
      <c r="E72" s="86">
        <v>43862</v>
      </c>
      <c r="F72" s="86">
        <f t="shared" si="6"/>
        <v>43890</v>
      </c>
      <c r="G72" s="61"/>
      <c r="H72" s="61">
        <f t="shared" si="7"/>
        <v>29</v>
      </c>
      <c r="I72" s="66"/>
      <c r="J72" s="60"/>
      <c r="K72" s="60"/>
      <c r="L72" s="60"/>
      <c r="M72" s="60"/>
      <c r="N72" s="60"/>
      <c r="O72" s="60"/>
      <c r="P72" s="60"/>
      <c r="Q72" s="60"/>
      <c r="R72" s="60"/>
      <c r="S72" s="60"/>
      <c r="T72" s="60"/>
      <c r="U72" s="60"/>
      <c r="V72" s="60"/>
      <c r="W72" s="60"/>
      <c r="X72" s="60"/>
      <c r="Y72" s="60"/>
      <c r="Z72" s="60"/>
      <c r="AA72" s="60"/>
      <c r="AB72" s="60"/>
      <c r="AC72" s="60"/>
      <c r="AD72" s="60"/>
      <c r="AE72" s="60"/>
      <c r="AF72" s="60"/>
      <c r="AG72" s="60"/>
      <c r="AH72" s="60"/>
      <c r="AI72" s="60"/>
      <c r="AJ72" s="60"/>
      <c r="AK72" s="60"/>
      <c r="AL72" s="60"/>
      <c r="AM72" s="60"/>
      <c r="AN72" s="60"/>
      <c r="AO72" s="60"/>
      <c r="AP72" s="60"/>
      <c r="AQ72" s="60"/>
      <c r="AR72" s="60"/>
      <c r="AS72" s="60"/>
      <c r="AT72" s="60"/>
      <c r="AU72" s="60"/>
      <c r="AV72" s="60"/>
      <c r="AW72" s="60"/>
      <c r="AX72" s="60"/>
      <c r="AY72" s="60"/>
      <c r="AZ72" s="60"/>
      <c r="BA72" s="60"/>
      <c r="BB72" s="60"/>
      <c r="BC72" s="60"/>
      <c r="BD72" s="60"/>
      <c r="BE72" s="60"/>
      <c r="BF72" s="60"/>
      <c r="BG72" s="60"/>
      <c r="BH72" s="60"/>
      <c r="BI72" s="60"/>
      <c r="BJ72" s="60"/>
      <c r="BK72" s="60"/>
      <c r="BL72" s="60"/>
      <c r="BM72" s="60"/>
    </row>
    <row r="73" spans="1:65" s="51" customFormat="1" ht="30" customHeight="1" thickBot="1" x14ac:dyDescent="0.35">
      <c r="A73" s="46"/>
      <c r="B73" s="88" t="s">
        <v>227</v>
      </c>
      <c r="C73" s="87" t="s">
        <v>119</v>
      </c>
      <c r="D73" s="87">
        <v>0.8</v>
      </c>
      <c r="E73" s="86">
        <v>43862</v>
      </c>
      <c r="F73" s="86">
        <f t="shared" si="6"/>
        <v>43890</v>
      </c>
      <c r="G73" s="61"/>
      <c r="H73" s="61">
        <f t="shared" si="7"/>
        <v>29</v>
      </c>
      <c r="I73" s="66"/>
      <c r="J73" s="60"/>
      <c r="K73" s="60"/>
      <c r="L73" s="60"/>
      <c r="M73" s="60"/>
      <c r="N73" s="60"/>
      <c r="O73" s="60"/>
      <c r="P73" s="60"/>
      <c r="Q73" s="60"/>
      <c r="R73" s="60"/>
      <c r="S73" s="60"/>
      <c r="T73" s="60"/>
      <c r="U73" s="60"/>
      <c r="V73" s="60"/>
      <c r="W73" s="60"/>
      <c r="X73" s="60"/>
      <c r="Y73" s="60"/>
      <c r="Z73" s="60"/>
      <c r="AA73" s="60"/>
      <c r="AB73" s="60"/>
      <c r="AC73" s="60"/>
      <c r="AD73" s="60"/>
      <c r="AE73" s="60"/>
      <c r="AF73" s="60"/>
      <c r="AG73" s="60"/>
      <c r="AH73" s="60"/>
      <c r="AI73" s="60"/>
      <c r="AJ73" s="60"/>
      <c r="AK73" s="60"/>
      <c r="AL73" s="60"/>
      <c r="AM73" s="60"/>
      <c r="AN73" s="60"/>
      <c r="AO73" s="60"/>
      <c r="AP73" s="60"/>
      <c r="AQ73" s="60"/>
      <c r="AR73" s="60"/>
      <c r="AS73" s="60"/>
      <c r="AT73" s="60"/>
      <c r="AU73" s="60"/>
      <c r="AV73" s="60"/>
      <c r="AW73" s="60"/>
      <c r="AX73" s="60"/>
      <c r="AY73" s="60"/>
      <c r="AZ73" s="60"/>
      <c r="BA73" s="60"/>
      <c r="BB73" s="60"/>
      <c r="BC73" s="60"/>
      <c r="BD73" s="60"/>
      <c r="BE73" s="60"/>
      <c r="BF73" s="60"/>
      <c r="BG73" s="60"/>
      <c r="BH73" s="60"/>
      <c r="BI73" s="60"/>
      <c r="BJ73" s="60"/>
      <c r="BK73" s="60"/>
      <c r="BL73" s="60"/>
      <c r="BM73" s="60"/>
    </row>
    <row r="74" spans="1:65" s="51" customFormat="1" ht="30" customHeight="1" thickBot="1" x14ac:dyDescent="0.35">
      <c r="A74" s="46"/>
      <c r="B74" s="88" t="s">
        <v>226</v>
      </c>
      <c r="C74" s="87" t="s">
        <v>179</v>
      </c>
      <c r="D74" s="87">
        <v>0.8</v>
      </c>
      <c r="E74" s="86">
        <v>43862</v>
      </c>
      <c r="F74" s="86">
        <f t="shared" si="6"/>
        <v>43890</v>
      </c>
      <c r="G74" s="61"/>
      <c r="H74" s="61">
        <f t="shared" si="7"/>
        <v>29</v>
      </c>
      <c r="I74" s="66"/>
      <c r="J74" s="60"/>
      <c r="K74" s="60"/>
      <c r="L74" s="60"/>
      <c r="M74" s="60"/>
      <c r="N74" s="60"/>
      <c r="O74" s="60"/>
      <c r="P74" s="60"/>
      <c r="Q74" s="60"/>
      <c r="R74" s="60"/>
      <c r="S74" s="60"/>
      <c r="T74" s="60"/>
      <c r="U74" s="60"/>
      <c r="V74" s="60"/>
      <c r="W74" s="60"/>
      <c r="X74" s="60"/>
      <c r="Y74" s="60"/>
      <c r="Z74" s="60"/>
      <c r="AA74" s="60"/>
      <c r="AB74" s="60"/>
      <c r="AC74" s="60"/>
      <c r="AD74" s="60"/>
      <c r="AE74" s="60"/>
      <c r="AF74" s="60"/>
      <c r="AG74" s="60"/>
      <c r="AH74" s="60"/>
      <c r="AI74" s="60"/>
      <c r="AJ74" s="60"/>
      <c r="AK74" s="60"/>
      <c r="AL74" s="60"/>
      <c r="AM74" s="60"/>
      <c r="AN74" s="60"/>
      <c r="AO74" s="60"/>
      <c r="AP74" s="60"/>
      <c r="AQ74" s="60"/>
      <c r="AR74" s="60"/>
      <c r="AS74" s="60"/>
      <c r="AT74" s="60"/>
      <c r="AU74" s="60"/>
      <c r="AV74" s="60"/>
      <c r="AW74" s="60"/>
      <c r="AX74" s="60"/>
      <c r="AY74" s="60"/>
      <c r="AZ74" s="60"/>
      <c r="BA74" s="60"/>
      <c r="BB74" s="60"/>
      <c r="BC74" s="60"/>
      <c r="BD74" s="60"/>
      <c r="BE74" s="60"/>
      <c r="BF74" s="60"/>
      <c r="BG74" s="60"/>
      <c r="BH74" s="60"/>
      <c r="BI74" s="60"/>
      <c r="BJ74" s="60"/>
      <c r="BK74" s="60"/>
      <c r="BL74" s="60"/>
      <c r="BM74" s="60"/>
    </row>
    <row r="75" spans="1:65" s="51" customFormat="1" ht="30" customHeight="1" thickBot="1" x14ac:dyDescent="0.35">
      <c r="A75" s="46"/>
      <c r="B75" s="88" t="s">
        <v>225</v>
      </c>
      <c r="C75" s="87" t="s">
        <v>179</v>
      </c>
      <c r="D75" s="87">
        <v>0.8</v>
      </c>
      <c r="E75" s="86">
        <v>43862</v>
      </c>
      <c r="F75" s="86">
        <f t="shared" si="6"/>
        <v>43890</v>
      </c>
      <c r="G75" s="61"/>
      <c r="H75" s="61">
        <f t="shared" si="7"/>
        <v>29</v>
      </c>
      <c r="I75" s="66"/>
      <c r="J75" s="60"/>
      <c r="K75" s="60"/>
      <c r="L75" s="60"/>
      <c r="M75" s="60"/>
      <c r="N75" s="60"/>
      <c r="O75" s="60"/>
      <c r="P75" s="60"/>
      <c r="Q75" s="60"/>
      <c r="R75" s="60"/>
      <c r="S75" s="60"/>
      <c r="T75" s="60"/>
      <c r="U75" s="60"/>
      <c r="V75" s="60"/>
      <c r="W75" s="60"/>
      <c r="X75" s="60"/>
      <c r="Y75" s="60"/>
      <c r="Z75" s="60"/>
      <c r="AA75" s="60"/>
      <c r="AB75" s="60"/>
      <c r="AC75" s="60"/>
      <c r="AD75" s="60"/>
      <c r="AE75" s="60"/>
      <c r="AF75" s="60"/>
      <c r="AG75" s="60"/>
      <c r="AH75" s="60"/>
      <c r="AI75" s="60"/>
      <c r="AJ75" s="60"/>
      <c r="AK75" s="60"/>
      <c r="AL75" s="60"/>
      <c r="AM75" s="60"/>
      <c r="AN75" s="60"/>
      <c r="AO75" s="60"/>
      <c r="AP75" s="60"/>
      <c r="AQ75" s="60"/>
      <c r="AR75" s="60"/>
      <c r="AS75" s="60"/>
      <c r="AT75" s="60"/>
      <c r="AU75" s="60"/>
      <c r="AV75" s="60"/>
      <c r="AW75" s="60"/>
      <c r="AX75" s="60"/>
      <c r="AY75" s="60"/>
      <c r="AZ75" s="60"/>
      <c r="BA75" s="60"/>
      <c r="BB75" s="60"/>
      <c r="BC75" s="60"/>
      <c r="BD75" s="60"/>
      <c r="BE75" s="60"/>
      <c r="BF75" s="60"/>
      <c r="BG75" s="60"/>
      <c r="BH75" s="60"/>
      <c r="BI75" s="60"/>
      <c r="BJ75" s="60"/>
      <c r="BK75" s="60"/>
      <c r="BL75" s="60"/>
      <c r="BM75" s="60"/>
    </row>
    <row r="76" spans="1:65" s="51" customFormat="1" ht="30" customHeight="1" thickBot="1" x14ac:dyDescent="0.35">
      <c r="A76" s="46"/>
      <c r="B76" s="88" t="s">
        <v>224</v>
      </c>
      <c r="C76" s="87" t="s">
        <v>119</v>
      </c>
      <c r="D76" s="87">
        <v>0.8</v>
      </c>
      <c r="E76" s="86">
        <v>43862</v>
      </c>
      <c r="F76" s="86">
        <f t="shared" si="6"/>
        <v>43890</v>
      </c>
      <c r="G76" s="61"/>
      <c r="H76" s="61">
        <f t="shared" si="7"/>
        <v>29</v>
      </c>
      <c r="I76" s="66"/>
      <c r="J76" s="60"/>
      <c r="K76" s="60"/>
      <c r="L76" s="60"/>
      <c r="M76" s="60"/>
      <c r="N76" s="60"/>
      <c r="O76" s="60"/>
      <c r="P76" s="60"/>
      <c r="Q76" s="60"/>
      <c r="R76" s="60"/>
      <c r="S76" s="60"/>
      <c r="T76" s="60"/>
      <c r="U76" s="60"/>
      <c r="V76" s="60"/>
      <c r="W76" s="60"/>
      <c r="X76" s="60"/>
      <c r="Y76" s="60"/>
      <c r="Z76" s="60"/>
      <c r="AA76" s="60"/>
      <c r="AB76" s="60"/>
      <c r="AC76" s="60"/>
      <c r="AD76" s="60"/>
      <c r="AE76" s="60"/>
      <c r="AF76" s="60"/>
      <c r="AG76" s="60"/>
      <c r="AH76" s="60"/>
      <c r="AI76" s="60"/>
      <c r="AJ76" s="60"/>
      <c r="AK76" s="60"/>
      <c r="AL76" s="60"/>
      <c r="AM76" s="60"/>
      <c r="AN76" s="60"/>
      <c r="AO76" s="60"/>
      <c r="AP76" s="60"/>
      <c r="AQ76" s="60"/>
      <c r="AR76" s="60"/>
      <c r="AS76" s="60"/>
      <c r="AT76" s="60"/>
      <c r="AU76" s="60"/>
      <c r="AV76" s="60"/>
      <c r="AW76" s="60"/>
      <c r="AX76" s="60"/>
      <c r="AY76" s="60"/>
      <c r="AZ76" s="60"/>
      <c r="BA76" s="60"/>
      <c r="BB76" s="60"/>
      <c r="BC76" s="60"/>
      <c r="BD76" s="60"/>
      <c r="BE76" s="60"/>
      <c r="BF76" s="60"/>
      <c r="BG76" s="60"/>
      <c r="BH76" s="60"/>
      <c r="BI76" s="60"/>
      <c r="BJ76" s="60"/>
      <c r="BK76" s="60"/>
      <c r="BL76" s="60"/>
      <c r="BM76" s="60"/>
    </row>
    <row r="77" spans="1:65" s="51" customFormat="1" ht="30" customHeight="1" thickBot="1" x14ac:dyDescent="0.35">
      <c r="A77" s="46"/>
      <c r="B77" s="88" t="s">
        <v>223</v>
      </c>
      <c r="C77" s="87" t="s">
        <v>222</v>
      </c>
      <c r="D77" s="87">
        <v>0.3</v>
      </c>
      <c r="E77" s="86">
        <v>43730</v>
      </c>
      <c r="F77" s="86">
        <f>E77+5</f>
        <v>43735</v>
      </c>
      <c r="G77" s="61"/>
      <c r="H77" s="61">
        <f t="shared" si="7"/>
        <v>6</v>
      </c>
      <c r="I77" s="89" t="s">
        <v>220</v>
      </c>
      <c r="J77" s="60"/>
      <c r="K77" s="60"/>
      <c r="L77" s="60"/>
      <c r="M77" s="60"/>
      <c r="N77" s="60"/>
      <c r="O77" s="60"/>
      <c r="P77" s="60"/>
      <c r="Q77" s="60"/>
      <c r="R77" s="60"/>
      <c r="S77" s="60"/>
      <c r="T77" s="60"/>
      <c r="U77" s="60"/>
      <c r="V77" s="60"/>
      <c r="W77" s="60"/>
      <c r="X77" s="60"/>
      <c r="Y77" s="60"/>
      <c r="Z77" s="60"/>
      <c r="AA77" s="60"/>
      <c r="AB77" s="60"/>
      <c r="AC77" s="60"/>
      <c r="AD77" s="60"/>
      <c r="AE77" s="60"/>
      <c r="AF77" s="60"/>
      <c r="AG77" s="60"/>
      <c r="AH77" s="60"/>
      <c r="AI77" s="60"/>
      <c r="AJ77" s="60"/>
      <c r="AK77" s="60"/>
      <c r="AL77" s="60"/>
      <c r="AM77" s="60"/>
      <c r="AN77" s="60"/>
      <c r="AO77" s="60"/>
      <c r="AP77" s="60"/>
      <c r="AQ77" s="60"/>
      <c r="AR77" s="60"/>
      <c r="AS77" s="60"/>
      <c r="AT77" s="60"/>
      <c r="AU77" s="60"/>
      <c r="AV77" s="60"/>
      <c r="AW77" s="60"/>
      <c r="AX77" s="60"/>
      <c r="AY77" s="60"/>
      <c r="AZ77" s="60"/>
      <c r="BA77" s="60"/>
      <c r="BB77" s="60"/>
      <c r="BC77" s="60"/>
      <c r="BD77" s="60"/>
      <c r="BE77" s="60"/>
      <c r="BF77" s="60"/>
      <c r="BG77" s="60"/>
      <c r="BH77" s="60"/>
      <c r="BI77" s="60"/>
      <c r="BJ77" s="60"/>
      <c r="BK77" s="60"/>
      <c r="BL77" s="60"/>
      <c r="BM77" s="60"/>
    </row>
    <row r="78" spans="1:65" s="51" customFormat="1" ht="30" customHeight="1" thickBot="1" x14ac:dyDescent="0.35">
      <c r="A78" s="46"/>
      <c r="B78" s="88" t="s">
        <v>221</v>
      </c>
      <c r="C78" s="87" t="s">
        <v>119</v>
      </c>
      <c r="D78" s="87">
        <v>0.3</v>
      </c>
      <c r="E78" s="86">
        <v>43730</v>
      </c>
      <c r="F78" s="86">
        <f>E78+5</f>
        <v>43735</v>
      </c>
      <c r="G78" s="61"/>
      <c r="H78" s="61">
        <f t="shared" si="7"/>
        <v>6</v>
      </c>
      <c r="I78" s="89" t="s">
        <v>220</v>
      </c>
      <c r="J78" s="60"/>
      <c r="K78" s="60"/>
      <c r="L78" s="60"/>
      <c r="M78" s="60"/>
      <c r="N78" s="60"/>
      <c r="O78" s="60"/>
      <c r="P78" s="60"/>
      <c r="Q78" s="60"/>
      <c r="R78" s="60"/>
      <c r="S78" s="60"/>
      <c r="T78" s="60"/>
      <c r="U78" s="60"/>
      <c r="V78" s="60"/>
      <c r="W78" s="60"/>
      <c r="X78" s="60"/>
      <c r="Y78" s="60"/>
      <c r="Z78" s="60"/>
      <c r="AA78" s="60"/>
      <c r="AB78" s="60"/>
      <c r="AC78" s="60"/>
      <c r="AD78" s="60"/>
      <c r="AE78" s="60"/>
      <c r="AF78" s="60"/>
      <c r="AG78" s="60"/>
      <c r="AH78" s="60"/>
      <c r="AI78" s="60"/>
      <c r="AJ78" s="60"/>
      <c r="AK78" s="60"/>
      <c r="AL78" s="60"/>
      <c r="AM78" s="60"/>
      <c r="AN78" s="60"/>
      <c r="AO78" s="60"/>
      <c r="AP78" s="60"/>
      <c r="AQ78" s="60"/>
      <c r="AR78" s="60"/>
      <c r="AS78" s="60"/>
      <c r="AT78" s="60"/>
      <c r="AU78" s="60"/>
      <c r="AV78" s="60"/>
      <c r="AW78" s="60"/>
      <c r="AX78" s="60"/>
      <c r="AY78" s="60"/>
      <c r="AZ78" s="60"/>
      <c r="BA78" s="60"/>
      <c r="BB78" s="60"/>
      <c r="BC78" s="60"/>
      <c r="BD78" s="60"/>
      <c r="BE78" s="60"/>
      <c r="BF78" s="60"/>
      <c r="BG78" s="60"/>
      <c r="BH78" s="60"/>
      <c r="BI78" s="60"/>
      <c r="BJ78" s="60"/>
      <c r="BK78" s="60"/>
      <c r="BL78" s="60"/>
      <c r="BM78" s="60"/>
    </row>
    <row r="79" spans="1:65" s="51" customFormat="1" ht="30" customHeight="1" thickBot="1" x14ac:dyDescent="0.35">
      <c r="A79" s="46"/>
      <c r="B79" s="88" t="s">
        <v>219</v>
      </c>
      <c r="C79" s="87" t="s">
        <v>119</v>
      </c>
      <c r="D79" s="87">
        <v>0</v>
      </c>
      <c r="E79" s="86"/>
      <c r="F79" s="86"/>
      <c r="G79" s="61"/>
      <c r="H79" s="61"/>
      <c r="I79" s="66"/>
      <c r="J79" s="60"/>
      <c r="K79" s="60"/>
      <c r="L79" s="60"/>
      <c r="M79" s="60"/>
      <c r="N79" s="60"/>
      <c r="O79" s="60"/>
      <c r="P79" s="60"/>
      <c r="Q79" s="60"/>
      <c r="R79" s="60"/>
      <c r="S79" s="60"/>
      <c r="T79" s="60"/>
      <c r="U79" s="60"/>
      <c r="V79" s="60"/>
      <c r="W79" s="60"/>
      <c r="X79" s="60"/>
      <c r="Y79" s="60"/>
      <c r="Z79" s="60"/>
      <c r="AA79" s="60"/>
      <c r="AB79" s="60"/>
      <c r="AC79" s="60"/>
      <c r="AD79" s="60"/>
      <c r="AE79" s="60"/>
      <c r="AF79" s="60"/>
      <c r="AG79" s="60"/>
      <c r="AH79" s="60"/>
      <c r="AI79" s="60"/>
      <c r="AJ79" s="60"/>
      <c r="AK79" s="60"/>
      <c r="AL79" s="60"/>
      <c r="AM79" s="60"/>
      <c r="AN79" s="60"/>
      <c r="AO79" s="60"/>
      <c r="AP79" s="60"/>
      <c r="AQ79" s="60"/>
      <c r="AR79" s="60"/>
      <c r="AS79" s="60"/>
      <c r="AT79" s="60"/>
      <c r="AU79" s="60"/>
      <c r="AV79" s="60"/>
      <c r="AW79" s="60"/>
      <c r="AX79" s="60"/>
      <c r="AY79" s="60"/>
      <c r="AZ79" s="60"/>
      <c r="BA79" s="60"/>
      <c r="BB79" s="60"/>
      <c r="BC79" s="60"/>
      <c r="BD79" s="60"/>
      <c r="BE79" s="60"/>
      <c r="BF79" s="60"/>
      <c r="BG79" s="60"/>
      <c r="BH79" s="60"/>
      <c r="BI79" s="60"/>
      <c r="BJ79" s="60"/>
      <c r="BK79" s="60"/>
      <c r="BL79" s="60"/>
      <c r="BM79" s="60"/>
    </row>
    <row r="80" spans="1:65" s="51" customFormat="1" ht="30" customHeight="1" thickBot="1" x14ac:dyDescent="0.35">
      <c r="A80" s="46"/>
      <c r="B80" s="88" t="s">
        <v>218</v>
      </c>
      <c r="C80" s="87" t="s">
        <v>119</v>
      </c>
      <c r="D80" s="87">
        <v>0</v>
      </c>
      <c r="E80" s="86"/>
      <c r="F80" s="86"/>
      <c r="G80" s="61"/>
      <c r="H80" s="61"/>
      <c r="I80" s="66"/>
      <c r="J80" s="60"/>
      <c r="K80" s="60"/>
      <c r="L80" s="60"/>
      <c r="M80" s="60"/>
      <c r="N80" s="60"/>
      <c r="O80" s="60"/>
      <c r="P80" s="60"/>
      <c r="Q80" s="60"/>
      <c r="R80" s="60"/>
      <c r="S80" s="60"/>
      <c r="T80" s="60"/>
      <c r="U80" s="60"/>
      <c r="V80" s="60"/>
      <c r="W80" s="60"/>
      <c r="X80" s="60"/>
      <c r="Y80" s="60"/>
      <c r="Z80" s="60"/>
      <c r="AA80" s="60"/>
      <c r="AB80" s="60"/>
      <c r="AC80" s="60"/>
      <c r="AD80" s="60"/>
      <c r="AE80" s="60"/>
      <c r="AF80" s="60"/>
      <c r="AG80" s="60"/>
      <c r="AH80" s="60"/>
      <c r="AI80" s="60"/>
      <c r="AJ80" s="60"/>
      <c r="AK80" s="60"/>
      <c r="AL80" s="60"/>
      <c r="AM80" s="60"/>
      <c r="AN80" s="60"/>
      <c r="AO80" s="60"/>
      <c r="AP80" s="60"/>
      <c r="AQ80" s="60"/>
      <c r="AR80" s="60"/>
      <c r="AS80" s="60"/>
      <c r="AT80" s="60"/>
      <c r="AU80" s="60"/>
      <c r="AV80" s="60"/>
      <c r="AW80" s="60"/>
      <c r="AX80" s="60"/>
      <c r="AY80" s="60"/>
      <c r="AZ80" s="60"/>
      <c r="BA80" s="60"/>
      <c r="BB80" s="60"/>
      <c r="BC80" s="60"/>
      <c r="BD80" s="60"/>
      <c r="BE80" s="60"/>
      <c r="BF80" s="60"/>
      <c r="BG80" s="60"/>
      <c r="BH80" s="60"/>
      <c r="BI80" s="60"/>
      <c r="BJ80" s="60"/>
      <c r="BK80" s="60"/>
      <c r="BL80" s="60"/>
      <c r="BM80" s="60"/>
    </row>
    <row r="81" spans="1:65" s="51" customFormat="1" ht="30" customHeight="1" thickBot="1" x14ac:dyDescent="0.35">
      <c r="A81" s="46"/>
      <c r="B81" s="88" t="s">
        <v>217</v>
      </c>
      <c r="C81" s="87" t="s">
        <v>119</v>
      </c>
      <c r="D81" s="87">
        <v>0</v>
      </c>
      <c r="E81" s="86"/>
      <c r="F81" s="86"/>
      <c r="G81" s="61"/>
      <c r="H81" s="61"/>
      <c r="I81" s="66"/>
      <c r="J81" s="60"/>
      <c r="K81" s="60"/>
      <c r="L81" s="60"/>
      <c r="M81" s="60"/>
      <c r="N81" s="60"/>
      <c r="O81" s="60"/>
      <c r="P81" s="60"/>
      <c r="Q81" s="60"/>
      <c r="R81" s="60"/>
      <c r="S81" s="60"/>
      <c r="T81" s="60"/>
      <c r="U81" s="60"/>
      <c r="V81" s="60"/>
      <c r="W81" s="60"/>
      <c r="X81" s="60"/>
      <c r="Y81" s="60"/>
      <c r="Z81" s="60"/>
      <c r="AA81" s="60"/>
      <c r="AB81" s="60"/>
      <c r="AC81" s="60"/>
      <c r="AD81" s="60"/>
      <c r="AE81" s="60"/>
      <c r="AF81" s="60"/>
      <c r="AG81" s="60"/>
      <c r="AH81" s="60"/>
      <c r="AI81" s="60"/>
      <c r="AJ81" s="60"/>
      <c r="AK81" s="60"/>
      <c r="AL81" s="60"/>
      <c r="AM81" s="60"/>
      <c r="AN81" s="60"/>
      <c r="AO81" s="60"/>
      <c r="AP81" s="60"/>
      <c r="AQ81" s="60"/>
      <c r="AR81" s="60"/>
      <c r="AS81" s="60"/>
      <c r="AT81" s="60"/>
      <c r="AU81" s="60"/>
      <c r="AV81" s="60"/>
      <c r="AW81" s="60"/>
      <c r="AX81" s="60"/>
      <c r="AY81" s="60"/>
      <c r="AZ81" s="60"/>
      <c r="BA81" s="60"/>
      <c r="BB81" s="60"/>
      <c r="BC81" s="60"/>
      <c r="BD81" s="60"/>
      <c r="BE81" s="60"/>
      <c r="BF81" s="60"/>
      <c r="BG81" s="60"/>
      <c r="BH81" s="60"/>
      <c r="BI81" s="60"/>
      <c r="BJ81" s="60"/>
      <c r="BK81" s="60"/>
      <c r="BL81" s="60"/>
      <c r="BM81" s="60"/>
    </row>
    <row r="82" spans="1:65" s="51" customFormat="1" ht="30" customHeight="1" thickBot="1" x14ac:dyDescent="0.35">
      <c r="A82" s="46"/>
      <c r="B82" s="88" t="s">
        <v>216</v>
      </c>
      <c r="C82" s="87" t="s">
        <v>119</v>
      </c>
      <c r="D82" s="87">
        <v>0</v>
      </c>
      <c r="E82" s="86"/>
      <c r="F82" s="86"/>
      <c r="G82" s="61"/>
      <c r="H82" s="61"/>
      <c r="I82" s="66"/>
      <c r="J82" s="60"/>
      <c r="K82" s="60"/>
      <c r="L82" s="60"/>
      <c r="M82" s="60"/>
      <c r="N82" s="60"/>
      <c r="O82" s="60"/>
      <c r="P82" s="60"/>
      <c r="Q82" s="60"/>
      <c r="R82" s="60"/>
      <c r="S82" s="60"/>
      <c r="T82" s="60"/>
      <c r="U82" s="60"/>
      <c r="V82" s="60"/>
      <c r="W82" s="60"/>
      <c r="X82" s="60"/>
      <c r="Y82" s="60"/>
      <c r="Z82" s="60"/>
      <c r="AA82" s="60"/>
      <c r="AB82" s="60"/>
      <c r="AC82" s="60"/>
      <c r="AD82" s="60"/>
      <c r="AE82" s="60"/>
      <c r="AF82" s="60"/>
      <c r="AG82" s="60"/>
      <c r="AH82" s="60"/>
      <c r="AI82" s="60"/>
      <c r="AJ82" s="60"/>
      <c r="AK82" s="60"/>
      <c r="AL82" s="60"/>
      <c r="AM82" s="60"/>
      <c r="AN82" s="60"/>
      <c r="AO82" s="60"/>
      <c r="AP82" s="60"/>
      <c r="AQ82" s="60"/>
      <c r="AR82" s="60"/>
      <c r="AS82" s="60"/>
      <c r="AT82" s="60"/>
      <c r="AU82" s="60"/>
      <c r="AV82" s="60"/>
      <c r="AW82" s="60"/>
      <c r="AX82" s="60"/>
      <c r="AY82" s="60"/>
      <c r="AZ82" s="60"/>
      <c r="BA82" s="60"/>
      <c r="BB82" s="60"/>
      <c r="BC82" s="60"/>
      <c r="BD82" s="60"/>
      <c r="BE82" s="60"/>
      <c r="BF82" s="60"/>
      <c r="BG82" s="60"/>
      <c r="BH82" s="60"/>
      <c r="BI82" s="60"/>
      <c r="BJ82" s="60"/>
      <c r="BK82" s="60"/>
      <c r="BL82" s="60"/>
      <c r="BM82" s="60"/>
    </row>
    <row r="83" spans="1:65" s="51" customFormat="1" ht="30" customHeight="1" thickBot="1" x14ac:dyDescent="0.35">
      <c r="A83" s="46"/>
      <c r="B83" s="88" t="s">
        <v>215</v>
      </c>
      <c r="C83" s="87" t="s">
        <v>119</v>
      </c>
      <c r="D83" s="87">
        <v>0</v>
      </c>
      <c r="E83" s="86"/>
      <c r="F83" s="86"/>
      <c r="G83" s="61"/>
      <c r="H83" s="61"/>
      <c r="I83" s="66"/>
      <c r="J83" s="60"/>
      <c r="K83" s="60"/>
      <c r="L83" s="60"/>
      <c r="M83" s="60"/>
      <c r="N83" s="60"/>
      <c r="O83" s="60"/>
      <c r="P83" s="60"/>
      <c r="Q83" s="60"/>
      <c r="R83" s="60"/>
      <c r="S83" s="60"/>
      <c r="T83" s="60"/>
      <c r="U83" s="60"/>
      <c r="V83" s="60"/>
      <c r="W83" s="60"/>
      <c r="X83" s="60"/>
      <c r="Y83" s="60"/>
      <c r="Z83" s="60"/>
      <c r="AA83" s="60"/>
      <c r="AB83" s="60"/>
      <c r="AC83" s="60"/>
      <c r="AD83" s="60"/>
      <c r="AE83" s="60"/>
      <c r="AF83" s="60"/>
      <c r="AG83" s="60"/>
      <c r="AH83" s="60"/>
      <c r="AI83" s="60"/>
      <c r="AJ83" s="60"/>
      <c r="AK83" s="60"/>
      <c r="AL83" s="60"/>
      <c r="AM83" s="60"/>
      <c r="AN83" s="60"/>
      <c r="AO83" s="60"/>
      <c r="AP83" s="60"/>
      <c r="AQ83" s="60"/>
      <c r="AR83" s="60"/>
      <c r="AS83" s="60"/>
      <c r="AT83" s="60"/>
      <c r="AU83" s="60"/>
      <c r="AV83" s="60"/>
      <c r="AW83" s="60"/>
      <c r="AX83" s="60"/>
      <c r="AY83" s="60"/>
      <c r="AZ83" s="60"/>
      <c r="BA83" s="60"/>
      <c r="BB83" s="60"/>
      <c r="BC83" s="60"/>
      <c r="BD83" s="60"/>
      <c r="BE83" s="60"/>
      <c r="BF83" s="60"/>
      <c r="BG83" s="60"/>
      <c r="BH83" s="60"/>
      <c r="BI83" s="60"/>
      <c r="BJ83" s="60"/>
      <c r="BK83" s="60"/>
      <c r="BL83" s="60"/>
      <c r="BM83" s="60"/>
    </row>
    <row r="84" spans="1:65" s="51" customFormat="1" ht="30" customHeight="1" thickBot="1" x14ac:dyDescent="0.35">
      <c r="A84" s="46"/>
      <c r="B84" s="88"/>
      <c r="C84" s="87"/>
      <c r="D84" s="87"/>
      <c r="E84" s="86"/>
      <c r="F84" s="86"/>
      <c r="G84" s="61"/>
      <c r="H84" s="61"/>
      <c r="I84" s="66"/>
      <c r="J84" s="60"/>
      <c r="K84" s="60"/>
      <c r="L84" s="60"/>
      <c r="M84" s="60"/>
      <c r="N84" s="60"/>
      <c r="O84" s="60"/>
      <c r="P84" s="60"/>
      <c r="Q84" s="60"/>
      <c r="R84" s="60"/>
      <c r="S84" s="60"/>
      <c r="T84" s="60"/>
      <c r="U84" s="60"/>
      <c r="V84" s="60"/>
      <c r="W84" s="60"/>
      <c r="X84" s="60"/>
      <c r="Y84" s="60"/>
      <c r="Z84" s="60"/>
      <c r="AA84" s="60"/>
      <c r="AB84" s="60"/>
      <c r="AC84" s="60"/>
      <c r="AD84" s="60"/>
      <c r="AE84" s="60"/>
      <c r="AF84" s="60"/>
      <c r="AG84" s="60"/>
      <c r="AH84" s="60"/>
      <c r="AI84" s="60"/>
      <c r="AJ84" s="60"/>
      <c r="AK84" s="60"/>
      <c r="AL84" s="60"/>
      <c r="AM84" s="60"/>
      <c r="AN84" s="60"/>
      <c r="AO84" s="60"/>
      <c r="AP84" s="60"/>
      <c r="AQ84" s="60"/>
      <c r="AR84" s="60"/>
      <c r="AS84" s="60"/>
      <c r="AT84" s="60"/>
      <c r="AU84" s="60"/>
      <c r="AV84" s="60"/>
      <c r="AW84" s="60"/>
      <c r="AX84" s="60"/>
      <c r="AY84" s="60"/>
      <c r="AZ84" s="60"/>
      <c r="BA84" s="60"/>
      <c r="BB84" s="60"/>
      <c r="BC84" s="60"/>
      <c r="BD84" s="60"/>
      <c r="BE84" s="60"/>
      <c r="BF84" s="60"/>
      <c r="BG84" s="60"/>
      <c r="BH84" s="60"/>
      <c r="BI84" s="60"/>
      <c r="BJ84" s="60"/>
      <c r="BK84" s="60"/>
      <c r="BL84" s="60"/>
      <c r="BM84" s="60"/>
    </row>
    <row r="85" spans="1:65" s="51" customFormat="1" ht="30" customHeight="1" thickBot="1" x14ac:dyDescent="0.35">
      <c r="A85" s="46"/>
      <c r="B85" s="88"/>
      <c r="C85" s="87"/>
      <c r="D85" s="87"/>
      <c r="E85" s="86"/>
      <c r="F85" s="86"/>
      <c r="G85" s="61"/>
      <c r="H85" s="61"/>
      <c r="I85" s="66"/>
      <c r="J85" s="60"/>
      <c r="K85" s="60"/>
      <c r="L85" s="60"/>
      <c r="M85" s="60"/>
      <c r="N85" s="60"/>
      <c r="O85" s="60"/>
      <c r="P85" s="60"/>
      <c r="Q85" s="60"/>
      <c r="R85" s="60"/>
      <c r="S85" s="60"/>
      <c r="T85" s="60"/>
      <c r="U85" s="60"/>
      <c r="V85" s="60"/>
      <c r="W85" s="60"/>
      <c r="X85" s="60"/>
      <c r="Y85" s="60"/>
      <c r="Z85" s="60"/>
      <c r="AA85" s="60"/>
      <c r="AB85" s="60"/>
      <c r="AC85" s="60"/>
      <c r="AD85" s="60"/>
      <c r="AE85" s="60"/>
      <c r="AF85" s="60"/>
      <c r="AG85" s="60"/>
      <c r="AH85" s="60"/>
      <c r="AI85" s="60"/>
      <c r="AJ85" s="60"/>
      <c r="AK85" s="60"/>
      <c r="AL85" s="60"/>
      <c r="AM85" s="60"/>
      <c r="AN85" s="60"/>
      <c r="AO85" s="60"/>
      <c r="AP85" s="60"/>
      <c r="AQ85" s="60"/>
      <c r="AR85" s="60"/>
      <c r="AS85" s="60"/>
      <c r="AT85" s="60"/>
      <c r="AU85" s="60"/>
      <c r="AV85" s="60"/>
      <c r="AW85" s="60"/>
      <c r="AX85" s="60"/>
      <c r="AY85" s="60"/>
      <c r="AZ85" s="60"/>
      <c r="BA85" s="60"/>
      <c r="BB85" s="60"/>
      <c r="BC85" s="60"/>
      <c r="BD85" s="60"/>
      <c r="BE85" s="60"/>
      <c r="BF85" s="60"/>
      <c r="BG85" s="60"/>
      <c r="BH85" s="60"/>
      <c r="BI85" s="60"/>
      <c r="BJ85" s="60"/>
      <c r="BK85" s="60"/>
      <c r="BL85" s="60"/>
      <c r="BM85" s="60"/>
    </row>
    <row r="86" spans="1:65" s="51" customFormat="1" ht="30" customHeight="1" thickBot="1" x14ac:dyDescent="0.35">
      <c r="A86" s="46"/>
      <c r="B86" s="88"/>
      <c r="C86" s="87"/>
      <c r="D86" s="87"/>
      <c r="E86" s="86"/>
      <c r="F86" s="86"/>
      <c r="G86" s="61"/>
      <c r="H86" s="61"/>
      <c r="I86" s="66"/>
      <c r="J86" s="60"/>
      <c r="K86" s="60"/>
      <c r="L86" s="60"/>
      <c r="M86" s="60"/>
      <c r="N86" s="60"/>
      <c r="O86" s="60"/>
      <c r="P86" s="60"/>
      <c r="Q86" s="60"/>
      <c r="R86" s="60"/>
      <c r="S86" s="60"/>
      <c r="T86" s="60"/>
      <c r="U86" s="60"/>
      <c r="V86" s="60"/>
      <c r="W86" s="60"/>
      <c r="X86" s="60"/>
      <c r="Y86" s="60"/>
      <c r="Z86" s="60"/>
      <c r="AA86" s="60"/>
      <c r="AB86" s="60"/>
      <c r="AC86" s="60"/>
      <c r="AD86" s="60"/>
      <c r="AE86" s="60"/>
      <c r="AF86" s="60"/>
      <c r="AG86" s="60"/>
      <c r="AH86" s="60"/>
      <c r="AI86" s="60"/>
      <c r="AJ86" s="60"/>
      <c r="AK86" s="60"/>
      <c r="AL86" s="60"/>
      <c r="AM86" s="60"/>
      <c r="AN86" s="60"/>
      <c r="AO86" s="60"/>
      <c r="AP86" s="60"/>
      <c r="AQ86" s="60"/>
      <c r="AR86" s="60"/>
      <c r="AS86" s="60"/>
      <c r="AT86" s="60"/>
      <c r="AU86" s="60"/>
      <c r="AV86" s="60"/>
      <c r="AW86" s="60"/>
      <c r="AX86" s="60"/>
      <c r="AY86" s="60"/>
      <c r="AZ86" s="60"/>
      <c r="BA86" s="60"/>
      <c r="BB86" s="60"/>
      <c r="BC86" s="60"/>
      <c r="BD86" s="60"/>
      <c r="BE86" s="60"/>
      <c r="BF86" s="60"/>
      <c r="BG86" s="60"/>
      <c r="BH86" s="60"/>
      <c r="BI86" s="60"/>
      <c r="BJ86" s="60"/>
      <c r="BK86" s="60"/>
      <c r="BL86" s="60"/>
      <c r="BM86" s="60"/>
    </row>
    <row r="87" spans="1:65" s="51" customFormat="1" ht="30" customHeight="1" thickBot="1" x14ac:dyDescent="0.35">
      <c r="A87" s="46"/>
      <c r="B87" s="88"/>
      <c r="C87" s="87"/>
      <c r="D87" s="87"/>
      <c r="E87" s="86"/>
      <c r="F87" s="86"/>
      <c r="G87" s="61"/>
      <c r="H87" s="61"/>
      <c r="I87" s="66"/>
      <c r="J87" s="60"/>
      <c r="K87" s="60"/>
      <c r="L87" s="60"/>
      <c r="M87" s="60"/>
      <c r="N87" s="60"/>
      <c r="O87" s="60"/>
      <c r="P87" s="60"/>
      <c r="Q87" s="60"/>
      <c r="R87" s="60"/>
      <c r="S87" s="60"/>
      <c r="T87" s="60"/>
      <c r="U87" s="60"/>
      <c r="V87" s="60"/>
      <c r="W87" s="60"/>
      <c r="X87" s="60"/>
      <c r="Y87" s="60"/>
      <c r="Z87" s="60"/>
      <c r="AA87" s="60"/>
      <c r="AB87" s="60"/>
      <c r="AC87" s="60"/>
      <c r="AD87" s="60"/>
      <c r="AE87" s="60"/>
      <c r="AF87" s="60"/>
      <c r="AG87" s="60"/>
      <c r="AH87" s="60"/>
      <c r="AI87" s="60"/>
      <c r="AJ87" s="60"/>
      <c r="AK87" s="60"/>
      <c r="AL87" s="60"/>
      <c r="AM87" s="60"/>
      <c r="AN87" s="60"/>
      <c r="AO87" s="60"/>
      <c r="AP87" s="60"/>
      <c r="AQ87" s="60"/>
      <c r="AR87" s="60"/>
      <c r="AS87" s="60"/>
      <c r="AT87" s="60"/>
      <c r="AU87" s="60"/>
      <c r="AV87" s="60"/>
      <c r="AW87" s="60"/>
      <c r="AX87" s="60"/>
      <c r="AY87" s="60"/>
      <c r="AZ87" s="60"/>
      <c r="BA87" s="60"/>
      <c r="BB87" s="60"/>
      <c r="BC87" s="60"/>
      <c r="BD87" s="60"/>
      <c r="BE87" s="60"/>
      <c r="BF87" s="60"/>
      <c r="BG87" s="60"/>
      <c r="BH87" s="60"/>
      <c r="BI87" s="60"/>
      <c r="BJ87" s="60"/>
      <c r="BK87" s="60"/>
      <c r="BL87" s="60"/>
      <c r="BM87" s="60"/>
    </row>
    <row r="88" spans="1:65" s="51" customFormat="1" ht="30" customHeight="1" thickBot="1" x14ac:dyDescent="0.35">
      <c r="A88" s="46" t="s">
        <v>184</v>
      </c>
      <c r="B88" s="85" t="s">
        <v>214</v>
      </c>
      <c r="C88" s="84"/>
      <c r="D88" s="83"/>
      <c r="E88" s="82"/>
      <c r="F88" s="81"/>
      <c r="G88" s="61"/>
      <c r="H88" s="61" t="str">
        <f t="shared" ref="H88:H114" si="8">IF(OR(ISBLANK(task_start),ISBLANK(task_end)),"",task_end-task_start+1)</f>
        <v/>
      </c>
      <c r="I88" s="66"/>
      <c r="J88" s="60"/>
      <c r="K88" s="60"/>
      <c r="L88" s="60"/>
      <c r="M88" s="60"/>
      <c r="N88" s="60"/>
      <c r="O88" s="60"/>
      <c r="P88" s="60"/>
      <c r="Q88" s="60"/>
      <c r="R88" s="60"/>
      <c r="S88" s="60"/>
      <c r="T88" s="60"/>
      <c r="U88" s="60"/>
      <c r="V88" s="60"/>
      <c r="W88" s="60"/>
      <c r="X88" s="60"/>
      <c r="Y88" s="60"/>
      <c r="Z88" s="60"/>
      <c r="AA88" s="60"/>
      <c r="AB88" s="60"/>
      <c r="AC88" s="60"/>
      <c r="AD88" s="60"/>
      <c r="AE88" s="60"/>
      <c r="AF88" s="60"/>
      <c r="AG88" s="60"/>
      <c r="AH88" s="60"/>
      <c r="AI88" s="60"/>
      <c r="AJ88" s="60"/>
      <c r="AK88" s="60"/>
      <c r="AL88" s="60"/>
      <c r="AM88" s="60"/>
      <c r="AN88" s="60"/>
      <c r="AO88" s="60"/>
      <c r="AP88" s="60"/>
      <c r="AQ88" s="60"/>
      <c r="AR88" s="60"/>
      <c r="AS88" s="60"/>
      <c r="AT88" s="60"/>
      <c r="AU88" s="60"/>
      <c r="AV88" s="60"/>
      <c r="AW88" s="60"/>
      <c r="AX88" s="60"/>
      <c r="AY88" s="60"/>
      <c r="AZ88" s="60"/>
      <c r="BA88" s="60"/>
      <c r="BB88" s="60"/>
      <c r="BC88" s="60"/>
      <c r="BD88" s="60"/>
      <c r="BE88" s="60"/>
      <c r="BF88" s="60"/>
      <c r="BG88" s="60"/>
      <c r="BH88" s="60"/>
      <c r="BI88" s="60"/>
      <c r="BJ88" s="60"/>
      <c r="BK88" s="60"/>
      <c r="BL88" s="60"/>
      <c r="BM88" s="60"/>
    </row>
    <row r="89" spans="1:65" s="51" customFormat="1" ht="30" customHeight="1" thickBot="1" x14ac:dyDescent="0.35">
      <c r="A89" s="46"/>
      <c r="B89" s="80" t="s">
        <v>213</v>
      </c>
      <c r="C89" s="79" t="s">
        <v>119</v>
      </c>
      <c r="D89" s="78">
        <v>0.9</v>
      </c>
      <c r="E89" s="77">
        <v>43746</v>
      </c>
      <c r="F89" s="77">
        <f>E89+5</f>
        <v>43751</v>
      </c>
      <c r="G89" s="61"/>
      <c r="H89" s="61">
        <f t="shared" si="8"/>
        <v>6</v>
      </c>
      <c r="I89" s="66"/>
      <c r="J89" s="60"/>
      <c r="K89" s="60"/>
      <c r="L89" s="60"/>
      <c r="M89" s="60"/>
      <c r="N89" s="60"/>
      <c r="O89" s="60"/>
      <c r="P89" s="60"/>
      <c r="Q89" s="60"/>
      <c r="R89" s="60"/>
      <c r="S89" s="60"/>
      <c r="T89" s="60"/>
      <c r="U89" s="60"/>
      <c r="V89" s="60"/>
      <c r="W89" s="60"/>
      <c r="X89" s="60"/>
      <c r="Y89" s="60"/>
      <c r="Z89" s="60"/>
      <c r="AA89" s="60"/>
      <c r="AB89" s="60"/>
      <c r="AC89" s="60"/>
      <c r="AD89" s="60"/>
      <c r="AE89" s="60"/>
      <c r="AF89" s="60"/>
      <c r="AG89" s="60"/>
      <c r="AH89" s="60"/>
      <c r="AI89" s="60"/>
      <c r="AJ89" s="60"/>
      <c r="AK89" s="60"/>
      <c r="AL89" s="60"/>
      <c r="AM89" s="60"/>
      <c r="AN89" s="60"/>
      <c r="AO89" s="60"/>
      <c r="AP89" s="60"/>
      <c r="AQ89" s="60"/>
      <c r="AR89" s="60"/>
      <c r="AS89" s="60"/>
      <c r="AT89" s="60"/>
      <c r="AU89" s="60"/>
      <c r="AV89" s="60"/>
      <c r="AW89" s="60"/>
      <c r="AX89" s="60"/>
      <c r="AY89" s="60"/>
      <c r="AZ89" s="60"/>
      <c r="BA89" s="60"/>
      <c r="BB89" s="60"/>
      <c r="BC89" s="60"/>
      <c r="BD89" s="60"/>
      <c r="BE89" s="60"/>
      <c r="BF89" s="60"/>
      <c r="BG89" s="60"/>
      <c r="BH89" s="60"/>
      <c r="BI89" s="60"/>
      <c r="BJ89" s="60"/>
      <c r="BK89" s="60"/>
      <c r="BL89" s="60"/>
      <c r="BM89" s="60"/>
    </row>
    <row r="90" spans="1:65" s="51" customFormat="1" ht="30" customHeight="1" thickBot="1" x14ac:dyDescent="0.35">
      <c r="A90" s="46"/>
      <c r="B90" s="80" t="s">
        <v>212</v>
      </c>
      <c r="C90" s="79" t="s">
        <v>179</v>
      </c>
      <c r="D90" s="78">
        <v>0.9</v>
      </c>
      <c r="E90" s="77">
        <f>F89+1</f>
        <v>43752</v>
      </c>
      <c r="F90" s="77">
        <f>E90+2</f>
        <v>43754</v>
      </c>
      <c r="G90" s="61"/>
      <c r="H90" s="61">
        <f t="shared" si="8"/>
        <v>3</v>
      </c>
      <c r="I90" s="66"/>
      <c r="J90" s="60"/>
      <c r="K90" s="60"/>
      <c r="L90" s="60"/>
      <c r="M90" s="60"/>
      <c r="N90" s="60"/>
      <c r="O90" s="60"/>
      <c r="P90" s="60"/>
      <c r="Q90" s="60"/>
      <c r="R90" s="60"/>
      <c r="S90" s="60"/>
      <c r="T90" s="60"/>
      <c r="U90" s="60"/>
      <c r="V90" s="60"/>
      <c r="W90" s="60"/>
      <c r="X90" s="60"/>
      <c r="Y90" s="60"/>
      <c r="Z90" s="60"/>
      <c r="AA90" s="60"/>
      <c r="AB90" s="60"/>
      <c r="AC90" s="60"/>
      <c r="AD90" s="60"/>
      <c r="AE90" s="60"/>
      <c r="AF90" s="60"/>
      <c r="AG90" s="60"/>
      <c r="AH90" s="60"/>
      <c r="AI90" s="60"/>
      <c r="AJ90" s="60"/>
      <c r="AK90" s="60"/>
      <c r="AL90" s="60"/>
      <c r="AM90" s="60"/>
      <c r="AN90" s="60"/>
      <c r="AO90" s="60"/>
      <c r="AP90" s="60"/>
      <c r="AQ90" s="60"/>
      <c r="AR90" s="60"/>
      <c r="AS90" s="60"/>
      <c r="AT90" s="60"/>
      <c r="AU90" s="60"/>
      <c r="AV90" s="60"/>
      <c r="AW90" s="60"/>
      <c r="AX90" s="60"/>
      <c r="AY90" s="60"/>
      <c r="AZ90" s="60"/>
      <c r="BA90" s="60"/>
      <c r="BB90" s="60"/>
      <c r="BC90" s="60"/>
      <c r="BD90" s="60"/>
      <c r="BE90" s="60"/>
      <c r="BF90" s="60"/>
      <c r="BG90" s="60"/>
      <c r="BH90" s="60"/>
      <c r="BI90" s="60"/>
      <c r="BJ90" s="60"/>
      <c r="BK90" s="60"/>
      <c r="BL90" s="60"/>
      <c r="BM90" s="60"/>
    </row>
    <row r="91" spans="1:65" s="51" customFormat="1" ht="30" customHeight="1" thickBot="1" x14ac:dyDescent="0.35">
      <c r="A91" s="46"/>
      <c r="B91" s="80" t="s">
        <v>211</v>
      </c>
      <c r="C91" s="79" t="s">
        <v>119</v>
      </c>
      <c r="D91" s="78">
        <v>0.9</v>
      </c>
      <c r="E91" s="77">
        <f>E90+5</f>
        <v>43757</v>
      </c>
      <c r="F91" s="77">
        <f>E91+2</f>
        <v>43759</v>
      </c>
      <c r="G91" s="61"/>
      <c r="H91" s="61">
        <f t="shared" si="8"/>
        <v>3</v>
      </c>
      <c r="I91" s="66"/>
      <c r="J91" s="60"/>
      <c r="K91" s="60"/>
      <c r="L91" s="60"/>
      <c r="M91" s="60"/>
      <c r="N91" s="60"/>
      <c r="O91" s="60"/>
      <c r="P91" s="60"/>
      <c r="Q91" s="60"/>
      <c r="R91" s="60"/>
      <c r="S91" s="60"/>
      <c r="T91" s="60"/>
      <c r="U91" s="60"/>
      <c r="V91" s="60"/>
      <c r="W91" s="60"/>
      <c r="X91" s="60"/>
      <c r="Y91" s="60"/>
      <c r="Z91" s="60"/>
      <c r="AA91" s="60"/>
      <c r="AB91" s="60"/>
      <c r="AC91" s="60"/>
      <c r="AD91" s="60"/>
      <c r="AE91" s="60"/>
      <c r="AF91" s="60"/>
      <c r="AG91" s="60"/>
      <c r="AH91" s="60"/>
      <c r="AI91" s="60"/>
      <c r="AJ91" s="60"/>
      <c r="AK91" s="60"/>
      <c r="AL91" s="60"/>
      <c r="AM91" s="60"/>
      <c r="AN91" s="60"/>
      <c r="AO91" s="60"/>
      <c r="AP91" s="60"/>
      <c r="AQ91" s="60"/>
      <c r="AR91" s="60"/>
      <c r="AS91" s="60"/>
      <c r="AT91" s="60"/>
      <c r="AU91" s="60"/>
      <c r="AV91" s="60"/>
      <c r="AW91" s="60"/>
      <c r="AX91" s="60"/>
      <c r="AY91" s="60"/>
      <c r="AZ91" s="60"/>
      <c r="BA91" s="60"/>
      <c r="BB91" s="60"/>
      <c r="BC91" s="60"/>
      <c r="BD91" s="60"/>
      <c r="BE91" s="60"/>
      <c r="BF91" s="60"/>
      <c r="BG91" s="60"/>
      <c r="BH91" s="60"/>
      <c r="BI91" s="60"/>
      <c r="BJ91" s="60"/>
      <c r="BK91" s="60"/>
      <c r="BL91" s="60"/>
      <c r="BM91" s="60"/>
    </row>
    <row r="92" spans="1:65" s="51" customFormat="1" ht="30" customHeight="1" thickBot="1" x14ac:dyDescent="0.35">
      <c r="A92" s="46"/>
      <c r="B92" s="80" t="s">
        <v>210</v>
      </c>
      <c r="C92" s="79" t="s">
        <v>119</v>
      </c>
      <c r="D92" s="78">
        <v>0.9</v>
      </c>
      <c r="E92" s="77">
        <f>F91+1</f>
        <v>43760</v>
      </c>
      <c r="F92" s="77">
        <f>E92+4</f>
        <v>43764</v>
      </c>
      <c r="G92" s="61"/>
      <c r="H92" s="61">
        <f t="shared" si="8"/>
        <v>5</v>
      </c>
      <c r="I92" s="66"/>
      <c r="J92" s="60"/>
      <c r="K92" s="60"/>
      <c r="L92" s="60"/>
      <c r="M92" s="60"/>
      <c r="N92" s="60"/>
      <c r="O92" s="60"/>
      <c r="P92" s="60"/>
      <c r="Q92" s="60"/>
      <c r="R92" s="60"/>
      <c r="S92" s="60"/>
      <c r="T92" s="60"/>
      <c r="U92" s="60"/>
      <c r="V92" s="60"/>
      <c r="W92" s="60"/>
      <c r="X92" s="60"/>
      <c r="Y92" s="60"/>
      <c r="Z92" s="60"/>
      <c r="AA92" s="60"/>
      <c r="AB92" s="60"/>
      <c r="AC92" s="60"/>
      <c r="AD92" s="60"/>
      <c r="AE92" s="60"/>
      <c r="AF92" s="60"/>
      <c r="AG92" s="60"/>
      <c r="AH92" s="60"/>
      <c r="AI92" s="60"/>
      <c r="AJ92" s="60"/>
      <c r="AK92" s="60"/>
      <c r="AL92" s="60"/>
      <c r="AM92" s="60"/>
      <c r="AN92" s="60"/>
      <c r="AO92" s="60"/>
      <c r="AP92" s="60"/>
      <c r="AQ92" s="60"/>
      <c r="AR92" s="60"/>
      <c r="AS92" s="60"/>
      <c r="AT92" s="60"/>
      <c r="AU92" s="60"/>
      <c r="AV92" s="60"/>
      <c r="AW92" s="60"/>
      <c r="AX92" s="60"/>
      <c r="AY92" s="60"/>
      <c r="AZ92" s="60"/>
      <c r="BA92" s="60"/>
      <c r="BB92" s="60"/>
      <c r="BC92" s="60"/>
      <c r="BD92" s="60"/>
      <c r="BE92" s="60"/>
      <c r="BF92" s="60"/>
      <c r="BG92" s="60"/>
      <c r="BH92" s="60"/>
      <c r="BI92" s="60"/>
      <c r="BJ92" s="60"/>
      <c r="BK92" s="60"/>
      <c r="BL92" s="60"/>
      <c r="BM92" s="60"/>
    </row>
    <row r="93" spans="1:65" s="51" customFormat="1" ht="30" customHeight="1" thickBot="1" x14ac:dyDescent="0.35">
      <c r="A93" s="46"/>
      <c r="B93" s="80" t="s">
        <v>209</v>
      </c>
      <c r="C93" s="79" t="s">
        <v>119</v>
      </c>
      <c r="D93" s="78">
        <v>1</v>
      </c>
      <c r="E93" s="77">
        <f>F92+1</f>
        <v>43765</v>
      </c>
      <c r="F93" s="77">
        <f>E93+4</f>
        <v>43769</v>
      </c>
      <c r="G93" s="61"/>
      <c r="H93" s="61">
        <f t="shared" si="8"/>
        <v>5</v>
      </c>
      <c r="I93" s="66"/>
      <c r="J93" s="60"/>
      <c r="K93" s="60"/>
      <c r="L93" s="60"/>
      <c r="M93" s="60"/>
      <c r="N93" s="60"/>
      <c r="O93" s="60"/>
      <c r="P93" s="60"/>
      <c r="Q93" s="60"/>
      <c r="R93" s="60"/>
      <c r="S93" s="60"/>
      <c r="T93" s="60"/>
      <c r="U93" s="60"/>
      <c r="V93" s="60"/>
      <c r="W93" s="60"/>
      <c r="X93" s="60"/>
      <c r="Y93" s="60"/>
      <c r="Z93" s="60"/>
      <c r="AA93" s="60"/>
      <c r="AB93" s="60"/>
      <c r="AC93" s="60"/>
      <c r="AD93" s="60"/>
      <c r="AE93" s="60"/>
      <c r="AF93" s="60"/>
      <c r="AG93" s="60"/>
      <c r="AH93" s="60"/>
      <c r="AI93" s="60"/>
      <c r="AJ93" s="60"/>
      <c r="AK93" s="60"/>
      <c r="AL93" s="60"/>
      <c r="AM93" s="60"/>
      <c r="AN93" s="60"/>
      <c r="AO93" s="60"/>
      <c r="AP93" s="60"/>
      <c r="AQ93" s="60"/>
      <c r="AR93" s="60"/>
      <c r="AS93" s="60"/>
      <c r="AT93" s="60"/>
      <c r="AU93" s="60"/>
      <c r="AV93" s="60"/>
      <c r="AW93" s="60"/>
      <c r="AX93" s="60"/>
      <c r="AY93" s="60"/>
      <c r="AZ93" s="60"/>
      <c r="BA93" s="60"/>
      <c r="BB93" s="60"/>
      <c r="BC93" s="60"/>
      <c r="BD93" s="60"/>
      <c r="BE93" s="60"/>
      <c r="BF93" s="60"/>
      <c r="BG93" s="60"/>
      <c r="BH93" s="60"/>
      <c r="BI93" s="60"/>
      <c r="BJ93" s="60"/>
      <c r="BK93" s="60"/>
      <c r="BL93" s="60"/>
      <c r="BM93" s="60"/>
    </row>
    <row r="94" spans="1:65" s="51" customFormat="1" ht="30" customHeight="1" thickBot="1" x14ac:dyDescent="0.35">
      <c r="A94" s="46"/>
      <c r="B94" s="80" t="s">
        <v>208</v>
      </c>
      <c r="C94" s="79" t="s">
        <v>179</v>
      </c>
      <c r="D94" s="78">
        <v>1</v>
      </c>
      <c r="E94" s="77">
        <v>43770</v>
      </c>
      <c r="F94" s="77">
        <f>E94+2</f>
        <v>43772</v>
      </c>
      <c r="G94" s="61"/>
      <c r="H94" s="61">
        <f t="shared" si="8"/>
        <v>3</v>
      </c>
      <c r="I94" s="66"/>
      <c r="J94" s="60"/>
      <c r="K94" s="60"/>
      <c r="L94" s="60"/>
      <c r="M94" s="60"/>
      <c r="N94" s="60"/>
      <c r="O94" s="60"/>
      <c r="P94" s="60"/>
      <c r="Q94" s="60"/>
      <c r="R94" s="60"/>
      <c r="S94" s="60"/>
      <c r="T94" s="60"/>
      <c r="U94" s="60"/>
      <c r="V94" s="60"/>
      <c r="W94" s="60"/>
      <c r="X94" s="60"/>
      <c r="Y94" s="60"/>
      <c r="Z94" s="60"/>
      <c r="AA94" s="60"/>
      <c r="AB94" s="60"/>
      <c r="AC94" s="60"/>
      <c r="AD94" s="60"/>
      <c r="AE94" s="60"/>
      <c r="AF94" s="60"/>
      <c r="AG94" s="60"/>
      <c r="AH94" s="60"/>
      <c r="AI94" s="60"/>
      <c r="AJ94" s="60"/>
      <c r="AK94" s="60"/>
      <c r="AL94" s="60"/>
      <c r="AM94" s="60"/>
      <c r="AN94" s="60"/>
      <c r="AO94" s="60"/>
      <c r="AP94" s="60"/>
      <c r="AQ94" s="60"/>
      <c r="AR94" s="60"/>
      <c r="AS94" s="60"/>
      <c r="AT94" s="60"/>
      <c r="AU94" s="60"/>
      <c r="AV94" s="60"/>
      <c r="AW94" s="60"/>
      <c r="AX94" s="60"/>
      <c r="AY94" s="60"/>
      <c r="AZ94" s="60"/>
      <c r="BA94" s="60"/>
      <c r="BB94" s="60"/>
      <c r="BC94" s="60"/>
      <c r="BD94" s="60"/>
      <c r="BE94" s="60"/>
      <c r="BF94" s="60"/>
      <c r="BG94" s="60"/>
      <c r="BH94" s="60"/>
      <c r="BI94" s="60"/>
      <c r="BJ94" s="60"/>
      <c r="BK94" s="60"/>
      <c r="BL94" s="60"/>
      <c r="BM94" s="60"/>
    </row>
    <row r="95" spans="1:65" s="51" customFormat="1" ht="30" customHeight="1" thickBot="1" x14ac:dyDescent="0.35">
      <c r="A95" s="46"/>
      <c r="B95" s="80" t="s">
        <v>207</v>
      </c>
      <c r="C95" s="79" t="s">
        <v>119</v>
      </c>
      <c r="D95" s="78">
        <v>1</v>
      </c>
      <c r="E95" s="77">
        <v>43770</v>
      </c>
      <c r="F95" s="77">
        <f>E95+2</f>
        <v>43772</v>
      </c>
      <c r="G95" s="61"/>
      <c r="H95" s="61">
        <f t="shared" si="8"/>
        <v>3</v>
      </c>
      <c r="I95" s="66"/>
      <c r="J95" s="60"/>
      <c r="K95" s="60"/>
      <c r="L95" s="60"/>
      <c r="M95" s="60"/>
      <c r="N95" s="60"/>
      <c r="O95" s="60"/>
      <c r="P95" s="60"/>
      <c r="Q95" s="60"/>
      <c r="R95" s="60"/>
      <c r="S95" s="60"/>
      <c r="T95" s="60"/>
      <c r="U95" s="60"/>
      <c r="V95" s="60"/>
      <c r="W95" s="60"/>
      <c r="X95" s="60"/>
      <c r="Y95" s="60"/>
      <c r="Z95" s="60"/>
      <c r="AA95" s="60"/>
      <c r="AB95" s="60"/>
      <c r="AC95" s="60"/>
      <c r="AD95" s="60"/>
      <c r="AE95" s="60"/>
      <c r="AF95" s="60"/>
      <c r="AG95" s="60"/>
      <c r="AH95" s="60"/>
      <c r="AI95" s="60"/>
      <c r="AJ95" s="60"/>
      <c r="AK95" s="60"/>
      <c r="AL95" s="60"/>
      <c r="AM95" s="60"/>
      <c r="AN95" s="60"/>
      <c r="AO95" s="60"/>
      <c r="AP95" s="60"/>
      <c r="AQ95" s="60"/>
      <c r="AR95" s="60"/>
      <c r="AS95" s="60"/>
      <c r="AT95" s="60"/>
      <c r="AU95" s="60"/>
      <c r="AV95" s="60"/>
      <c r="AW95" s="60"/>
      <c r="AX95" s="60"/>
      <c r="AY95" s="60"/>
      <c r="AZ95" s="60"/>
      <c r="BA95" s="60"/>
      <c r="BB95" s="60"/>
      <c r="BC95" s="60"/>
      <c r="BD95" s="60"/>
      <c r="BE95" s="60"/>
      <c r="BF95" s="60"/>
      <c r="BG95" s="60"/>
      <c r="BH95" s="60"/>
      <c r="BI95" s="60"/>
      <c r="BJ95" s="60"/>
      <c r="BK95" s="60"/>
      <c r="BL95" s="60"/>
      <c r="BM95" s="60"/>
    </row>
    <row r="96" spans="1:65" s="51" customFormat="1" ht="30" customHeight="1" thickBot="1" x14ac:dyDescent="0.35">
      <c r="A96" s="46"/>
      <c r="B96" s="80" t="s">
        <v>206</v>
      </c>
      <c r="C96" s="79" t="s">
        <v>119</v>
      </c>
      <c r="D96" s="78">
        <v>0.5</v>
      </c>
      <c r="E96" s="77">
        <v>43770</v>
      </c>
      <c r="F96" s="77">
        <f>E96+2</f>
        <v>43772</v>
      </c>
      <c r="G96" s="61"/>
      <c r="H96" s="61">
        <f t="shared" si="8"/>
        <v>3</v>
      </c>
      <c r="I96" s="66" t="s">
        <v>205</v>
      </c>
      <c r="J96" s="60"/>
      <c r="K96" s="60"/>
      <c r="L96" s="60"/>
      <c r="M96" s="60"/>
      <c r="N96" s="60"/>
      <c r="O96" s="60"/>
      <c r="P96" s="60"/>
      <c r="Q96" s="60"/>
      <c r="R96" s="60"/>
      <c r="S96" s="60"/>
      <c r="T96" s="60"/>
      <c r="U96" s="60"/>
      <c r="V96" s="60"/>
      <c r="W96" s="60"/>
      <c r="X96" s="60"/>
      <c r="Y96" s="60"/>
      <c r="Z96" s="60"/>
      <c r="AA96" s="60"/>
      <c r="AB96" s="60"/>
      <c r="AC96" s="60"/>
      <c r="AD96" s="60"/>
      <c r="AE96" s="60"/>
      <c r="AF96" s="60"/>
      <c r="AG96" s="60"/>
      <c r="AH96" s="60"/>
      <c r="AI96" s="60"/>
      <c r="AJ96" s="60"/>
      <c r="AK96" s="60"/>
      <c r="AL96" s="60"/>
      <c r="AM96" s="60"/>
      <c r="AN96" s="60"/>
      <c r="AO96" s="60"/>
      <c r="AP96" s="60"/>
      <c r="AQ96" s="60"/>
      <c r="AR96" s="60"/>
      <c r="AS96" s="60"/>
      <c r="AT96" s="60"/>
      <c r="AU96" s="60"/>
      <c r="AV96" s="60"/>
      <c r="AW96" s="60"/>
      <c r="AX96" s="60"/>
      <c r="AY96" s="60"/>
      <c r="AZ96" s="60"/>
      <c r="BA96" s="60"/>
      <c r="BB96" s="60"/>
      <c r="BC96" s="60"/>
      <c r="BD96" s="60"/>
      <c r="BE96" s="60"/>
      <c r="BF96" s="60"/>
      <c r="BG96" s="60"/>
      <c r="BH96" s="60"/>
      <c r="BI96" s="60"/>
      <c r="BJ96" s="60"/>
      <c r="BK96" s="60"/>
      <c r="BL96" s="60"/>
      <c r="BM96" s="60"/>
    </row>
    <row r="97" spans="1:65" s="51" customFormat="1" ht="30" customHeight="1" thickBot="1" x14ac:dyDescent="0.35">
      <c r="A97" s="46"/>
      <c r="B97" s="80" t="s">
        <v>204</v>
      </c>
      <c r="C97" s="79" t="s">
        <v>179</v>
      </c>
      <c r="D97" s="78">
        <v>0.5</v>
      </c>
      <c r="E97" s="77">
        <v>43770</v>
      </c>
      <c r="F97" s="77">
        <f>E97+2</f>
        <v>43772</v>
      </c>
      <c r="G97" s="61"/>
      <c r="H97" s="61">
        <f t="shared" si="8"/>
        <v>3</v>
      </c>
      <c r="I97" s="66" t="s">
        <v>203</v>
      </c>
      <c r="J97" s="60"/>
      <c r="K97" s="60"/>
      <c r="L97" s="60"/>
      <c r="M97" s="60"/>
      <c r="N97" s="60"/>
      <c r="O97" s="60"/>
      <c r="P97" s="60"/>
      <c r="Q97" s="60"/>
      <c r="R97" s="60"/>
      <c r="S97" s="60"/>
      <c r="T97" s="60"/>
      <c r="U97" s="60"/>
      <c r="V97" s="60"/>
      <c r="W97" s="60"/>
      <c r="X97" s="60"/>
      <c r="Y97" s="60"/>
      <c r="Z97" s="60"/>
      <c r="AA97" s="60"/>
      <c r="AB97" s="60"/>
      <c r="AC97" s="60"/>
      <c r="AD97" s="60"/>
      <c r="AE97" s="60"/>
      <c r="AF97" s="60"/>
      <c r="AG97" s="60"/>
      <c r="AH97" s="60"/>
      <c r="AI97" s="60"/>
      <c r="AJ97" s="60"/>
      <c r="AK97" s="60"/>
      <c r="AL97" s="60"/>
      <c r="AM97" s="60"/>
      <c r="AN97" s="60"/>
      <c r="AO97" s="60"/>
      <c r="AP97" s="60"/>
      <c r="AQ97" s="60"/>
      <c r="AR97" s="60"/>
      <c r="AS97" s="60"/>
      <c r="AT97" s="60"/>
      <c r="AU97" s="60"/>
      <c r="AV97" s="60"/>
      <c r="AW97" s="60"/>
      <c r="AX97" s="60"/>
      <c r="AY97" s="60"/>
      <c r="AZ97" s="60"/>
      <c r="BA97" s="60"/>
      <c r="BB97" s="60"/>
      <c r="BC97" s="60"/>
      <c r="BD97" s="60"/>
      <c r="BE97" s="60"/>
      <c r="BF97" s="60"/>
      <c r="BG97" s="60"/>
      <c r="BH97" s="60"/>
      <c r="BI97" s="60"/>
      <c r="BJ97" s="60"/>
      <c r="BK97" s="60"/>
      <c r="BL97" s="60"/>
      <c r="BM97" s="60"/>
    </row>
    <row r="98" spans="1:65" s="51" customFormat="1" ht="30" customHeight="1" thickBot="1" x14ac:dyDescent="0.35">
      <c r="A98" s="46"/>
      <c r="B98" s="80" t="s">
        <v>202</v>
      </c>
      <c r="C98" s="79" t="s">
        <v>119</v>
      </c>
      <c r="D98" s="78">
        <v>0.9</v>
      </c>
      <c r="E98" s="77">
        <v>43773</v>
      </c>
      <c r="F98" s="77">
        <f>E98+1</f>
        <v>43774</v>
      </c>
      <c r="G98" s="61"/>
      <c r="H98" s="61">
        <f t="shared" si="8"/>
        <v>2</v>
      </c>
      <c r="I98" s="66"/>
      <c r="J98" s="60"/>
      <c r="K98" s="60"/>
      <c r="L98" s="60"/>
      <c r="M98" s="60"/>
      <c r="N98" s="60"/>
      <c r="O98" s="60"/>
      <c r="P98" s="60"/>
      <c r="Q98" s="60"/>
      <c r="R98" s="60"/>
      <c r="S98" s="60"/>
      <c r="T98" s="60"/>
      <c r="U98" s="60"/>
      <c r="V98" s="60"/>
      <c r="W98" s="60"/>
      <c r="X98" s="60"/>
      <c r="Y98" s="60"/>
      <c r="Z98" s="60"/>
      <c r="AA98" s="60"/>
      <c r="AB98" s="60"/>
      <c r="AC98" s="60"/>
      <c r="AD98" s="60"/>
      <c r="AE98" s="60"/>
      <c r="AF98" s="60"/>
      <c r="AG98" s="60"/>
      <c r="AH98" s="60"/>
      <c r="AI98" s="60"/>
      <c r="AJ98" s="60"/>
      <c r="AK98" s="60"/>
      <c r="AL98" s="60"/>
      <c r="AM98" s="60"/>
      <c r="AN98" s="60"/>
      <c r="AO98" s="60"/>
      <c r="AP98" s="60"/>
      <c r="AQ98" s="60"/>
      <c r="AR98" s="60"/>
      <c r="AS98" s="60"/>
      <c r="AT98" s="60"/>
      <c r="AU98" s="60"/>
      <c r="AV98" s="60"/>
      <c r="AW98" s="60"/>
      <c r="AX98" s="60"/>
      <c r="AY98" s="60"/>
      <c r="AZ98" s="60"/>
      <c r="BA98" s="60"/>
      <c r="BB98" s="60"/>
      <c r="BC98" s="60"/>
      <c r="BD98" s="60"/>
      <c r="BE98" s="60"/>
      <c r="BF98" s="60"/>
      <c r="BG98" s="60"/>
      <c r="BH98" s="60"/>
      <c r="BI98" s="60"/>
      <c r="BJ98" s="60"/>
      <c r="BK98" s="60"/>
      <c r="BL98" s="60"/>
      <c r="BM98" s="60"/>
    </row>
    <row r="99" spans="1:65" s="51" customFormat="1" ht="30" customHeight="1" thickBot="1" x14ac:dyDescent="0.35">
      <c r="A99" s="46"/>
      <c r="B99" s="80" t="s">
        <v>201</v>
      </c>
      <c r="C99" s="79" t="s">
        <v>119</v>
      </c>
      <c r="D99" s="78">
        <v>0.9</v>
      </c>
      <c r="E99" s="77">
        <v>43775</v>
      </c>
      <c r="F99" s="77">
        <f>E99+2</f>
        <v>43777</v>
      </c>
      <c r="G99" s="61"/>
      <c r="H99" s="61">
        <f t="shared" si="8"/>
        <v>3</v>
      </c>
      <c r="I99" s="66"/>
      <c r="J99" s="60"/>
      <c r="K99" s="60"/>
      <c r="L99" s="60"/>
      <c r="M99" s="60"/>
      <c r="N99" s="60"/>
      <c r="O99" s="60"/>
      <c r="P99" s="60"/>
      <c r="Q99" s="60"/>
      <c r="R99" s="60"/>
      <c r="S99" s="60"/>
      <c r="T99" s="60"/>
      <c r="U99" s="60"/>
      <c r="V99" s="60"/>
      <c r="W99" s="60"/>
      <c r="X99" s="60"/>
      <c r="Y99" s="60"/>
      <c r="Z99" s="60"/>
      <c r="AA99" s="60"/>
      <c r="AB99" s="60"/>
      <c r="AC99" s="60"/>
      <c r="AD99" s="60"/>
      <c r="AE99" s="60"/>
      <c r="AF99" s="60"/>
      <c r="AG99" s="60"/>
      <c r="AH99" s="60"/>
      <c r="AI99" s="60"/>
      <c r="AJ99" s="60"/>
      <c r="AK99" s="60"/>
      <c r="AL99" s="60"/>
      <c r="AM99" s="60"/>
      <c r="AN99" s="60"/>
      <c r="AO99" s="60"/>
      <c r="AP99" s="60"/>
      <c r="AQ99" s="60"/>
      <c r="AR99" s="60"/>
      <c r="AS99" s="60"/>
      <c r="AT99" s="60"/>
      <c r="AU99" s="60"/>
      <c r="AV99" s="60"/>
      <c r="AW99" s="60"/>
      <c r="AX99" s="60"/>
      <c r="AY99" s="60"/>
      <c r="AZ99" s="60"/>
      <c r="BA99" s="60"/>
      <c r="BB99" s="60"/>
      <c r="BC99" s="60"/>
      <c r="BD99" s="60"/>
      <c r="BE99" s="60"/>
      <c r="BF99" s="60"/>
      <c r="BG99" s="60"/>
      <c r="BH99" s="60"/>
      <c r="BI99" s="60"/>
      <c r="BJ99" s="60"/>
      <c r="BK99" s="60"/>
      <c r="BL99" s="60"/>
      <c r="BM99" s="60"/>
    </row>
    <row r="100" spans="1:65" s="51" customFormat="1" ht="30" customHeight="1" thickBot="1" x14ac:dyDescent="0.35">
      <c r="A100" s="46"/>
      <c r="B100" s="80" t="s">
        <v>200</v>
      </c>
      <c r="C100" s="79" t="s">
        <v>119</v>
      </c>
      <c r="D100" s="78">
        <v>0.9</v>
      </c>
      <c r="E100" s="77">
        <v>43773</v>
      </c>
      <c r="F100" s="77">
        <f>E100+7</f>
        <v>43780</v>
      </c>
      <c r="G100" s="61"/>
      <c r="H100" s="61">
        <f t="shared" si="8"/>
        <v>8</v>
      </c>
      <c r="I100" s="66" t="s">
        <v>338</v>
      </c>
      <c r="J100" s="60"/>
      <c r="K100" s="60"/>
      <c r="L100" s="60"/>
      <c r="M100" s="60"/>
      <c r="N100" s="60"/>
      <c r="O100" s="60"/>
      <c r="P100" s="60"/>
      <c r="Q100" s="60"/>
      <c r="R100" s="60"/>
      <c r="S100" s="60"/>
      <c r="T100" s="60"/>
      <c r="U100" s="60"/>
      <c r="V100" s="60"/>
      <c r="W100" s="60"/>
      <c r="X100" s="60"/>
      <c r="Y100" s="60"/>
      <c r="Z100" s="60"/>
      <c r="AA100" s="60"/>
      <c r="AB100" s="60"/>
      <c r="AC100" s="60"/>
      <c r="AD100" s="60"/>
      <c r="AE100" s="60"/>
      <c r="AF100" s="60"/>
      <c r="AG100" s="60"/>
      <c r="AH100" s="60"/>
      <c r="AI100" s="60"/>
      <c r="AJ100" s="60"/>
      <c r="AK100" s="60"/>
      <c r="AL100" s="60"/>
      <c r="AM100" s="60"/>
      <c r="AN100" s="60"/>
      <c r="AO100" s="60"/>
      <c r="AP100" s="60"/>
      <c r="AQ100" s="60"/>
      <c r="AR100" s="60"/>
      <c r="AS100" s="60"/>
      <c r="AT100" s="60"/>
      <c r="AU100" s="60"/>
      <c r="AV100" s="60"/>
      <c r="AW100" s="60"/>
      <c r="AX100" s="60"/>
      <c r="AY100" s="60"/>
      <c r="AZ100" s="60"/>
      <c r="BA100" s="60"/>
      <c r="BB100" s="60"/>
      <c r="BC100" s="60"/>
      <c r="BD100" s="60"/>
      <c r="BE100" s="60"/>
      <c r="BF100" s="60"/>
      <c r="BG100" s="60"/>
      <c r="BH100" s="60"/>
      <c r="BI100" s="60"/>
      <c r="BJ100" s="60"/>
      <c r="BK100" s="60"/>
      <c r="BL100" s="60"/>
      <c r="BM100" s="60"/>
    </row>
    <row r="101" spans="1:65" s="51" customFormat="1" ht="30" customHeight="1" thickBot="1" x14ac:dyDescent="0.35">
      <c r="A101" s="46"/>
      <c r="B101" s="80" t="s">
        <v>199</v>
      </c>
      <c r="C101" s="79" t="s">
        <v>198</v>
      </c>
      <c r="D101" s="78">
        <v>0.8</v>
      </c>
      <c r="E101" s="77">
        <v>43885</v>
      </c>
      <c r="F101" s="77">
        <f>E101+14</f>
        <v>43899</v>
      </c>
      <c r="G101" s="61"/>
      <c r="H101" s="61">
        <f t="shared" si="8"/>
        <v>15</v>
      </c>
      <c r="I101" s="66" t="s">
        <v>337</v>
      </c>
      <c r="J101" s="60"/>
      <c r="K101" s="60"/>
      <c r="L101" s="60"/>
      <c r="M101" s="60"/>
      <c r="N101" s="60"/>
      <c r="O101" s="60"/>
      <c r="P101" s="60"/>
      <c r="Q101" s="60"/>
      <c r="R101" s="60"/>
      <c r="S101" s="60"/>
      <c r="T101" s="60"/>
      <c r="U101" s="60"/>
      <c r="V101" s="60"/>
      <c r="W101" s="60"/>
      <c r="X101" s="60"/>
      <c r="Y101" s="60"/>
      <c r="Z101" s="60"/>
      <c r="AA101" s="60"/>
      <c r="AB101" s="60"/>
      <c r="AC101" s="60"/>
      <c r="AD101" s="60"/>
      <c r="AE101" s="60"/>
      <c r="AF101" s="60"/>
      <c r="AG101" s="60"/>
      <c r="AH101" s="60"/>
      <c r="AI101" s="60"/>
      <c r="AJ101" s="60"/>
      <c r="AK101" s="60"/>
      <c r="AL101" s="60"/>
      <c r="AM101" s="60"/>
      <c r="AN101" s="60"/>
      <c r="AO101" s="60"/>
      <c r="AP101" s="60"/>
      <c r="AQ101" s="60"/>
      <c r="AR101" s="60"/>
      <c r="AS101" s="60"/>
      <c r="AT101" s="60"/>
      <c r="AU101" s="60"/>
      <c r="AV101" s="60"/>
      <c r="AW101" s="60"/>
      <c r="AX101" s="60"/>
      <c r="AY101" s="60"/>
      <c r="AZ101" s="60"/>
      <c r="BA101" s="60"/>
      <c r="BB101" s="60"/>
      <c r="BC101" s="60"/>
      <c r="BD101" s="60"/>
      <c r="BE101" s="60"/>
      <c r="BF101" s="60"/>
      <c r="BG101" s="60"/>
      <c r="BH101" s="60"/>
      <c r="BI101" s="60"/>
      <c r="BJ101" s="60"/>
      <c r="BK101" s="60"/>
      <c r="BL101" s="60"/>
      <c r="BM101" s="60"/>
    </row>
    <row r="102" spans="1:65" s="51" customFormat="1" ht="30" customHeight="1" thickBot="1" x14ac:dyDescent="0.35">
      <c r="A102" s="46"/>
      <c r="B102" s="80" t="s">
        <v>197</v>
      </c>
      <c r="C102" s="79" t="s">
        <v>119</v>
      </c>
      <c r="D102" s="78">
        <v>0.8</v>
      </c>
      <c r="E102" s="77">
        <v>43781</v>
      </c>
      <c r="F102" s="77">
        <f>E102+7</f>
        <v>43788</v>
      </c>
      <c r="G102" s="61"/>
      <c r="H102" s="61">
        <f t="shared" si="8"/>
        <v>8</v>
      </c>
      <c r="I102" s="66" t="s">
        <v>339</v>
      </c>
      <c r="J102" s="60"/>
      <c r="K102" s="60"/>
      <c r="L102" s="60"/>
      <c r="M102" s="60"/>
      <c r="N102" s="60"/>
      <c r="O102" s="60"/>
      <c r="P102" s="60"/>
      <c r="Q102" s="60"/>
      <c r="R102" s="60"/>
      <c r="S102" s="60"/>
      <c r="T102" s="60"/>
      <c r="U102" s="60"/>
      <c r="V102" s="60"/>
      <c r="W102" s="60"/>
      <c r="X102" s="60"/>
      <c r="Y102" s="60"/>
      <c r="Z102" s="60"/>
      <c r="AA102" s="60"/>
      <c r="AB102" s="60"/>
      <c r="AC102" s="60"/>
      <c r="AD102" s="60"/>
      <c r="AE102" s="60"/>
      <c r="AF102" s="60"/>
      <c r="AG102" s="60"/>
      <c r="AH102" s="60"/>
      <c r="AI102" s="60"/>
      <c r="AJ102" s="60"/>
      <c r="AK102" s="60"/>
      <c r="AL102" s="60"/>
      <c r="AM102" s="60"/>
      <c r="AN102" s="60"/>
      <c r="AO102" s="60"/>
      <c r="AP102" s="60"/>
      <c r="AQ102" s="60"/>
      <c r="AR102" s="60"/>
      <c r="AS102" s="60"/>
      <c r="AT102" s="60"/>
      <c r="AU102" s="60"/>
      <c r="AV102" s="60"/>
      <c r="AW102" s="60"/>
      <c r="AX102" s="60"/>
      <c r="AY102" s="60"/>
      <c r="AZ102" s="60"/>
      <c r="BA102" s="60"/>
      <c r="BB102" s="60"/>
      <c r="BC102" s="60"/>
      <c r="BD102" s="60"/>
      <c r="BE102" s="60"/>
      <c r="BF102" s="60"/>
      <c r="BG102" s="60"/>
      <c r="BH102" s="60"/>
      <c r="BI102" s="60"/>
      <c r="BJ102" s="60"/>
      <c r="BK102" s="60"/>
      <c r="BL102" s="60"/>
      <c r="BM102" s="60"/>
    </row>
    <row r="103" spans="1:65" s="51" customFormat="1" ht="30" customHeight="1" thickBot="1" x14ac:dyDescent="0.35">
      <c r="A103" s="46"/>
      <c r="B103" s="80" t="s">
        <v>196</v>
      </c>
      <c r="C103" s="79" t="s">
        <v>119</v>
      </c>
      <c r="D103" s="78">
        <v>0.7</v>
      </c>
      <c r="E103" s="77">
        <v>43789</v>
      </c>
      <c r="F103" s="77">
        <f>E103+3</f>
        <v>43792</v>
      </c>
      <c r="G103" s="61"/>
      <c r="H103" s="61">
        <f t="shared" si="8"/>
        <v>4</v>
      </c>
      <c r="I103" s="66" t="s">
        <v>339</v>
      </c>
      <c r="J103" s="60"/>
      <c r="K103" s="60"/>
      <c r="L103" s="60"/>
      <c r="M103" s="60"/>
      <c r="N103" s="60"/>
      <c r="O103" s="60"/>
      <c r="P103" s="60"/>
      <c r="Q103" s="60"/>
      <c r="R103" s="60"/>
      <c r="S103" s="60"/>
      <c r="T103" s="60"/>
      <c r="U103" s="60"/>
      <c r="V103" s="60"/>
      <c r="W103" s="60"/>
      <c r="X103" s="60"/>
      <c r="Y103" s="60"/>
      <c r="Z103" s="60"/>
      <c r="AA103" s="60"/>
      <c r="AB103" s="60"/>
      <c r="AC103" s="60"/>
      <c r="AD103" s="60"/>
      <c r="AE103" s="60"/>
      <c r="AF103" s="60"/>
      <c r="AG103" s="60"/>
      <c r="AH103" s="60"/>
      <c r="AI103" s="60"/>
      <c r="AJ103" s="60"/>
      <c r="AK103" s="60"/>
      <c r="AL103" s="60"/>
      <c r="AM103" s="60"/>
      <c r="AN103" s="60"/>
      <c r="AO103" s="60"/>
      <c r="AP103" s="60"/>
      <c r="AQ103" s="60"/>
      <c r="AR103" s="60"/>
      <c r="AS103" s="60"/>
      <c r="AT103" s="60"/>
      <c r="AU103" s="60"/>
      <c r="AV103" s="60"/>
      <c r="AW103" s="60"/>
      <c r="AX103" s="60"/>
      <c r="AY103" s="60"/>
      <c r="AZ103" s="60"/>
      <c r="BA103" s="60"/>
      <c r="BB103" s="60"/>
      <c r="BC103" s="60"/>
      <c r="BD103" s="60"/>
      <c r="BE103" s="60"/>
      <c r="BF103" s="60"/>
      <c r="BG103" s="60"/>
      <c r="BH103" s="60"/>
      <c r="BI103" s="60"/>
      <c r="BJ103" s="60"/>
      <c r="BK103" s="60"/>
      <c r="BL103" s="60"/>
      <c r="BM103" s="60"/>
    </row>
    <row r="104" spans="1:65" s="51" customFormat="1" ht="30" customHeight="1" thickBot="1" x14ac:dyDescent="0.35">
      <c r="A104" s="46"/>
      <c r="B104" s="80" t="s">
        <v>195</v>
      </c>
      <c r="C104" s="79" t="s">
        <v>119</v>
      </c>
      <c r="D104" s="78">
        <v>0.8</v>
      </c>
      <c r="E104" s="77">
        <v>43793</v>
      </c>
      <c r="F104" s="77">
        <f>E104+2</f>
        <v>43795</v>
      </c>
      <c r="G104" s="61"/>
      <c r="H104" s="61">
        <f t="shared" si="8"/>
        <v>3</v>
      </c>
      <c r="I104" s="66"/>
      <c r="J104" s="60"/>
      <c r="K104" s="60"/>
      <c r="L104" s="60"/>
      <c r="M104" s="60"/>
      <c r="N104" s="60"/>
      <c r="O104" s="60"/>
      <c r="P104" s="60"/>
      <c r="Q104" s="60"/>
      <c r="R104" s="60"/>
      <c r="S104" s="60"/>
      <c r="T104" s="60"/>
      <c r="U104" s="60"/>
      <c r="V104" s="60"/>
      <c r="W104" s="60"/>
      <c r="X104" s="60"/>
      <c r="Y104" s="60"/>
      <c r="Z104" s="60"/>
      <c r="AA104" s="60"/>
      <c r="AB104" s="60"/>
      <c r="AC104" s="60"/>
      <c r="AD104" s="60"/>
      <c r="AE104" s="60"/>
      <c r="AF104" s="60"/>
      <c r="AG104" s="60"/>
      <c r="AH104" s="60"/>
      <c r="AI104" s="60"/>
      <c r="AJ104" s="60"/>
      <c r="AK104" s="60"/>
      <c r="AL104" s="60"/>
      <c r="AM104" s="60"/>
      <c r="AN104" s="60"/>
      <c r="AO104" s="60"/>
      <c r="AP104" s="60"/>
      <c r="AQ104" s="60"/>
      <c r="AR104" s="60"/>
      <c r="AS104" s="60"/>
      <c r="AT104" s="60"/>
      <c r="AU104" s="60"/>
      <c r="AV104" s="60"/>
      <c r="AW104" s="60"/>
      <c r="AX104" s="60"/>
      <c r="AY104" s="60"/>
      <c r="AZ104" s="60"/>
      <c r="BA104" s="60"/>
      <c r="BB104" s="60"/>
      <c r="BC104" s="60"/>
      <c r="BD104" s="60"/>
      <c r="BE104" s="60"/>
      <c r="BF104" s="60"/>
      <c r="BG104" s="60"/>
      <c r="BH104" s="60"/>
      <c r="BI104" s="60"/>
      <c r="BJ104" s="60"/>
      <c r="BK104" s="60"/>
      <c r="BL104" s="60"/>
      <c r="BM104" s="60"/>
    </row>
    <row r="105" spans="1:65" s="51" customFormat="1" ht="30" customHeight="1" thickBot="1" x14ac:dyDescent="0.35">
      <c r="A105" s="46"/>
      <c r="B105" s="80" t="s">
        <v>194</v>
      </c>
      <c r="C105" s="79" t="s">
        <v>119</v>
      </c>
      <c r="D105" s="78">
        <v>0.1</v>
      </c>
      <c r="E105" s="77">
        <v>43796</v>
      </c>
      <c r="F105" s="77">
        <f>E105+5</f>
        <v>43801</v>
      </c>
      <c r="G105" s="61"/>
      <c r="H105" s="61">
        <f t="shared" si="8"/>
        <v>6</v>
      </c>
      <c r="I105" s="66" t="s">
        <v>340</v>
      </c>
      <c r="J105" s="60"/>
      <c r="K105" s="60"/>
      <c r="L105" s="60"/>
      <c r="M105" s="60"/>
      <c r="N105" s="60"/>
      <c r="O105" s="60"/>
      <c r="P105" s="60"/>
      <c r="Q105" s="60"/>
      <c r="R105" s="60"/>
      <c r="S105" s="60"/>
      <c r="T105" s="60"/>
      <c r="U105" s="60"/>
      <c r="V105" s="60"/>
      <c r="W105" s="60"/>
      <c r="X105" s="60"/>
      <c r="Y105" s="60"/>
      <c r="Z105" s="60"/>
      <c r="AA105" s="60"/>
      <c r="AB105" s="60"/>
      <c r="AC105" s="60"/>
      <c r="AD105" s="60"/>
      <c r="AE105" s="60"/>
      <c r="AF105" s="60"/>
      <c r="AG105" s="60"/>
      <c r="AH105" s="60"/>
      <c r="AI105" s="60"/>
      <c r="AJ105" s="60"/>
      <c r="AK105" s="60"/>
      <c r="AL105" s="60"/>
      <c r="AM105" s="60"/>
      <c r="AN105" s="60"/>
      <c r="AO105" s="60"/>
      <c r="AP105" s="60"/>
      <c r="AQ105" s="60"/>
      <c r="AR105" s="60"/>
      <c r="AS105" s="60"/>
      <c r="AT105" s="60"/>
      <c r="AU105" s="60"/>
      <c r="AV105" s="60"/>
      <c r="AW105" s="60"/>
      <c r="AX105" s="60"/>
      <c r="AY105" s="60"/>
      <c r="AZ105" s="60"/>
      <c r="BA105" s="60"/>
      <c r="BB105" s="60"/>
      <c r="BC105" s="60"/>
      <c r="BD105" s="60"/>
      <c r="BE105" s="60"/>
      <c r="BF105" s="60"/>
      <c r="BG105" s="60"/>
      <c r="BH105" s="60"/>
      <c r="BI105" s="60"/>
      <c r="BJ105" s="60"/>
      <c r="BK105" s="60"/>
      <c r="BL105" s="60"/>
      <c r="BM105" s="60"/>
    </row>
    <row r="106" spans="1:65" s="51" customFormat="1" ht="30" customHeight="1" thickBot="1" x14ac:dyDescent="0.35">
      <c r="A106" s="46"/>
      <c r="B106" s="80" t="s">
        <v>193</v>
      </c>
      <c r="C106" s="79" t="s">
        <v>119</v>
      </c>
      <c r="D106" s="78">
        <v>0</v>
      </c>
      <c r="E106" s="77"/>
      <c r="F106" s="77">
        <f t="shared" ref="F106:F114" si="9">E106+7</f>
        <v>7</v>
      </c>
      <c r="G106" s="61"/>
      <c r="H106" s="61" t="str">
        <f t="shared" si="8"/>
        <v/>
      </c>
      <c r="I106" s="66"/>
      <c r="J106" s="60"/>
      <c r="K106" s="60"/>
      <c r="L106" s="60"/>
      <c r="M106" s="60"/>
      <c r="N106" s="60"/>
      <c r="O106" s="60"/>
      <c r="P106" s="60"/>
      <c r="Q106" s="60"/>
      <c r="R106" s="60"/>
      <c r="S106" s="60"/>
      <c r="T106" s="60"/>
      <c r="U106" s="60"/>
      <c r="V106" s="60"/>
      <c r="W106" s="60"/>
      <c r="X106" s="60"/>
      <c r="Y106" s="60"/>
      <c r="Z106" s="60"/>
      <c r="AA106" s="60"/>
      <c r="AB106" s="60"/>
      <c r="AC106" s="60"/>
      <c r="AD106" s="60"/>
      <c r="AE106" s="60"/>
      <c r="AF106" s="60"/>
      <c r="AG106" s="60"/>
      <c r="AH106" s="60"/>
      <c r="AI106" s="60"/>
      <c r="AJ106" s="60"/>
      <c r="AK106" s="60"/>
      <c r="AL106" s="60"/>
      <c r="AM106" s="60"/>
      <c r="AN106" s="60"/>
      <c r="AO106" s="60"/>
      <c r="AP106" s="60"/>
      <c r="AQ106" s="60"/>
      <c r="AR106" s="60"/>
      <c r="AS106" s="60"/>
      <c r="AT106" s="60"/>
      <c r="AU106" s="60"/>
      <c r="AV106" s="60"/>
      <c r="AW106" s="60"/>
      <c r="AX106" s="60"/>
      <c r="AY106" s="60"/>
      <c r="AZ106" s="60"/>
      <c r="BA106" s="60"/>
      <c r="BB106" s="60"/>
      <c r="BC106" s="60"/>
      <c r="BD106" s="60"/>
      <c r="BE106" s="60"/>
      <c r="BF106" s="60"/>
      <c r="BG106" s="60"/>
      <c r="BH106" s="60"/>
      <c r="BI106" s="60"/>
      <c r="BJ106" s="60"/>
      <c r="BK106" s="60"/>
      <c r="BL106" s="60"/>
      <c r="BM106" s="60"/>
    </row>
    <row r="107" spans="1:65" s="51" customFormat="1" ht="30" customHeight="1" thickBot="1" x14ac:dyDescent="0.35">
      <c r="A107" s="46"/>
      <c r="B107" s="80" t="s">
        <v>192</v>
      </c>
      <c r="C107" s="79" t="s">
        <v>119</v>
      </c>
      <c r="D107" s="78">
        <v>0.7</v>
      </c>
      <c r="E107" s="77">
        <v>43802</v>
      </c>
      <c r="F107" s="77">
        <f>E107+5</f>
        <v>43807</v>
      </c>
      <c r="G107" s="61"/>
      <c r="H107" s="61">
        <f t="shared" si="8"/>
        <v>6</v>
      </c>
      <c r="I107" s="66"/>
      <c r="J107" s="60"/>
      <c r="K107" s="60"/>
      <c r="L107" s="60"/>
      <c r="M107" s="60"/>
      <c r="N107" s="60"/>
      <c r="O107" s="60"/>
      <c r="P107" s="60"/>
      <c r="Q107" s="60"/>
      <c r="R107" s="60"/>
      <c r="S107" s="60"/>
      <c r="T107" s="60"/>
      <c r="U107" s="60"/>
      <c r="V107" s="60"/>
      <c r="W107" s="60"/>
      <c r="X107" s="60"/>
      <c r="Y107" s="60"/>
      <c r="Z107" s="60"/>
      <c r="AA107" s="60"/>
      <c r="AB107" s="60"/>
      <c r="AC107" s="60"/>
      <c r="AD107" s="60"/>
      <c r="AE107" s="60"/>
      <c r="AF107" s="60"/>
      <c r="AG107" s="60"/>
      <c r="AH107" s="60"/>
      <c r="AI107" s="60"/>
      <c r="AJ107" s="60"/>
      <c r="AK107" s="60"/>
      <c r="AL107" s="60"/>
      <c r="AM107" s="60"/>
      <c r="AN107" s="60"/>
      <c r="AO107" s="60"/>
      <c r="AP107" s="60"/>
      <c r="AQ107" s="60"/>
      <c r="AR107" s="60"/>
      <c r="AS107" s="60"/>
      <c r="AT107" s="60"/>
      <c r="AU107" s="60"/>
      <c r="AV107" s="60"/>
      <c r="AW107" s="60"/>
      <c r="AX107" s="60"/>
      <c r="AY107" s="60"/>
      <c r="AZ107" s="60"/>
      <c r="BA107" s="60"/>
      <c r="BB107" s="60"/>
      <c r="BC107" s="60"/>
      <c r="BD107" s="60"/>
      <c r="BE107" s="60"/>
      <c r="BF107" s="60"/>
      <c r="BG107" s="60"/>
      <c r="BH107" s="60"/>
      <c r="BI107" s="60"/>
      <c r="BJ107" s="60"/>
      <c r="BK107" s="60"/>
      <c r="BL107" s="60"/>
      <c r="BM107" s="60"/>
    </row>
    <row r="108" spans="1:65" s="51" customFormat="1" ht="30" customHeight="1" thickBot="1" x14ac:dyDescent="0.35">
      <c r="A108" s="46"/>
      <c r="B108" s="80" t="s">
        <v>191</v>
      </c>
      <c r="C108" s="79" t="s">
        <v>119</v>
      </c>
      <c r="D108" s="78">
        <v>0.3</v>
      </c>
      <c r="E108" s="77">
        <v>43807</v>
      </c>
      <c r="F108" s="77">
        <f>E108+3</f>
        <v>43810</v>
      </c>
      <c r="G108" s="61"/>
      <c r="H108" s="61">
        <f t="shared" si="8"/>
        <v>4</v>
      </c>
      <c r="I108" s="66" t="s">
        <v>343</v>
      </c>
      <c r="J108" s="60"/>
      <c r="K108" s="60"/>
      <c r="L108" s="60"/>
      <c r="M108" s="60"/>
      <c r="N108" s="60"/>
      <c r="O108" s="60"/>
      <c r="P108" s="60"/>
      <c r="Q108" s="60"/>
      <c r="R108" s="60"/>
      <c r="S108" s="60"/>
      <c r="T108" s="60"/>
      <c r="U108" s="60"/>
      <c r="V108" s="60"/>
      <c r="W108" s="60"/>
      <c r="X108" s="60"/>
      <c r="Y108" s="60"/>
      <c r="Z108" s="60"/>
      <c r="AA108" s="60"/>
      <c r="AB108" s="60"/>
      <c r="AC108" s="60"/>
      <c r="AD108" s="60"/>
      <c r="AE108" s="60"/>
      <c r="AF108" s="60"/>
      <c r="AG108" s="60"/>
      <c r="AH108" s="60"/>
      <c r="AI108" s="60"/>
      <c r="AJ108" s="60"/>
      <c r="AK108" s="60"/>
      <c r="AL108" s="60"/>
      <c r="AM108" s="60"/>
      <c r="AN108" s="60"/>
      <c r="AO108" s="60"/>
      <c r="AP108" s="60"/>
      <c r="AQ108" s="60"/>
      <c r="AR108" s="60"/>
      <c r="AS108" s="60"/>
      <c r="AT108" s="60"/>
      <c r="AU108" s="60"/>
      <c r="AV108" s="60"/>
      <c r="AW108" s="60"/>
      <c r="AX108" s="60"/>
      <c r="AY108" s="60"/>
      <c r="AZ108" s="60"/>
      <c r="BA108" s="60"/>
      <c r="BB108" s="60"/>
      <c r="BC108" s="60"/>
      <c r="BD108" s="60"/>
      <c r="BE108" s="60"/>
      <c r="BF108" s="60"/>
      <c r="BG108" s="60"/>
      <c r="BH108" s="60"/>
      <c r="BI108" s="60"/>
      <c r="BJ108" s="60"/>
      <c r="BK108" s="60"/>
      <c r="BL108" s="60"/>
      <c r="BM108" s="60"/>
    </row>
    <row r="109" spans="1:65" s="51" customFormat="1" ht="30" customHeight="1" thickBot="1" x14ac:dyDescent="0.35">
      <c r="A109" s="46"/>
      <c r="B109" s="80" t="s">
        <v>190</v>
      </c>
      <c r="C109" s="79" t="s">
        <v>119</v>
      </c>
      <c r="D109" s="78">
        <v>0</v>
      </c>
      <c r="E109" s="77"/>
      <c r="F109" s="77">
        <f t="shared" si="9"/>
        <v>7</v>
      </c>
      <c r="G109" s="61"/>
      <c r="H109" s="61" t="str">
        <f t="shared" si="8"/>
        <v/>
      </c>
      <c r="I109" s="66" t="s">
        <v>342</v>
      </c>
      <c r="J109" s="60"/>
      <c r="K109" s="60"/>
      <c r="L109" s="60"/>
      <c r="M109" s="60"/>
      <c r="N109" s="60"/>
      <c r="O109" s="60"/>
      <c r="P109" s="60"/>
      <c r="Q109" s="60"/>
      <c r="R109" s="60"/>
      <c r="S109" s="60"/>
      <c r="T109" s="60"/>
      <c r="U109" s="60"/>
      <c r="V109" s="60"/>
      <c r="W109" s="60"/>
      <c r="X109" s="60"/>
      <c r="Y109" s="60"/>
      <c r="Z109" s="60"/>
      <c r="AA109" s="60"/>
      <c r="AB109" s="60"/>
      <c r="AC109" s="60"/>
      <c r="AD109" s="60"/>
      <c r="AE109" s="60"/>
      <c r="AF109" s="60"/>
      <c r="AG109" s="60"/>
      <c r="AH109" s="60"/>
      <c r="AI109" s="60"/>
      <c r="AJ109" s="60"/>
      <c r="AK109" s="60"/>
      <c r="AL109" s="60"/>
      <c r="AM109" s="60"/>
      <c r="AN109" s="60"/>
      <c r="AO109" s="60"/>
      <c r="AP109" s="60"/>
      <c r="AQ109" s="60"/>
      <c r="AR109" s="60"/>
      <c r="AS109" s="60"/>
      <c r="AT109" s="60"/>
      <c r="AU109" s="60"/>
      <c r="AV109" s="60"/>
      <c r="AW109" s="60"/>
      <c r="AX109" s="60"/>
      <c r="AY109" s="60"/>
      <c r="AZ109" s="60"/>
      <c r="BA109" s="60"/>
      <c r="BB109" s="60"/>
      <c r="BC109" s="60"/>
      <c r="BD109" s="60"/>
      <c r="BE109" s="60"/>
      <c r="BF109" s="60"/>
      <c r="BG109" s="60"/>
      <c r="BH109" s="60"/>
      <c r="BI109" s="60"/>
      <c r="BJ109" s="60"/>
      <c r="BK109" s="60"/>
      <c r="BL109" s="60"/>
      <c r="BM109" s="60"/>
    </row>
    <row r="110" spans="1:65" s="51" customFormat="1" ht="30" customHeight="1" thickBot="1" x14ac:dyDescent="0.35">
      <c r="A110" s="46"/>
      <c r="B110" s="80" t="s">
        <v>189</v>
      </c>
      <c r="C110" s="79" t="s">
        <v>179</v>
      </c>
      <c r="D110" s="78">
        <v>0</v>
      </c>
      <c r="E110" s="77"/>
      <c r="F110" s="77">
        <f t="shared" si="9"/>
        <v>7</v>
      </c>
      <c r="G110" s="61"/>
      <c r="H110" s="61" t="str">
        <f t="shared" si="8"/>
        <v/>
      </c>
      <c r="I110" s="66" t="s">
        <v>342</v>
      </c>
      <c r="J110" s="60"/>
      <c r="K110" s="60"/>
      <c r="L110" s="60"/>
      <c r="M110" s="60"/>
      <c r="N110" s="60"/>
      <c r="O110" s="60"/>
      <c r="P110" s="60"/>
      <c r="Q110" s="60"/>
      <c r="R110" s="60"/>
      <c r="S110" s="60"/>
      <c r="T110" s="60"/>
      <c r="U110" s="60"/>
      <c r="V110" s="60"/>
      <c r="W110" s="60"/>
      <c r="X110" s="60"/>
      <c r="Y110" s="60"/>
      <c r="Z110" s="60"/>
      <c r="AA110" s="60"/>
      <c r="AB110" s="60"/>
      <c r="AC110" s="60"/>
      <c r="AD110" s="60"/>
      <c r="AE110" s="60"/>
      <c r="AF110" s="60"/>
      <c r="AG110" s="60"/>
      <c r="AH110" s="60"/>
      <c r="AI110" s="60"/>
      <c r="AJ110" s="60"/>
      <c r="AK110" s="60"/>
      <c r="AL110" s="60"/>
      <c r="AM110" s="60"/>
      <c r="AN110" s="60"/>
      <c r="AO110" s="60"/>
      <c r="AP110" s="60"/>
      <c r="AQ110" s="60"/>
      <c r="AR110" s="60"/>
      <c r="AS110" s="60"/>
      <c r="AT110" s="60"/>
      <c r="AU110" s="60"/>
      <c r="AV110" s="60"/>
      <c r="AW110" s="60"/>
      <c r="AX110" s="60"/>
      <c r="AY110" s="60"/>
      <c r="AZ110" s="60"/>
      <c r="BA110" s="60"/>
      <c r="BB110" s="60"/>
      <c r="BC110" s="60"/>
      <c r="BD110" s="60"/>
      <c r="BE110" s="60"/>
      <c r="BF110" s="60"/>
      <c r="BG110" s="60"/>
      <c r="BH110" s="60"/>
      <c r="BI110" s="60"/>
      <c r="BJ110" s="60"/>
      <c r="BK110" s="60"/>
      <c r="BL110" s="60"/>
      <c r="BM110" s="60"/>
    </row>
    <row r="111" spans="1:65" s="51" customFormat="1" ht="30" customHeight="1" thickBot="1" x14ac:dyDescent="0.35">
      <c r="A111" s="46"/>
      <c r="B111" s="80" t="s">
        <v>188</v>
      </c>
      <c r="C111" s="79" t="s">
        <v>119</v>
      </c>
      <c r="D111" s="78">
        <v>0.1</v>
      </c>
      <c r="E111" s="77"/>
      <c r="F111" s="77">
        <f t="shared" si="9"/>
        <v>7</v>
      </c>
      <c r="G111" s="61"/>
      <c r="H111" s="61" t="str">
        <f t="shared" si="8"/>
        <v/>
      </c>
      <c r="I111" s="66" t="s">
        <v>341</v>
      </c>
      <c r="J111" s="60"/>
      <c r="K111" s="60"/>
      <c r="L111" s="60"/>
      <c r="M111" s="60"/>
      <c r="N111" s="60"/>
      <c r="O111" s="60"/>
      <c r="P111" s="60"/>
      <c r="Q111" s="60"/>
      <c r="R111" s="60"/>
      <c r="S111" s="60"/>
      <c r="T111" s="60"/>
      <c r="U111" s="60"/>
      <c r="V111" s="60"/>
      <c r="W111" s="60"/>
      <c r="X111" s="60"/>
      <c r="Y111" s="60"/>
      <c r="Z111" s="60"/>
      <c r="AA111" s="60"/>
      <c r="AB111" s="60"/>
      <c r="AC111" s="60"/>
      <c r="AD111" s="60"/>
      <c r="AE111" s="60"/>
      <c r="AF111" s="60"/>
      <c r="AG111" s="60"/>
      <c r="AH111" s="60"/>
      <c r="AI111" s="60"/>
      <c r="AJ111" s="60"/>
      <c r="AK111" s="60"/>
      <c r="AL111" s="60"/>
      <c r="AM111" s="60"/>
      <c r="AN111" s="60"/>
      <c r="AO111" s="60"/>
      <c r="AP111" s="60"/>
      <c r="AQ111" s="60"/>
      <c r="AR111" s="60"/>
      <c r="AS111" s="60"/>
      <c r="AT111" s="60"/>
      <c r="AU111" s="60"/>
      <c r="AV111" s="60"/>
      <c r="AW111" s="60"/>
      <c r="AX111" s="60"/>
      <c r="AY111" s="60"/>
      <c r="AZ111" s="60"/>
      <c r="BA111" s="60"/>
      <c r="BB111" s="60"/>
      <c r="BC111" s="60"/>
      <c r="BD111" s="60"/>
      <c r="BE111" s="60"/>
      <c r="BF111" s="60"/>
      <c r="BG111" s="60"/>
      <c r="BH111" s="60"/>
      <c r="BI111" s="60"/>
      <c r="BJ111" s="60"/>
      <c r="BK111" s="60"/>
      <c r="BL111" s="60"/>
      <c r="BM111" s="60"/>
    </row>
    <row r="112" spans="1:65" s="51" customFormat="1" ht="30" customHeight="1" thickBot="1" x14ac:dyDescent="0.35">
      <c r="A112" s="46"/>
      <c r="B112" s="80" t="s">
        <v>187</v>
      </c>
      <c r="C112" s="79" t="s">
        <v>179</v>
      </c>
      <c r="D112" s="78">
        <v>0.1</v>
      </c>
      <c r="E112" s="77"/>
      <c r="F112" s="77">
        <f t="shared" si="9"/>
        <v>7</v>
      </c>
      <c r="G112" s="61"/>
      <c r="H112" s="61" t="str">
        <f t="shared" si="8"/>
        <v/>
      </c>
      <c r="I112" s="66" t="s">
        <v>341</v>
      </c>
      <c r="J112" s="60"/>
      <c r="K112" s="60"/>
      <c r="L112" s="60"/>
      <c r="M112" s="60"/>
      <c r="N112" s="60"/>
      <c r="O112" s="60"/>
      <c r="P112" s="60"/>
      <c r="Q112" s="60"/>
      <c r="R112" s="60"/>
      <c r="S112" s="60"/>
      <c r="T112" s="60"/>
      <c r="U112" s="60"/>
      <c r="V112" s="60"/>
      <c r="W112" s="60"/>
      <c r="X112" s="60"/>
      <c r="Y112" s="60"/>
      <c r="Z112" s="60"/>
      <c r="AA112" s="60"/>
      <c r="AB112" s="60"/>
      <c r="AC112" s="60"/>
      <c r="AD112" s="60"/>
      <c r="AE112" s="60"/>
      <c r="AF112" s="60"/>
      <c r="AG112" s="60"/>
      <c r="AH112" s="60"/>
      <c r="AI112" s="60"/>
      <c r="AJ112" s="60"/>
      <c r="AK112" s="60"/>
      <c r="AL112" s="60"/>
      <c r="AM112" s="60"/>
      <c r="AN112" s="60"/>
      <c r="AO112" s="60"/>
      <c r="AP112" s="60"/>
      <c r="AQ112" s="60"/>
      <c r="AR112" s="60"/>
      <c r="AS112" s="60"/>
      <c r="AT112" s="60"/>
      <c r="AU112" s="60"/>
      <c r="AV112" s="60"/>
      <c r="AW112" s="60"/>
      <c r="AX112" s="60"/>
      <c r="AY112" s="60"/>
      <c r="AZ112" s="60"/>
      <c r="BA112" s="60"/>
      <c r="BB112" s="60"/>
      <c r="BC112" s="60"/>
      <c r="BD112" s="60"/>
      <c r="BE112" s="60"/>
      <c r="BF112" s="60"/>
      <c r="BG112" s="60"/>
      <c r="BH112" s="60"/>
      <c r="BI112" s="60"/>
      <c r="BJ112" s="60"/>
      <c r="BK112" s="60"/>
      <c r="BL112" s="60"/>
      <c r="BM112" s="60"/>
    </row>
    <row r="113" spans="1:65" s="51" customFormat="1" ht="30" customHeight="1" thickBot="1" x14ac:dyDescent="0.35">
      <c r="A113" s="46"/>
      <c r="B113" s="80" t="s">
        <v>186</v>
      </c>
      <c r="C113" s="79" t="s">
        <v>179</v>
      </c>
      <c r="D113" s="78">
        <v>0.1</v>
      </c>
      <c r="E113" s="77"/>
      <c r="F113" s="77">
        <f t="shared" si="9"/>
        <v>7</v>
      </c>
      <c r="G113" s="61"/>
      <c r="H113" s="61" t="str">
        <f t="shared" si="8"/>
        <v/>
      </c>
      <c r="I113" s="66" t="s">
        <v>341</v>
      </c>
      <c r="J113" s="60"/>
      <c r="K113" s="60"/>
      <c r="L113" s="60"/>
      <c r="M113" s="60"/>
      <c r="N113" s="60"/>
      <c r="O113" s="60"/>
      <c r="P113" s="60"/>
      <c r="Q113" s="60"/>
      <c r="R113" s="60"/>
      <c r="S113" s="60"/>
      <c r="T113" s="60"/>
      <c r="U113" s="60"/>
      <c r="V113" s="60"/>
      <c r="W113" s="60"/>
      <c r="X113" s="60"/>
      <c r="Y113" s="60"/>
      <c r="Z113" s="60"/>
      <c r="AA113" s="60"/>
      <c r="AB113" s="60"/>
      <c r="AC113" s="60"/>
      <c r="AD113" s="60"/>
      <c r="AE113" s="60"/>
      <c r="AF113" s="60"/>
      <c r="AG113" s="60"/>
      <c r="AH113" s="60"/>
      <c r="AI113" s="60"/>
      <c r="AJ113" s="60"/>
      <c r="AK113" s="60"/>
      <c r="AL113" s="60"/>
      <c r="AM113" s="60"/>
      <c r="AN113" s="60"/>
      <c r="AO113" s="60"/>
      <c r="AP113" s="60"/>
      <c r="AQ113" s="60"/>
      <c r="AR113" s="60"/>
      <c r="AS113" s="60"/>
      <c r="AT113" s="60"/>
      <c r="AU113" s="60"/>
      <c r="AV113" s="60"/>
      <c r="AW113" s="60"/>
      <c r="AX113" s="60"/>
      <c r="AY113" s="60"/>
      <c r="AZ113" s="60"/>
      <c r="BA113" s="60"/>
      <c r="BB113" s="60"/>
      <c r="BC113" s="60"/>
      <c r="BD113" s="60"/>
      <c r="BE113" s="60"/>
      <c r="BF113" s="60"/>
      <c r="BG113" s="60"/>
      <c r="BH113" s="60"/>
      <c r="BI113" s="60"/>
      <c r="BJ113" s="60"/>
      <c r="BK113" s="60"/>
      <c r="BL113" s="60"/>
      <c r="BM113" s="60"/>
    </row>
    <row r="114" spans="1:65" s="51" customFormat="1" ht="30" customHeight="1" thickBot="1" x14ac:dyDescent="0.35">
      <c r="A114" s="46"/>
      <c r="B114" s="80" t="s">
        <v>185</v>
      </c>
      <c r="C114" s="79" t="s">
        <v>119</v>
      </c>
      <c r="D114" s="78">
        <v>0.1</v>
      </c>
      <c r="E114" s="77"/>
      <c r="F114" s="77">
        <f t="shared" si="9"/>
        <v>7</v>
      </c>
      <c r="G114" s="61"/>
      <c r="H114" s="61" t="str">
        <f t="shared" si="8"/>
        <v/>
      </c>
      <c r="I114" s="66" t="s">
        <v>341</v>
      </c>
      <c r="J114" s="60"/>
      <c r="K114" s="60"/>
      <c r="L114" s="60"/>
      <c r="M114" s="60"/>
      <c r="N114" s="60"/>
      <c r="O114" s="60"/>
      <c r="P114" s="60"/>
      <c r="Q114" s="60"/>
      <c r="R114" s="60"/>
      <c r="S114" s="60"/>
      <c r="T114" s="60"/>
      <c r="U114" s="60"/>
      <c r="V114" s="60"/>
      <c r="W114" s="60"/>
      <c r="X114" s="60"/>
      <c r="Y114" s="60"/>
      <c r="Z114" s="60"/>
      <c r="AA114" s="60"/>
      <c r="AB114" s="60"/>
      <c r="AC114" s="60"/>
      <c r="AD114" s="60"/>
      <c r="AE114" s="60"/>
      <c r="AF114" s="60"/>
      <c r="AG114" s="60"/>
      <c r="AH114" s="60"/>
      <c r="AI114" s="60"/>
      <c r="AJ114" s="60"/>
      <c r="AK114" s="60"/>
      <c r="AL114" s="60"/>
      <c r="AM114" s="60"/>
      <c r="AN114" s="60"/>
      <c r="AO114" s="60"/>
      <c r="AP114" s="60"/>
      <c r="AQ114" s="60"/>
      <c r="AR114" s="60"/>
      <c r="AS114" s="60"/>
      <c r="AT114" s="60"/>
      <c r="AU114" s="60"/>
      <c r="AV114" s="60"/>
      <c r="AW114" s="60"/>
      <c r="AX114" s="60"/>
      <c r="AY114" s="60"/>
      <c r="AZ114" s="60"/>
      <c r="BA114" s="60"/>
      <c r="BB114" s="60"/>
      <c r="BC114" s="60"/>
      <c r="BD114" s="60"/>
      <c r="BE114" s="60"/>
      <c r="BF114" s="60"/>
      <c r="BG114" s="60"/>
      <c r="BH114" s="60"/>
      <c r="BI114" s="60"/>
      <c r="BJ114" s="60"/>
      <c r="BK114" s="60"/>
      <c r="BL114" s="60"/>
      <c r="BM114" s="60"/>
    </row>
    <row r="115" spans="1:65" s="51" customFormat="1" ht="30" customHeight="1" thickBot="1" x14ac:dyDescent="0.35">
      <c r="A115" s="46"/>
      <c r="B115" s="80"/>
      <c r="C115" s="79"/>
      <c r="D115" s="78"/>
      <c r="E115" s="77"/>
      <c r="F115" s="77"/>
      <c r="G115" s="61"/>
      <c r="H115" s="61"/>
      <c r="I115" s="66"/>
      <c r="J115" s="60"/>
      <c r="K115" s="60"/>
      <c r="L115" s="60"/>
      <c r="M115" s="60"/>
      <c r="N115" s="60"/>
      <c r="O115" s="60"/>
      <c r="P115" s="60"/>
      <c r="Q115" s="60"/>
      <c r="R115" s="60"/>
      <c r="S115" s="60"/>
      <c r="T115" s="60"/>
      <c r="U115" s="60"/>
      <c r="V115" s="60"/>
      <c r="W115" s="60"/>
      <c r="X115" s="60"/>
      <c r="Y115" s="60"/>
      <c r="Z115" s="60"/>
      <c r="AA115" s="60"/>
      <c r="AB115" s="60"/>
      <c r="AC115" s="60"/>
      <c r="AD115" s="60"/>
      <c r="AE115" s="60"/>
      <c r="AF115" s="60"/>
      <c r="AG115" s="60"/>
      <c r="AH115" s="60"/>
      <c r="AI115" s="60"/>
      <c r="AJ115" s="60"/>
      <c r="AK115" s="60"/>
      <c r="AL115" s="60"/>
      <c r="AM115" s="60"/>
      <c r="AN115" s="60"/>
      <c r="AO115" s="60"/>
      <c r="AP115" s="60"/>
      <c r="AQ115" s="60"/>
      <c r="AR115" s="60"/>
      <c r="AS115" s="60"/>
      <c r="AT115" s="60"/>
      <c r="AU115" s="60"/>
      <c r="AV115" s="60"/>
      <c r="AW115" s="60"/>
      <c r="AX115" s="60"/>
      <c r="AY115" s="60"/>
      <c r="AZ115" s="60"/>
      <c r="BA115" s="60"/>
      <c r="BB115" s="60"/>
      <c r="BC115" s="60"/>
      <c r="BD115" s="60"/>
      <c r="BE115" s="60"/>
      <c r="BF115" s="60"/>
      <c r="BG115" s="60"/>
      <c r="BH115" s="60"/>
      <c r="BI115" s="60"/>
      <c r="BJ115" s="60"/>
      <c r="BK115" s="60"/>
      <c r="BL115" s="60"/>
      <c r="BM115" s="60"/>
    </row>
    <row r="116" spans="1:65" s="51" customFormat="1" ht="30" customHeight="1" thickBot="1" x14ac:dyDescent="0.35">
      <c r="A116" s="46" t="s">
        <v>184</v>
      </c>
      <c r="B116" s="76" t="s">
        <v>183</v>
      </c>
      <c r="C116" s="75"/>
      <c r="D116" s="74"/>
      <c r="E116" s="73"/>
      <c r="F116" s="72"/>
      <c r="G116" s="61"/>
      <c r="H116" s="61" t="str">
        <f t="shared" ref="H116:H147" si="10">IF(OR(ISBLANK(task_start),ISBLANK(task_end)),"",task_end-task_start+1)</f>
        <v/>
      </c>
      <c r="I116" s="66"/>
      <c r="J116" s="60"/>
      <c r="K116" s="60"/>
      <c r="L116" s="60"/>
      <c r="M116" s="60"/>
      <c r="N116" s="60"/>
      <c r="O116" s="60"/>
      <c r="P116" s="60"/>
      <c r="Q116" s="60"/>
      <c r="R116" s="60"/>
      <c r="S116" s="60"/>
      <c r="T116" s="60"/>
      <c r="U116" s="60"/>
      <c r="V116" s="60"/>
      <c r="W116" s="60"/>
      <c r="X116" s="60"/>
      <c r="Y116" s="60"/>
      <c r="Z116" s="60"/>
      <c r="AA116" s="60"/>
      <c r="AB116" s="60"/>
      <c r="AC116" s="60"/>
      <c r="AD116" s="60"/>
      <c r="AE116" s="60"/>
      <c r="AF116" s="60"/>
      <c r="AG116" s="60"/>
      <c r="AH116" s="60"/>
      <c r="AI116" s="60"/>
      <c r="AJ116" s="60"/>
      <c r="AK116" s="60"/>
      <c r="AL116" s="60"/>
      <c r="AM116" s="60"/>
      <c r="AN116" s="60"/>
      <c r="AO116" s="60"/>
      <c r="AP116" s="60"/>
      <c r="AQ116" s="60"/>
      <c r="AR116" s="60"/>
      <c r="AS116" s="60"/>
      <c r="AT116" s="60"/>
      <c r="AU116" s="60"/>
      <c r="AV116" s="60"/>
      <c r="AW116" s="60"/>
      <c r="AX116" s="60"/>
      <c r="AY116" s="60"/>
      <c r="AZ116" s="60"/>
      <c r="BA116" s="60"/>
      <c r="BB116" s="60"/>
      <c r="BC116" s="60"/>
      <c r="BD116" s="60"/>
      <c r="BE116" s="60"/>
      <c r="BF116" s="60"/>
      <c r="BG116" s="60"/>
      <c r="BH116" s="60"/>
      <c r="BI116" s="60"/>
      <c r="BJ116" s="60"/>
      <c r="BK116" s="60"/>
      <c r="BL116" s="60"/>
      <c r="BM116" s="60"/>
    </row>
    <row r="117" spans="1:65" s="51" customFormat="1" ht="30" customHeight="1" thickBot="1" x14ac:dyDescent="0.35">
      <c r="A117" s="46"/>
      <c r="B117" s="70" t="s">
        <v>182</v>
      </c>
      <c r="C117" s="69" t="s">
        <v>119</v>
      </c>
      <c r="D117" s="68">
        <v>0.7</v>
      </c>
      <c r="E117" s="71">
        <v>43811</v>
      </c>
      <c r="F117" s="122">
        <f>E117+5</f>
        <v>43816</v>
      </c>
      <c r="G117" s="61"/>
      <c r="H117" s="61">
        <f t="shared" si="10"/>
        <v>6</v>
      </c>
      <c r="I117" s="66" t="s">
        <v>344</v>
      </c>
      <c r="J117" s="60"/>
      <c r="K117" s="60"/>
      <c r="L117" s="60"/>
      <c r="M117" s="60"/>
      <c r="N117" s="60"/>
      <c r="O117" s="60"/>
      <c r="P117" s="60"/>
      <c r="Q117" s="60"/>
      <c r="R117" s="60"/>
      <c r="S117" s="60"/>
      <c r="T117" s="60"/>
      <c r="U117" s="60"/>
      <c r="V117" s="60"/>
      <c r="W117" s="60"/>
      <c r="X117" s="60"/>
      <c r="Y117" s="60"/>
      <c r="Z117" s="60"/>
      <c r="AA117" s="60"/>
      <c r="AB117" s="60"/>
      <c r="AC117" s="60"/>
      <c r="AD117" s="60"/>
      <c r="AE117" s="60"/>
      <c r="AF117" s="60"/>
      <c r="AG117" s="60"/>
      <c r="AH117" s="60"/>
      <c r="AI117" s="60"/>
      <c r="AJ117" s="60"/>
      <c r="AK117" s="60"/>
      <c r="AL117" s="60"/>
      <c r="AM117" s="60"/>
      <c r="AN117" s="60"/>
      <c r="AO117" s="60"/>
      <c r="AP117" s="60"/>
      <c r="AQ117" s="60"/>
      <c r="AR117" s="60"/>
      <c r="AS117" s="60"/>
      <c r="AT117" s="60"/>
      <c r="AU117" s="60"/>
      <c r="AV117" s="60"/>
      <c r="AW117" s="60"/>
      <c r="AX117" s="60"/>
      <c r="AY117" s="60"/>
      <c r="AZ117" s="60"/>
      <c r="BA117" s="60"/>
      <c r="BB117" s="60"/>
      <c r="BC117" s="60"/>
      <c r="BD117" s="60"/>
      <c r="BE117" s="60"/>
      <c r="BF117" s="60"/>
      <c r="BG117" s="60"/>
      <c r="BH117" s="60"/>
      <c r="BI117" s="60"/>
      <c r="BJ117" s="60"/>
      <c r="BK117" s="60"/>
      <c r="BL117" s="60"/>
      <c r="BM117" s="60"/>
    </row>
    <row r="118" spans="1:65" s="51" customFormat="1" ht="30" customHeight="1" thickBot="1" x14ac:dyDescent="0.35">
      <c r="A118" s="46"/>
      <c r="B118" s="70" t="s">
        <v>181</v>
      </c>
      <c r="C118" s="69" t="s">
        <v>119</v>
      </c>
      <c r="D118" s="68">
        <v>0.5</v>
      </c>
      <c r="E118" s="67">
        <v>43817</v>
      </c>
      <c r="F118" s="122">
        <f>E118+14</f>
        <v>43831</v>
      </c>
      <c r="G118" s="61"/>
      <c r="H118" s="61">
        <f t="shared" si="10"/>
        <v>15</v>
      </c>
      <c r="I118" s="66" t="s">
        <v>345</v>
      </c>
      <c r="J118" s="60"/>
      <c r="K118" s="60"/>
      <c r="L118" s="60"/>
      <c r="M118" s="60"/>
      <c r="N118" s="60"/>
      <c r="O118" s="60"/>
      <c r="P118" s="60"/>
      <c r="Q118" s="60"/>
      <c r="R118" s="60"/>
      <c r="S118" s="60"/>
      <c r="T118" s="60"/>
      <c r="U118" s="60"/>
      <c r="V118" s="60"/>
      <c r="W118" s="60"/>
      <c r="X118" s="60"/>
      <c r="Y118" s="60"/>
      <c r="Z118" s="60"/>
      <c r="AA118" s="60"/>
      <c r="AB118" s="60"/>
      <c r="AC118" s="60"/>
      <c r="AD118" s="60"/>
      <c r="AE118" s="60"/>
      <c r="AF118" s="60"/>
      <c r="AG118" s="60"/>
      <c r="AH118" s="60"/>
      <c r="AI118" s="60"/>
      <c r="AJ118" s="60"/>
      <c r="AK118" s="60"/>
      <c r="AL118" s="60"/>
      <c r="AM118" s="60"/>
      <c r="AN118" s="60"/>
      <c r="AO118" s="60"/>
      <c r="AP118" s="60"/>
      <c r="AQ118" s="60"/>
      <c r="AR118" s="60"/>
      <c r="AS118" s="60"/>
      <c r="AT118" s="60"/>
      <c r="AU118" s="60"/>
      <c r="AV118" s="60"/>
      <c r="AW118" s="60"/>
      <c r="AX118" s="60"/>
      <c r="AY118" s="60"/>
      <c r="AZ118" s="60"/>
      <c r="BA118" s="60"/>
      <c r="BB118" s="60"/>
      <c r="BC118" s="60"/>
      <c r="BD118" s="60"/>
      <c r="BE118" s="60"/>
      <c r="BF118" s="60"/>
      <c r="BG118" s="60"/>
      <c r="BH118" s="60"/>
      <c r="BI118" s="60"/>
      <c r="BJ118" s="60"/>
      <c r="BK118" s="60"/>
      <c r="BL118" s="60"/>
      <c r="BM118" s="60"/>
    </row>
    <row r="119" spans="1:65" s="51" customFormat="1" ht="30" customHeight="1" thickBot="1" x14ac:dyDescent="0.35">
      <c r="A119" s="46"/>
      <c r="B119" s="70" t="s">
        <v>180</v>
      </c>
      <c r="C119" s="69" t="s">
        <v>179</v>
      </c>
      <c r="D119" s="68">
        <v>0.5</v>
      </c>
      <c r="E119" s="67">
        <v>43833</v>
      </c>
      <c r="F119" s="122">
        <f>E119+14</f>
        <v>43847</v>
      </c>
      <c r="G119" s="61"/>
      <c r="H119" s="61">
        <f t="shared" si="10"/>
        <v>15</v>
      </c>
      <c r="I119" s="66" t="s">
        <v>346</v>
      </c>
      <c r="J119" s="60"/>
      <c r="K119" s="60"/>
      <c r="L119" s="60"/>
      <c r="M119" s="60"/>
      <c r="N119" s="60"/>
      <c r="O119" s="60"/>
      <c r="P119" s="60"/>
      <c r="Q119" s="60"/>
      <c r="R119" s="60"/>
      <c r="S119" s="60"/>
      <c r="T119" s="60"/>
      <c r="U119" s="60"/>
      <c r="V119" s="60"/>
      <c r="W119" s="60"/>
      <c r="X119" s="60"/>
      <c r="Y119" s="60"/>
      <c r="Z119" s="60"/>
      <c r="AA119" s="60"/>
      <c r="AB119" s="60"/>
      <c r="AC119" s="60"/>
      <c r="AD119" s="60"/>
      <c r="AE119" s="60"/>
      <c r="AF119" s="60"/>
      <c r="AG119" s="60"/>
      <c r="AH119" s="60"/>
      <c r="AI119" s="60"/>
      <c r="AJ119" s="60"/>
      <c r="AK119" s="60"/>
      <c r="AL119" s="60"/>
      <c r="AM119" s="60"/>
      <c r="AN119" s="60"/>
      <c r="AO119" s="60"/>
      <c r="AP119" s="60"/>
      <c r="AQ119" s="60"/>
      <c r="AR119" s="60"/>
      <c r="AS119" s="60"/>
      <c r="AT119" s="60"/>
      <c r="AU119" s="60"/>
      <c r="AV119" s="60"/>
      <c r="AW119" s="60"/>
      <c r="AX119" s="60"/>
      <c r="AY119" s="60"/>
      <c r="AZ119" s="60"/>
      <c r="BA119" s="60"/>
      <c r="BB119" s="60"/>
      <c r="BC119" s="60"/>
      <c r="BD119" s="60"/>
      <c r="BE119" s="60"/>
      <c r="BF119" s="60"/>
      <c r="BG119" s="60"/>
      <c r="BH119" s="60"/>
      <c r="BI119" s="60"/>
      <c r="BJ119" s="60"/>
      <c r="BK119" s="60"/>
      <c r="BL119" s="60"/>
      <c r="BM119" s="60"/>
    </row>
    <row r="120" spans="1:65" s="51" customFormat="1" ht="30" customHeight="1" thickBot="1" x14ac:dyDescent="0.35">
      <c r="A120" s="46"/>
      <c r="B120" s="70" t="s">
        <v>178</v>
      </c>
      <c r="C120" s="69" t="s">
        <v>119</v>
      </c>
      <c r="D120" s="68">
        <v>0.7</v>
      </c>
      <c r="E120" s="67">
        <v>43833</v>
      </c>
      <c r="F120" s="122">
        <f>E120+3</f>
        <v>43836</v>
      </c>
      <c r="G120" s="61"/>
      <c r="H120" s="61">
        <f t="shared" si="10"/>
        <v>4</v>
      </c>
      <c r="I120" s="66"/>
      <c r="J120" s="60"/>
      <c r="K120" s="60"/>
      <c r="L120" s="60"/>
      <c r="M120" s="60"/>
      <c r="N120" s="60"/>
      <c r="O120" s="60"/>
      <c r="P120" s="60"/>
      <c r="Q120" s="60"/>
      <c r="R120" s="60"/>
      <c r="S120" s="60"/>
      <c r="T120" s="60"/>
      <c r="U120" s="60"/>
      <c r="V120" s="60"/>
      <c r="W120" s="60"/>
      <c r="X120" s="60"/>
      <c r="Y120" s="60"/>
      <c r="Z120" s="60"/>
      <c r="AA120" s="60"/>
      <c r="AB120" s="60"/>
      <c r="AC120" s="60"/>
      <c r="AD120" s="60"/>
      <c r="AE120" s="60"/>
      <c r="AF120" s="60"/>
      <c r="AG120" s="60"/>
      <c r="AH120" s="60"/>
      <c r="AI120" s="60"/>
      <c r="AJ120" s="60"/>
      <c r="AK120" s="60"/>
      <c r="AL120" s="60"/>
      <c r="AM120" s="60"/>
      <c r="AN120" s="60"/>
      <c r="AO120" s="60"/>
      <c r="AP120" s="60"/>
      <c r="AQ120" s="60"/>
      <c r="AR120" s="60"/>
      <c r="AS120" s="60"/>
      <c r="AT120" s="60"/>
      <c r="AU120" s="60"/>
      <c r="AV120" s="60"/>
      <c r="AW120" s="60"/>
      <c r="AX120" s="60"/>
      <c r="AY120" s="60"/>
      <c r="AZ120" s="60"/>
      <c r="BA120" s="60"/>
      <c r="BB120" s="60"/>
      <c r="BC120" s="60"/>
      <c r="BD120" s="60"/>
      <c r="BE120" s="60"/>
      <c r="BF120" s="60"/>
      <c r="BG120" s="60"/>
      <c r="BH120" s="60"/>
      <c r="BI120" s="60"/>
      <c r="BJ120" s="60"/>
      <c r="BK120" s="60"/>
      <c r="BL120" s="60"/>
      <c r="BM120" s="60"/>
    </row>
    <row r="121" spans="1:65" s="51" customFormat="1" ht="30" customHeight="1" thickBot="1" x14ac:dyDescent="0.35">
      <c r="A121" s="46"/>
      <c r="B121" s="70" t="s">
        <v>177</v>
      </c>
      <c r="C121" s="69" t="s">
        <v>119</v>
      </c>
      <c r="D121" s="68">
        <v>0.7</v>
      </c>
      <c r="E121" s="67">
        <v>43837</v>
      </c>
      <c r="F121" s="122">
        <f t="shared" ref="F121:F128" si="11">E121+5</f>
        <v>43842</v>
      </c>
      <c r="G121" s="61"/>
      <c r="H121" s="61">
        <f t="shared" si="10"/>
        <v>6</v>
      </c>
      <c r="I121" s="66" t="s">
        <v>347</v>
      </c>
      <c r="J121" s="60"/>
      <c r="K121" s="60"/>
      <c r="L121" s="60"/>
      <c r="M121" s="60"/>
      <c r="N121" s="60"/>
      <c r="O121" s="60"/>
      <c r="P121" s="60"/>
      <c r="Q121" s="60"/>
      <c r="R121" s="60"/>
      <c r="S121" s="60"/>
      <c r="T121" s="60"/>
      <c r="U121" s="60"/>
      <c r="V121" s="60"/>
      <c r="W121" s="60"/>
      <c r="X121" s="60"/>
      <c r="Y121" s="60"/>
      <c r="Z121" s="60"/>
      <c r="AA121" s="60"/>
      <c r="AB121" s="60"/>
      <c r="AC121" s="60"/>
      <c r="AD121" s="60"/>
      <c r="AE121" s="60"/>
      <c r="AF121" s="60"/>
      <c r="AG121" s="60"/>
      <c r="AH121" s="60"/>
      <c r="AI121" s="60"/>
      <c r="AJ121" s="60"/>
      <c r="AK121" s="60"/>
      <c r="AL121" s="60"/>
      <c r="AM121" s="60"/>
      <c r="AN121" s="60"/>
      <c r="AO121" s="60"/>
      <c r="AP121" s="60"/>
      <c r="AQ121" s="60"/>
      <c r="AR121" s="60"/>
      <c r="AS121" s="60"/>
      <c r="AT121" s="60"/>
      <c r="AU121" s="60"/>
      <c r="AV121" s="60"/>
      <c r="AW121" s="60"/>
      <c r="AX121" s="60"/>
      <c r="AY121" s="60"/>
      <c r="AZ121" s="60"/>
      <c r="BA121" s="60"/>
      <c r="BB121" s="60"/>
      <c r="BC121" s="60"/>
      <c r="BD121" s="60"/>
      <c r="BE121" s="60"/>
      <c r="BF121" s="60"/>
      <c r="BG121" s="60"/>
      <c r="BH121" s="60"/>
      <c r="BI121" s="60"/>
      <c r="BJ121" s="60"/>
      <c r="BK121" s="60"/>
      <c r="BL121" s="60"/>
      <c r="BM121" s="60"/>
    </row>
    <row r="122" spans="1:65" s="51" customFormat="1" ht="30" customHeight="1" thickBot="1" x14ac:dyDescent="0.35">
      <c r="A122" s="46"/>
      <c r="B122" s="70" t="s">
        <v>176</v>
      </c>
      <c r="C122" s="69" t="s">
        <v>119</v>
      </c>
      <c r="D122" s="68">
        <v>0.8</v>
      </c>
      <c r="E122" s="67">
        <v>43844</v>
      </c>
      <c r="F122" s="122">
        <f t="shared" si="11"/>
        <v>43849</v>
      </c>
      <c r="G122" s="61"/>
      <c r="H122" s="61">
        <f t="shared" si="10"/>
        <v>6</v>
      </c>
      <c r="I122" s="66"/>
      <c r="J122" s="60"/>
      <c r="K122" s="60"/>
      <c r="L122" s="60"/>
      <c r="M122" s="60"/>
      <c r="N122" s="60"/>
      <c r="O122" s="60"/>
      <c r="P122" s="60"/>
      <c r="Q122" s="60"/>
      <c r="R122" s="60"/>
      <c r="S122" s="60"/>
      <c r="T122" s="60"/>
      <c r="U122" s="60"/>
      <c r="V122" s="60"/>
      <c r="W122" s="60"/>
      <c r="X122" s="60"/>
      <c r="Y122" s="60"/>
      <c r="Z122" s="60"/>
      <c r="AA122" s="60"/>
      <c r="AB122" s="60"/>
      <c r="AC122" s="60"/>
      <c r="AD122" s="60"/>
      <c r="AE122" s="60"/>
      <c r="AF122" s="60"/>
      <c r="AG122" s="60"/>
      <c r="AH122" s="60"/>
      <c r="AI122" s="60"/>
      <c r="AJ122" s="60"/>
      <c r="AK122" s="60"/>
      <c r="AL122" s="60"/>
      <c r="AM122" s="60"/>
      <c r="AN122" s="60"/>
      <c r="AO122" s="60"/>
      <c r="AP122" s="60"/>
      <c r="AQ122" s="60"/>
      <c r="AR122" s="60"/>
      <c r="AS122" s="60"/>
      <c r="AT122" s="60"/>
      <c r="AU122" s="60"/>
      <c r="AV122" s="60"/>
      <c r="AW122" s="60"/>
      <c r="AX122" s="60"/>
      <c r="AY122" s="60"/>
      <c r="AZ122" s="60"/>
      <c r="BA122" s="60"/>
      <c r="BB122" s="60"/>
      <c r="BC122" s="60"/>
      <c r="BD122" s="60"/>
      <c r="BE122" s="60"/>
      <c r="BF122" s="60"/>
      <c r="BG122" s="60"/>
      <c r="BH122" s="60"/>
      <c r="BI122" s="60"/>
      <c r="BJ122" s="60"/>
      <c r="BK122" s="60"/>
      <c r="BL122" s="60"/>
      <c r="BM122" s="60"/>
    </row>
    <row r="123" spans="1:65" s="51" customFormat="1" ht="30" customHeight="1" thickBot="1" x14ac:dyDescent="0.35">
      <c r="A123" s="46"/>
      <c r="B123" s="70" t="s">
        <v>175</v>
      </c>
      <c r="C123" s="69" t="s">
        <v>119</v>
      </c>
      <c r="D123" s="68">
        <v>0.7</v>
      </c>
      <c r="E123" s="67">
        <v>43845</v>
      </c>
      <c r="F123" s="122">
        <f t="shared" si="11"/>
        <v>43850</v>
      </c>
      <c r="G123" s="61"/>
      <c r="H123" s="61">
        <f t="shared" si="10"/>
        <v>6</v>
      </c>
      <c r="I123" s="66"/>
      <c r="J123" s="60"/>
      <c r="K123" s="60"/>
      <c r="L123" s="60"/>
      <c r="M123" s="60"/>
      <c r="N123" s="60"/>
      <c r="O123" s="60"/>
      <c r="P123" s="60"/>
      <c r="Q123" s="60"/>
      <c r="R123" s="60"/>
      <c r="S123" s="60"/>
      <c r="T123" s="60"/>
      <c r="U123" s="60"/>
      <c r="V123" s="60"/>
      <c r="W123" s="60"/>
      <c r="X123" s="60"/>
      <c r="Y123" s="60"/>
      <c r="Z123" s="60"/>
      <c r="AA123" s="60"/>
      <c r="AB123" s="60"/>
      <c r="AC123" s="60"/>
      <c r="AD123" s="60"/>
      <c r="AE123" s="60"/>
      <c r="AF123" s="60"/>
      <c r="AG123" s="60"/>
      <c r="AH123" s="60"/>
      <c r="AI123" s="60"/>
      <c r="AJ123" s="60"/>
      <c r="AK123" s="60"/>
      <c r="AL123" s="60"/>
      <c r="AM123" s="60"/>
      <c r="AN123" s="60"/>
      <c r="AO123" s="60"/>
      <c r="AP123" s="60"/>
      <c r="AQ123" s="60"/>
      <c r="AR123" s="60"/>
      <c r="AS123" s="60"/>
      <c r="AT123" s="60"/>
      <c r="AU123" s="60"/>
      <c r="AV123" s="60"/>
      <c r="AW123" s="60"/>
      <c r="AX123" s="60"/>
      <c r="AY123" s="60"/>
      <c r="AZ123" s="60"/>
      <c r="BA123" s="60"/>
      <c r="BB123" s="60"/>
      <c r="BC123" s="60"/>
      <c r="BD123" s="60"/>
      <c r="BE123" s="60"/>
      <c r="BF123" s="60"/>
      <c r="BG123" s="60"/>
      <c r="BH123" s="60"/>
      <c r="BI123" s="60"/>
      <c r="BJ123" s="60"/>
      <c r="BK123" s="60"/>
      <c r="BL123" s="60"/>
      <c r="BM123" s="60"/>
    </row>
    <row r="124" spans="1:65" s="51" customFormat="1" ht="30" customHeight="1" thickBot="1" x14ac:dyDescent="0.35">
      <c r="A124" s="46"/>
      <c r="B124" s="70" t="s">
        <v>174</v>
      </c>
      <c r="C124" s="69" t="s">
        <v>119</v>
      </c>
      <c r="D124" s="68">
        <v>0.8</v>
      </c>
      <c r="E124" s="67">
        <v>43850</v>
      </c>
      <c r="F124" s="122">
        <f>E124+3</f>
        <v>43853</v>
      </c>
      <c r="G124" s="61"/>
      <c r="H124" s="61">
        <f t="shared" si="10"/>
        <v>4</v>
      </c>
      <c r="I124" s="66"/>
      <c r="J124" s="60"/>
      <c r="K124" s="60"/>
      <c r="L124" s="60"/>
      <c r="M124" s="60"/>
      <c r="N124" s="60"/>
      <c r="O124" s="60"/>
      <c r="P124" s="60"/>
      <c r="Q124" s="60"/>
      <c r="R124" s="60"/>
      <c r="S124" s="60"/>
      <c r="T124" s="60"/>
      <c r="U124" s="60"/>
      <c r="V124" s="60"/>
      <c r="W124" s="60"/>
      <c r="X124" s="60"/>
      <c r="Y124" s="60"/>
      <c r="Z124" s="60"/>
      <c r="AA124" s="60"/>
      <c r="AB124" s="60"/>
      <c r="AC124" s="60"/>
      <c r="AD124" s="60"/>
      <c r="AE124" s="60"/>
      <c r="AF124" s="60"/>
      <c r="AG124" s="60"/>
      <c r="AH124" s="60"/>
      <c r="AI124" s="60"/>
      <c r="AJ124" s="60"/>
      <c r="AK124" s="60"/>
      <c r="AL124" s="60"/>
      <c r="AM124" s="60"/>
      <c r="AN124" s="60"/>
      <c r="AO124" s="60"/>
      <c r="AP124" s="60"/>
      <c r="AQ124" s="60"/>
      <c r="AR124" s="60"/>
      <c r="AS124" s="60"/>
      <c r="AT124" s="60"/>
      <c r="AU124" s="60"/>
      <c r="AV124" s="60"/>
      <c r="AW124" s="60"/>
      <c r="AX124" s="60"/>
      <c r="AY124" s="60"/>
      <c r="AZ124" s="60"/>
      <c r="BA124" s="60"/>
      <c r="BB124" s="60"/>
      <c r="BC124" s="60"/>
      <c r="BD124" s="60"/>
      <c r="BE124" s="60"/>
      <c r="BF124" s="60"/>
      <c r="BG124" s="60"/>
      <c r="BH124" s="60"/>
      <c r="BI124" s="60"/>
      <c r="BJ124" s="60"/>
      <c r="BK124" s="60"/>
      <c r="BL124" s="60"/>
      <c r="BM124" s="60"/>
    </row>
    <row r="125" spans="1:65" s="51" customFormat="1" ht="30" customHeight="1" thickBot="1" x14ac:dyDescent="0.35">
      <c r="A125" s="46"/>
      <c r="B125" s="70" t="s">
        <v>173</v>
      </c>
      <c r="C125" s="69" t="s">
        <v>119</v>
      </c>
      <c r="D125" s="68">
        <v>0.7</v>
      </c>
      <c r="E125" s="67">
        <v>43854</v>
      </c>
      <c r="F125" s="122">
        <f>E125+5</f>
        <v>43859</v>
      </c>
      <c r="G125" s="61"/>
      <c r="H125" s="61">
        <f t="shared" si="10"/>
        <v>6</v>
      </c>
      <c r="I125" s="66" t="s">
        <v>348</v>
      </c>
      <c r="J125" s="60"/>
      <c r="K125" s="60"/>
      <c r="L125" s="60"/>
      <c r="M125" s="60"/>
      <c r="N125" s="60"/>
      <c r="O125" s="60"/>
      <c r="P125" s="60"/>
      <c r="Q125" s="60"/>
      <c r="R125" s="60"/>
      <c r="S125" s="60"/>
      <c r="T125" s="60"/>
      <c r="U125" s="60"/>
      <c r="V125" s="60"/>
      <c r="W125" s="60"/>
      <c r="X125" s="60"/>
      <c r="Y125" s="60"/>
      <c r="Z125" s="60"/>
      <c r="AA125" s="60"/>
      <c r="AB125" s="60"/>
      <c r="AC125" s="60"/>
      <c r="AD125" s="60"/>
      <c r="AE125" s="60"/>
      <c r="AF125" s="60"/>
      <c r="AG125" s="60"/>
      <c r="AH125" s="60"/>
      <c r="AI125" s="60"/>
      <c r="AJ125" s="60"/>
      <c r="AK125" s="60"/>
      <c r="AL125" s="60"/>
      <c r="AM125" s="60"/>
      <c r="AN125" s="60"/>
      <c r="AO125" s="60"/>
      <c r="AP125" s="60"/>
      <c r="AQ125" s="60"/>
      <c r="AR125" s="60"/>
      <c r="AS125" s="60"/>
      <c r="AT125" s="60"/>
      <c r="AU125" s="60"/>
      <c r="AV125" s="60"/>
      <c r="AW125" s="60"/>
      <c r="AX125" s="60"/>
      <c r="AY125" s="60"/>
      <c r="AZ125" s="60"/>
      <c r="BA125" s="60"/>
      <c r="BB125" s="60"/>
      <c r="BC125" s="60"/>
      <c r="BD125" s="60"/>
      <c r="BE125" s="60"/>
      <c r="BF125" s="60"/>
      <c r="BG125" s="60"/>
      <c r="BH125" s="60"/>
      <c r="BI125" s="60"/>
      <c r="BJ125" s="60"/>
      <c r="BK125" s="60"/>
      <c r="BL125" s="60"/>
      <c r="BM125" s="60"/>
    </row>
    <row r="126" spans="1:65" s="51" customFormat="1" ht="30" customHeight="1" thickBot="1" x14ac:dyDescent="0.35">
      <c r="A126" s="46"/>
      <c r="B126" s="70" t="s">
        <v>172</v>
      </c>
      <c r="C126" s="69" t="s">
        <v>119</v>
      </c>
      <c r="D126" s="68">
        <v>0.9</v>
      </c>
      <c r="E126" s="67">
        <v>43860</v>
      </c>
      <c r="F126" s="122">
        <f>E126+3</f>
        <v>43863</v>
      </c>
      <c r="G126" s="61"/>
      <c r="H126" s="61">
        <f t="shared" si="10"/>
        <v>4</v>
      </c>
      <c r="I126" s="66"/>
      <c r="J126" s="60"/>
      <c r="K126" s="60"/>
      <c r="L126" s="60"/>
      <c r="M126" s="60"/>
      <c r="N126" s="60"/>
      <c r="O126" s="60"/>
      <c r="P126" s="60"/>
      <c r="Q126" s="60"/>
      <c r="R126" s="60"/>
      <c r="S126" s="60"/>
      <c r="T126" s="60"/>
      <c r="U126" s="60"/>
      <c r="V126" s="60"/>
      <c r="W126" s="60"/>
      <c r="X126" s="60"/>
      <c r="Y126" s="60"/>
      <c r="Z126" s="60"/>
      <c r="AA126" s="60"/>
      <c r="AB126" s="60"/>
      <c r="AC126" s="60"/>
      <c r="AD126" s="60"/>
      <c r="AE126" s="60"/>
      <c r="AF126" s="60"/>
      <c r="AG126" s="60"/>
      <c r="AH126" s="60"/>
      <c r="AI126" s="60"/>
      <c r="AJ126" s="60"/>
      <c r="AK126" s="60"/>
      <c r="AL126" s="60"/>
      <c r="AM126" s="60"/>
      <c r="AN126" s="60"/>
      <c r="AO126" s="60"/>
      <c r="AP126" s="60"/>
      <c r="AQ126" s="60"/>
      <c r="AR126" s="60"/>
      <c r="AS126" s="60"/>
      <c r="AT126" s="60"/>
      <c r="AU126" s="60"/>
      <c r="AV126" s="60"/>
      <c r="AW126" s="60"/>
      <c r="AX126" s="60"/>
      <c r="AY126" s="60"/>
      <c r="AZ126" s="60"/>
      <c r="BA126" s="60"/>
      <c r="BB126" s="60"/>
      <c r="BC126" s="60"/>
      <c r="BD126" s="60"/>
      <c r="BE126" s="60"/>
      <c r="BF126" s="60"/>
      <c r="BG126" s="60"/>
      <c r="BH126" s="60"/>
      <c r="BI126" s="60"/>
      <c r="BJ126" s="60"/>
      <c r="BK126" s="60"/>
      <c r="BL126" s="60"/>
      <c r="BM126" s="60"/>
    </row>
    <row r="127" spans="1:65" s="51" customFormat="1" ht="30" customHeight="1" thickBot="1" x14ac:dyDescent="0.35">
      <c r="A127" s="46"/>
      <c r="B127" s="70" t="s">
        <v>171</v>
      </c>
      <c r="C127" s="69" t="s">
        <v>119</v>
      </c>
      <c r="D127" s="68">
        <v>0.5</v>
      </c>
      <c r="E127" s="67">
        <v>43862</v>
      </c>
      <c r="F127" s="122">
        <f>E127+2</f>
        <v>43864</v>
      </c>
      <c r="G127" s="61"/>
      <c r="H127" s="61">
        <f t="shared" si="10"/>
        <v>3</v>
      </c>
      <c r="I127" s="66" t="s">
        <v>349</v>
      </c>
      <c r="J127" s="60"/>
      <c r="K127" s="60"/>
      <c r="L127" s="60"/>
      <c r="M127" s="60"/>
      <c r="N127" s="60"/>
      <c r="O127" s="60"/>
      <c r="P127" s="60"/>
      <c r="Q127" s="60"/>
      <c r="R127" s="60"/>
      <c r="S127" s="60"/>
      <c r="T127" s="60"/>
      <c r="U127" s="60"/>
      <c r="V127" s="60"/>
      <c r="W127" s="60"/>
      <c r="X127" s="60"/>
      <c r="Y127" s="60"/>
      <c r="Z127" s="60"/>
      <c r="AA127" s="60"/>
      <c r="AB127" s="60"/>
      <c r="AC127" s="60"/>
      <c r="AD127" s="60"/>
      <c r="AE127" s="60"/>
      <c r="AF127" s="60"/>
      <c r="AG127" s="60"/>
      <c r="AH127" s="60"/>
      <c r="AI127" s="60"/>
      <c r="AJ127" s="60"/>
      <c r="AK127" s="60"/>
      <c r="AL127" s="60"/>
      <c r="AM127" s="60"/>
      <c r="AN127" s="60"/>
      <c r="AO127" s="60"/>
      <c r="AP127" s="60"/>
      <c r="AQ127" s="60"/>
      <c r="AR127" s="60"/>
      <c r="AS127" s="60"/>
      <c r="AT127" s="60"/>
      <c r="AU127" s="60"/>
      <c r="AV127" s="60"/>
      <c r="AW127" s="60"/>
      <c r="AX127" s="60"/>
      <c r="AY127" s="60"/>
      <c r="AZ127" s="60"/>
      <c r="BA127" s="60"/>
      <c r="BB127" s="60"/>
      <c r="BC127" s="60"/>
      <c r="BD127" s="60"/>
      <c r="BE127" s="60"/>
      <c r="BF127" s="60"/>
      <c r="BG127" s="60"/>
      <c r="BH127" s="60"/>
      <c r="BI127" s="60"/>
      <c r="BJ127" s="60"/>
      <c r="BK127" s="60"/>
      <c r="BL127" s="60"/>
      <c r="BM127" s="60"/>
    </row>
    <row r="128" spans="1:65" s="51" customFormat="1" ht="30" customHeight="1" thickBot="1" x14ac:dyDescent="0.35">
      <c r="A128" s="46"/>
      <c r="B128" s="70" t="s">
        <v>170</v>
      </c>
      <c r="C128" s="69" t="s">
        <v>119</v>
      </c>
      <c r="D128" s="68">
        <v>0.5</v>
      </c>
      <c r="E128" s="67">
        <v>43864</v>
      </c>
      <c r="F128" s="122">
        <f t="shared" si="11"/>
        <v>43869</v>
      </c>
      <c r="G128" s="61"/>
      <c r="H128" s="61">
        <f t="shared" si="10"/>
        <v>6</v>
      </c>
      <c r="I128" s="66"/>
      <c r="J128" s="60"/>
      <c r="K128" s="60"/>
      <c r="L128" s="60"/>
      <c r="M128" s="60"/>
      <c r="N128" s="60"/>
      <c r="O128" s="60"/>
      <c r="P128" s="60"/>
      <c r="Q128" s="60"/>
      <c r="R128" s="60"/>
      <c r="S128" s="60"/>
      <c r="T128" s="60"/>
      <c r="U128" s="60"/>
      <c r="V128" s="60"/>
      <c r="W128" s="60"/>
      <c r="X128" s="60"/>
      <c r="Y128" s="60"/>
      <c r="Z128" s="60"/>
      <c r="AA128" s="60"/>
      <c r="AB128" s="60"/>
      <c r="AC128" s="60"/>
      <c r="AD128" s="60"/>
      <c r="AE128" s="60"/>
      <c r="AF128" s="60"/>
      <c r="AG128" s="60"/>
      <c r="AH128" s="60"/>
      <c r="AI128" s="60"/>
      <c r="AJ128" s="60"/>
      <c r="AK128" s="60"/>
      <c r="AL128" s="60"/>
      <c r="AM128" s="60"/>
      <c r="AN128" s="60"/>
      <c r="AO128" s="60"/>
      <c r="AP128" s="60"/>
      <c r="AQ128" s="60"/>
      <c r="AR128" s="60"/>
      <c r="AS128" s="60"/>
      <c r="AT128" s="60"/>
      <c r="AU128" s="60"/>
      <c r="AV128" s="60"/>
      <c r="AW128" s="60"/>
      <c r="AX128" s="60"/>
      <c r="AY128" s="60"/>
      <c r="AZ128" s="60"/>
      <c r="BA128" s="60"/>
      <c r="BB128" s="60"/>
      <c r="BC128" s="60"/>
      <c r="BD128" s="60"/>
      <c r="BE128" s="60"/>
      <c r="BF128" s="60"/>
      <c r="BG128" s="60"/>
      <c r="BH128" s="60"/>
      <c r="BI128" s="60"/>
      <c r="BJ128" s="60"/>
      <c r="BK128" s="60"/>
      <c r="BL128" s="60"/>
      <c r="BM128" s="60"/>
    </row>
    <row r="129" spans="1:65" s="51" customFormat="1" ht="30" customHeight="1" thickBot="1" x14ac:dyDescent="0.35">
      <c r="A129" s="46"/>
      <c r="B129" s="70" t="s">
        <v>169</v>
      </c>
      <c r="C129" s="69" t="s">
        <v>119</v>
      </c>
      <c r="D129" s="68">
        <v>0</v>
      </c>
      <c r="E129" s="67"/>
      <c r="F129" s="122"/>
      <c r="G129" s="61"/>
      <c r="H129" s="61" t="str">
        <f t="shared" si="10"/>
        <v/>
      </c>
      <c r="I129" s="66"/>
      <c r="J129" s="60"/>
      <c r="K129" s="60"/>
      <c r="L129" s="60"/>
      <c r="M129" s="60"/>
      <c r="N129" s="60"/>
      <c r="O129" s="60"/>
      <c r="P129" s="60"/>
      <c r="Q129" s="60"/>
      <c r="R129" s="60"/>
      <c r="S129" s="60"/>
      <c r="T129" s="60"/>
      <c r="U129" s="60"/>
      <c r="V129" s="60"/>
      <c r="W129" s="60"/>
      <c r="X129" s="60"/>
      <c r="Y129" s="60"/>
      <c r="Z129" s="60"/>
      <c r="AA129" s="60"/>
      <c r="AB129" s="60"/>
      <c r="AC129" s="60"/>
      <c r="AD129" s="60"/>
      <c r="AE129" s="60"/>
      <c r="AF129" s="60"/>
      <c r="AG129" s="60"/>
      <c r="AH129" s="60"/>
      <c r="AI129" s="60"/>
      <c r="AJ129" s="60"/>
      <c r="AK129" s="60"/>
      <c r="AL129" s="60"/>
      <c r="AM129" s="60"/>
      <c r="AN129" s="60"/>
      <c r="AO129" s="60"/>
      <c r="AP129" s="60"/>
      <c r="AQ129" s="60"/>
      <c r="AR129" s="60"/>
      <c r="AS129" s="60"/>
      <c r="AT129" s="60"/>
      <c r="AU129" s="60"/>
      <c r="AV129" s="60"/>
      <c r="AW129" s="60"/>
      <c r="AX129" s="60"/>
      <c r="AY129" s="60"/>
      <c r="AZ129" s="60"/>
      <c r="BA129" s="60"/>
      <c r="BB129" s="60"/>
      <c r="BC129" s="60"/>
      <c r="BD129" s="60"/>
      <c r="BE129" s="60"/>
      <c r="BF129" s="60"/>
      <c r="BG129" s="60"/>
      <c r="BH129" s="60"/>
      <c r="BI129" s="60"/>
      <c r="BJ129" s="60"/>
      <c r="BK129" s="60"/>
      <c r="BL129" s="60"/>
      <c r="BM129" s="60"/>
    </row>
    <row r="130" spans="1:65" s="51" customFormat="1" ht="30" customHeight="1" thickBot="1" x14ac:dyDescent="0.35">
      <c r="A130" s="46"/>
      <c r="B130" s="70" t="s">
        <v>168</v>
      </c>
      <c r="C130" s="69" t="s">
        <v>119</v>
      </c>
      <c r="D130" s="68">
        <v>0</v>
      </c>
      <c r="E130" s="67"/>
      <c r="F130" s="122"/>
      <c r="G130" s="61"/>
      <c r="H130" s="61" t="str">
        <f t="shared" si="10"/>
        <v/>
      </c>
      <c r="I130" s="66"/>
      <c r="J130" s="60"/>
      <c r="K130" s="60"/>
      <c r="L130" s="60"/>
      <c r="M130" s="60"/>
      <c r="N130" s="60"/>
      <c r="O130" s="60"/>
      <c r="P130" s="60"/>
      <c r="Q130" s="60"/>
      <c r="R130" s="60"/>
      <c r="S130" s="60"/>
      <c r="T130" s="60"/>
      <c r="U130" s="60"/>
      <c r="V130" s="60"/>
      <c r="W130" s="60"/>
      <c r="X130" s="60"/>
      <c r="Y130" s="60"/>
      <c r="Z130" s="60"/>
      <c r="AA130" s="60"/>
      <c r="AB130" s="60"/>
      <c r="AC130" s="60"/>
      <c r="AD130" s="60"/>
      <c r="AE130" s="60"/>
      <c r="AF130" s="60"/>
      <c r="AG130" s="60"/>
      <c r="AH130" s="60"/>
      <c r="AI130" s="60"/>
      <c r="AJ130" s="60"/>
      <c r="AK130" s="60"/>
      <c r="AL130" s="60"/>
      <c r="AM130" s="60"/>
      <c r="AN130" s="60"/>
      <c r="AO130" s="60"/>
      <c r="AP130" s="60"/>
      <c r="AQ130" s="60"/>
      <c r="AR130" s="60"/>
      <c r="AS130" s="60"/>
      <c r="AT130" s="60"/>
      <c r="AU130" s="60"/>
      <c r="AV130" s="60"/>
      <c r="AW130" s="60"/>
      <c r="AX130" s="60"/>
      <c r="AY130" s="60"/>
      <c r="AZ130" s="60"/>
      <c r="BA130" s="60"/>
      <c r="BB130" s="60"/>
      <c r="BC130" s="60"/>
      <c r="BD130" s="60"/>
      <c r="BE130" s="60"/>
      <c r="BF130" s="60"/>
      <c r="BG130" s="60"/>
      <c r="BH130" s="60"/>
      <c r="BI130" s="60"/>
      <c r="BJ130" s="60"/>
      <c r="BK130" s="60"/>
      <c r="BL130" s="60"/>
      <c r="BM130" s="60"/>
    </row>
    <row r="131" spans="1:65" s="51" customFormat="1" ht="30" customHeight="1" thickBot="1" x14ac:dyDescent="0.35">
      <c r="A131" s="46"/>
      <c r="B131" s="70" t="s">
        <v>167</v>
      </c>
      <c r="C131" s="69" t="s">
        <v>119</v>
      </c>
      <c r="D131" s="68">
        <v>0</v>
      </c>
      <c r="E131" s="67"/>
      <c r="F131" s="122"/>
      <c r="G131" s="61"/>
      <c r="H131" s="61" t="str">
        <f t="shared" si="10"/>
        <v/>
      </c>
      <c r="I131" s="66"/>
      <c r="J131" s="60"/>
      <c r="K131" s="60"/>
      <c r="L131" s="60"/>
      <c r="M131" s="60"/>
      <c r="N131" s="60"/>
      <c r="O131" s="60"/>
      <c r="P131" s="60"/>
      <c r="Q131" s="60"/>
      <c r="R131" s="60"/>
      <c r="S131" s="60"/>
      <c r="T131" s="60"/>
      <c r="U131" s="60"/>
      <c r="V131" s="60"/>
      <c r="W131" s="60"/>
      <c r="X131" s="60"/>
      <c r="Y131" s="60"/>
      <c r="Z131" s="60"/>
      <c r="AA131" s="60"/>
      <c r="AB131" s="60"/>
      <c r="AC131" s="60"/>
      <c r="AD131" s="60"/>
      <c r="AE131" s="60"/>
      <c r="AF131" s="60"/>
      <c r="AG131" s="60"/>
      <c r="AH131" s="60"/>
      <c r="AI131" s="60"/>
      <c r="AJ131" s="60"/>
      <c r="AK131" s="60"/>
      <c r="AL131" s="60"/>
      <c r="AM131" s="60"/>
      <c r="AN131" s="60"/>
      <c r="AO131" s="60"/>
      <c r="AP131" s="60"/>
      <c r="AQ131" s="60"/>
      <c r="AR131" s="60"/>
      <c r="AS131" s="60"/>
      <c r="AT131" s="60"/>
      <c r="AU131" s="60"/>
      <c r="AV131" s="60"/>
      <c r="AW131" s="60"/>
      <c r="AX131" s="60"/>
      <c r="AY131" s="60"/>
      <c r="AZ131" s="60"/>
      <c r="BA131" s="60"/>
      <c r="BB131" s="60"/>
      <c r="BC131" s="60"/>
      <c r="BD131" s="60"/>
      <c r="BE131" s="60"/>
      <c r="BF131" s="60"/>
      <c r="BG131" s="60"/>
      <c r="BH131" s="60"/>
      <c r="BI131" s="60"/>
      <c r="BJ131" s="60"/>
      <c r="BK131" s="60"/>
      <c r="BL131" s="60"/>
      <c r="BM131" s="60"/>
    </row>
    <row r="132" spans="1:65" s="51" customFormat="1" ht="30" customHeight="1" thickBot="1" x14ac:dyDescent="0.35">
      <c r="A132" s="46"/>
      <c r="B132" s="70" t="s">
        <v>166</v>
      </c>
      <c r="C132" s="69" t="s">
        <v>119</v>
      </c>
      <c r="D132" s="68">
        <v>0</v>
      </c>
      <c r="E132" s="67"/>
      <c r="F132" s="122"/>
      <c r="G132" s="61"/>
      <c r="H132" s="61" t="str">
        <f t="shared" si="10"/>
        <v/>
      </c>
      <c r="I132" s="66"/>
      <c r="J132" s="60"/>
      <c r="K132" s="60"/>
      <c r="L132" s="60"/>
      <c r="M132" s="60"/>
      <c r="N132" s="60"/>
      <c r="O132" s="60"/>
      <c r="P132" s="60"/>
      <c r="Q132" s="60"/>
      <c r="R132" s="60"/>
      <c r="S132" s="60"/>
      <c r="T132" s="60"/>
      <c r="U132" s="60"/>
      <c r="V132" s="60"/>
      <c r="W132" s="60"/>
      <c r="X132" s="60"/>
      <c r="Y132" s="60"/>
      <c r="Z132" s="60"/>
      <c r="AA132" s="60"/>
      <c r="AB132" s="60"/>
      <c r="AC132" s="60"/>
      <c r="AD132" s="60"/>
      <c r="AE132" s="60"/>
      <c r="AF132" s="60"/>
      <c r="AG132" s="60"/>
      <c r="AH132" s="60"/>
      <c r="AI132" s="60"/>
      <c r="AJ132" s="60"/>
      <c r="AK132" s="60"/>
      <c r="AL132" s="60"/>
      <c r="AM132" s="60"/>
      <c r="AN132" s="60"/>
      <c r="AO132" s="60"/>
      <c r="AP132" s="60"/>
      <c r="AQ132" s="60"/>
      <c r="AR132" s="60"/>
      <c r="AS132" s="60"/>
      <c r="AT132" s="60"/>
      <c r="AU132" s="60"/>
      <c r="AV132" s="60"/>
      <c r="AW132" s="60"/>
      <c r="AX132" s="60"/>
      <c r="AY132" s="60"/>
      <c r="AZ132" s="60"/>
      <c r="BA132" s="60"/>
      <c r="BB132" s="60"/>
      <c r="BC132" s="60"/>
      <c r="BD132" s="60"/>
      <c r="BE132" s="60"/>
      <c r="BF132" s="60"/>
      <c r="BG132" s="60"/>
      <c r="BH132" s="60"/>
      <c r="BI132" s="60"/>
      <c r="BJ132" s="60"/>
      <c r="BK132" s="60"/>
      <c r="BL132" s="60"/>
      <c r="BM132" s="60"/>
    </row>
    <row r="133" spans="1:65" s="51" customFormat="1" ht="30" customHeight="1" thickBot="1" x14ac:dyDescent="0.35">
      <c r="A133" s="46"/>
      <c r="B133" s="70" t="s">
        <v>165</v>
      </c>
      <c r="C133" s="69" t="s">
        <v>119</v>
      </c>
      <c r="D133" s="68">
        <v>0</v>
      </c>
      <c r="E133" s="67"/>
      <c r="F133" s="122"/>
      <c r="G133" s="61"/>
      <c r="H133" s="61" t="str">
        <f t="shared" si="10"/>
        <v/>
      </c>
      <c r="I133" s="66"/>
      <c r="J133" s="60"/>
      <c r="K133" s="60"/>
      <c r="L133" s="60"/>
      <c r="M133" s="60"/>
      <c r="N133" s="60"/>
      <c r="O133" s="60"/>
      <c r="P133" s="60"/>
      <c r="Q133" s="60"/>
      <c r="R133" s="60"/>
      <c r="S133" s="60"/>
      <c r="T133" s="60"/>
      <c r="U133" s="60"/>
      <c r="V133" s="60"/>
      <c r="W133" s="60"/>
      <c r="X133" s="60"/>
      <c r="Y133" s="60"/>
      <c r="Z133" s="60"/>
      <c r="AA133" s="60"/>
      <c r="AB133" s="60"/>
      <c r="AC133" s="60"/>
      <c r="AD133" s="60"/>
      <c r="AE133" s="60"/>
      <c r="AF133" s="60"/>
      <c r="AG133" s="60"/>
      <c r="AH133" s="60"/>
      <c r="AI133" s="60"/>
      <c r="AJ133" s="60"/>
      <c r="AK133" s="60"/>
      <c r="AL133" s="60"/>
      <c r="AM133" s="60"/>
      <c r="AN133" s="60"/>
      <c r="AO133" s="60"/>
      <c r="AP133" s="60"/>
      <c r="AQ133" s="60"/>
      <c r="AR133" s="60"/>
      <c r="AS133" s="60"/>
      <c r="AT133" s="60"/>
      <c r="AU133" s="60"/>
      <c r="AV133" s="60"/>
      <c r="AW133" s="60"/>
      <c r="AX133" s="60"/>
      <c r="AY133" s="60"/>
      <c r="AZ133" s="60"/>
      <c r="BA133" s="60"/>
      <c r="BB133" s="60"/>
      <c r="BC133" s="60"/>
      <c r="BD133" s="60"/>
      <c r="BE133" s="60"/>
      <c r="BF133" s="60"/>
      <c r="BG133" s="60"/>
      <c r="BH133" s="60"/>
      <c r="BI133" s="60"/>
      <c r="BJ133" s="60"/>
      <c r="BK133" s="60"/>
      <c r="BL133" s="60"/>
      <c r="BM133" s="60"/>
    </row>
    <row r="134" spans="1:65" s="51" customFormat="1" ht="30" customHeight="1" thickBot="1" x14ac:dyDescent="0.35">
      <c r="A134" s="46"/>
      <c r="B134" s="70" t="s">
        <v>164</v>
      </c>
      <c r="C134" s="69" t="s">
        <v>119</v>
      </c>
      <c r="D134" s="68">
        <v>0</v>
      </c>
      <c r="E134" s="67"/>
      <c r="F134" s="67"/>
      <c r="G134" s="61"/>
      <c r="H134" s="61" t="str">
        <f t="shared" si="10"/>
        <v/>
      </c>
      <c r="I134" s="66"/>
      <c r="J134" s="60"/>
      <c r="K134" s="60"/>
      <c r="L134" s="60"/>
      <c r="M134" s="60"/>
      <c r="N134" s="60"/>
      <c r="O134" s="60"/>
      <c r="P134" s="60"/>
      <c r="Q134" s="60"/>
      <c r="R134" s="60"/>
      <c r="S134" s="60"/>
      <c r="T134" s="60"/>
      <c r="U134" s="60"/>
      <c r="V134" s="60"/>
      <c r="W134" s="60"/>
      <c r="X134" s="60"/>
      <c r="Y134" s="60"/>
      <c r="Z134" s="60"/>
      <c r="AA134" s="60"/>
      <c r="AB134" s="60"/>
      <c r="AC134" s="60"/>
      <c r="AD134" s="60"/>
      <c r="AE134" s="60"/>
      <c r="AF134" s="60"/>
      <c r="AG134" s="60"/>
      <c r="AH134" s="60"/>
      <c r="AI134" s="60"/>
      <c r="AJ134" s="60"/>
      <c r="AK134" s="60"/>
      <c r="AL134" s="60"/>
      <c r="AM134" s="60"/>
      <c r="AN134" s="60"/>
      <c r="AO134" s="60"/>
      <c r="AP134" s="60"/>
      <c r="AQ134" s="60"/>
      <c r="AR134" s="60"/>
      <c r="AS134" s="60"/>
      <c r="AT134" s="60"/>
      <c r="AU134" s="60"/>
      <c r="AV134" s="60"/>
      <c r="AW134" s="60"/>
      <c r="AX134" s="60"/>
      <c r="AY134" s="60"/>
      <c r="AZ134" s="60"/>
      <c r="BA134" s="60"/>
      <c r="BB134" s="60"/>
      <c r="BC134" s="60"/>
      <c r="BD134" s="60"/>
      <c r="BE134" s="60"/>
      <c r="BF134" s="60"/>
      <c r="BG134" s="60"/>
      <c r="BH134" s="60"/>
      <c r="BI134" s="60"/>
      <c r="BJ134" s="60"/>
      <c r="BK134" s="60"/>
      <c r="BL134" s="60"/>
      <c r="BM134" s="60"/>
    </row>
    <row r="135" spans="1:65" s="51" customFormat="1" ht="30" customHeight="1" thickBot="1" x14ac:dyDescent="0.35">
      <c r="A135" s="46"/>
      <c r="B135" s="70" t="s">
        <v>163</v>
      </c>
      <c r="C135" s="69" t="s">
        <v>119</v>
      </c>
      <c r="D135" s="68">
        <v>0</v>
      </c>
      <c r="E135" s="67"/>
      <c r="F135" s="67"/>
      <c r="G135" s="61"/>
      <c r="H135" s="61" t="str">
        <f t="shared" si="10"/>
        <v/>
      </c>
      <c r="I135" s="66"/>
      <c r="J135" s="60"/>
      <c r="K135" s="60"/>
      <c r="L135" s="60"/>
      <c r="M135" s="60"/>
      <c r="N135" s="60"/>
      <c r="O135" s="60"/>
      <c r="P135" s="60"/>
      <c r="Q135" s="60"/>
      <c r="R135" s="60"/>
      <c r="S135" s="60"/>
      <c r="T135" s="60"/>
      <c r="U135" s="60"/>
      <c r="V135" s="60"/>
      <c r="W135" s="60"/>
      <c r="X135" s="60"/>
      <c r="Y135" s="60"/>
      <c r="Z135" s="60"/>
      <c r="AA135" s="60"/>
      <c r="AB135" s="60"/>
      <c r="AC135" s="60"/>
      <c r="AD135" s="60"/>
      <c r="AE135" s="60"/>
      <c r="AF135" s="60"/>
      <c r="AG135" s="60"/>
      <c r="AH135" s="60"/>
      <c r="AI135" s="60"/>
      <c r="AJ135" s="60"/>
      <c r="AK135" s="60"/>
      <c r="AL135" s="60"/>
      <c r="AM135" s="60"/>
      <c r="AN135" s="60"/>
      <c r="AO135" s="60"/>
      <c r="AP135" s="60"/>
      <c r="AQ135" s="60"/>
      <c r="AR135" s="60"/>
      <c r="AS135" s="60"/>
      <c r="AT135" s="60"/>
      <c r="AU135" s="60"/>
      <c r="AV135" s="60"/>
      <c r="AW135" s="60"/>
      <c r="AX135" s="60"/>
      <c r="AY135" s="60"/>
      <c r="AZ135" s="60"/>
      <c r="BA135" s="60"/>
      <c r="BB135" s="60"/>
      <c r="BC135" s="60"/>
      <c r="BD135" s="60"/>
      <c r="BE135" s="60"/>
      <c r="BF135" s="60"/>
      <c r="BG135" s="60"/>
      <c r="BH135" s="60"/>
      <c r="BI135" s="60"/>
      <c r="BJ135" s="60"/>
      <c r="BK135" s="60"/>
      <c r="BL135" s="60"/>
      <c r="BM135" s="60"/>
    </row>
    <row r="136" spans="1:65" s="51" customFormat="1" ht="30" customHeight="1" thickBot="1" x14ac:dyDescent="0.35">
      <c r="A136" s="46"/>
      <c r="B136" s="70" t="s">
        <v>162</v>
      </c>
      <c r="C136" s="69" t="s">
        <v>119</v>
      </c>
      <c r="D136" s="68">
        <v>0</v>
      </c>
      <c r="E136" s="67"/>
      <c r="F136" s="67"/>
      <c r="G136" s="61"/>
      <c r="H136" s="61" t="str">
        <f t="shared" si="10"/>
        <v/>
      </c>
      <c r="I136" s="66"/>
      <c r="J136" s="60"/>
      <c r="K136" s="60"/>
      <c r="L136" s="60"/>
      <c r="M136" s="60"/>
      <c r="N136" s="60"/>
      <c r="O136" s="60"/>
      <c r="P136" s="60"/>
      <c r="Q136" s="60"/>
      <c r="R136" s="60"/>
      <c r="S136" s="60"/>
      <c r="T136" s="60"/>
      <c r="U136" s="60"/>
      <c r="V136" s="60"/>
      <c r="W136" s="60"/>
      <c r="X136" s="60"/>
      <c r="Y136" s="60"/>
      <c r="Z136" s="60"/>
      <c r="AA136" s="60"/>
      <c r="AB136" s="60"/>
      <c r="AC136" s="60"/>
      <c r="AD136" s="60"/>
      <c r="AE136" s="60"/>
      <c r="AF136" s="60"/>
      <c r="AG136" s="60"/>
      <c r="AH136" s="60"/>
      <c r="AI136" s="60"/>
      <c r="AJ136" s="60"/>
      <c r="AK136" s="60"/>
      <c r="AL136" s="60"/>
      <c r="AM136" s="60"/>
      <c r="AN136" s="60"/>
      <c r="AO136" s="60"/>
      <c r="AP136" s="60"/>
      <c r="AQ136" s="60"/>
      <c r="AR136" s="60"/>
      <c r="AS136" s="60"/>
      <c r="AT136" s="60"/>
      <c r="AU136" s="60"/>
      <c r="AV136" s="60"/>
      <c r="AW136" s="60"/>
      <c r="AX136" s="60"/>
      <c r="AY136" s="60"/>
      <c r="AZ136" s="60"/>
      <c r="BA136" s="60"/>
      <c r="BB136" s="60"/>
      <c r="BC136" s="60"/>
      <c r="BD136" s="60"/>
      <c r="BE136" s="60"/>
      <c r="BF136" s="60"/>
      <c r="BG136" s="60"/>
      <c r="BH136" s="60"/>
      <c r="BI136" s="60"/>
      <c r="BJ136" s="60"/>
      <c r="BK136" s="60"/>
      <c r="BL136" s="60"/>
      <c r="BM136" s="60"/>
    </row>
    <row r="137" spans="1:65" s="51" customFormat="1" ht="30" customHeight="1" thickBot="1" x14ac:dyDescent="0.35">
      <c r="A137" s="46"/>
      <c r="B137" s="70" t="s">
        <v>161</v>
      </c>
      <c r="C137" s="69" t="s">
        <v>119</v>
      </c>
      <c r="D137" s="68">
        <v>0</v>
      </c>
      <c r="E137" s="67"/>
      <c r="F137" s="67"/>
      <c r="G137" s="61"/>
      <c r="H137" s="61" t="str">
        <f t="shared" si="10"/>
        <v/>
      </c>
      <c r="I137" s="66"/>
      <c r="J137" s="60"/>
      <c r="K137" s="60"/>
      <c r="L137" s="60"/>
      <c r="M137" s="60"/>
      <c r="N137" s="60"/>
      <c r="O137" s="60"/>
      <c r="P137" s="60"/>
      <c r="Q137" s="60"/>
      <c r="R137" s="60"/>
      <c r="S137" s="60"/>
      <c r="T137" s="60"/>
      <c r="U137" s="60"/>
      <c r="V137" s="60"/>
      <c r="W137" s="60"/>
      <c r="X137" s="60"/>
      <c r="Y137" s="60"/>
      <c r="Z137" s="60"/>
      <c r="AA137" s="60"/>
      <c r="AB137" s="60"/>
      <c r="AC137" s="60"/>
      <c r="AD137" s="60"/>
      <c r="AE137" s="60"/>
      <c r="AF137" s="60"/>
      <c r="AG137" s="60"/>
      <c r="AH137" s="60"/>
      <c r="AI137" s="60"/>
      <c r="AJ137" s="60"/>
      <c r="AK137" s="60"/>
      <c r="AL137" s="60"/>
      <c r="AM137" s="60"/>
      <c r="AN137" s="60"/>
      <c r="AO137" s="60"/>
      <c r="AP137" s="60"/>
      <c r="AQ137" s="60"/>
      <c r="AR137" s="60"/>
      <c r="AS137" s="60"/>
      <c r="AT137" s="60"/>
      <c r="AU137" s="60"/>
      <c r="AV137" s="60"/>
      <c r="AW137" s="60"/>
      <c r="AX137" s="60"/>
      <c r="AY137" s="60"/>
      <c r="AZ137" s="60"/>
      <c r="BA137" s="60"/>
      <c r="BB137" s="60"/>
      <c r="BC137" s="60"/>
      <c r="BD137" s="60"/>
      <c r="BE137" s="60"/>
      <c r="BF137" s="60"/>
      <c r="BG137" s="60"/>
      <c r="BH137" s="60"/>
      <c r="BI137" s="60"/>
      <c r="BJ137" s="60"/>
      <c r="BK137" s="60"/>
      <c r="BL137" s="60"/>
      <c r="BM137" s="60"/>
    </row>
    <row r="138" spans="1:65" s="51" customFormat="1" ht="30" customHeight="1" thickBot="1" x14ac:dyDescent="0.35">
      <c r="A138" s="46"/>
      <c r="B138" s="70" t="s">
        <v>160</v>
      </c>
      <c r="C138" s="69" t="s">
        <v>119</v>
      </c>
      <c r="D138" s="68">
        <v>0</v>
      </c>
      <c r="E138" s="67"/>
      <c r="F138" s="67"/>
      <c r="G138" s="61"/>
      <c r="H138" s="61" t="str">
        <f t="shared" si="10"/>
        <v/>
      </c>
      <c r="I138" s="66"/>
      <c r="J138" s="60"/>
      <c r="K138" s="60"/>
      <c r="L138" s="60"/>
      <c r="M138" s="60"/>
      <c r="N138" s="60"/>
      <c r="O138" s="60"/>
      <c r="P138" s="60"/>
      <c r="Q138" s="60"/>
      <c r="R138" s="60"/>
      <c r="S138" s="60"/>
      <c r="T138" s="60"/>
      <c r="U138" s="60"/>
      <c r="V138" s="60"/>
      <c r="W138" s="60"/>
      <c r="X138" s="60"/>
      <c r="Y138" s="60"/>
      <c r="Z138" s="60"/>
      <c r="AA138" s="60"/>
      <c r="AB138" s="60"/>
      <c r="AC138" s="60"/>
      <c r="AD138" s="60"/>
      <c r="AE138" s="60"/>
      <c r="AF138" s="60"/>
      <c r="AG138" s="60"/>
      <c r="AH138" s="60"/>
      <c r="AI138" s="60"/>
      <c r="AJ138" s="60"/>
      <c r="AK138" s="60"/>
      <c r="AL138" s="60"/>
      <c r="AM138" s="60"/>
      <c r="AN138" s="60"/>
      <c r="AO138" s="60"/>
      <c r="AP138" s="60"/>
      <c r="AQ138" s="60"/>
      <c r="AR138" s="60"/>
      <c r="AS138" s="60"/>
      <c r="AT138" s="60"/>
      <c r="AU138" s="60"/>
      <c r="AV138" s="60"/>
      <c r="AW138" s="60"/>
      <c r="AX138" s="60"/>
      <c r="AY138" s="60"/>
      <c r="AZ138" s="60"/>
      <c r="BA138" s="60"/>
      <c r="BB138" s="60"/>
      <c r="BC138" s="60"/>
      <c r="BD138" s="60"/>
      <c r="BE138" s="60"/>
      <c r="BF138" s="60"/>
      <c r="BG138" s="60"/>
      <c r="BH138" s="60"/>
      <c r="BI138" s="60"/>
      <c r="BJ138" s="60"/>
      <c r="BK138" s="60"/>
      <c r="BL138" s="60"/>
      <c r="BM138" s="60"/>
    </row>
    <row r="139" spans="1:65" s="51" customFormat="1" ht="30" customHeight="1" thickBot="1" x14ac:dyDescent="0.35">
      <c r="A139" s="46"/>
      <c r="B139" s="70" t="s">
        <v>159</v>
      </c>
      <c r="C139" s="69" t="s">
        <v>119</v>
      </c>
      <c r="D139" s="68">
        <v>0</v>
      </c>
      <c r="E139" s="67"/>
      <c r="F139" s="67"/>
      <c r="G139" s="61"/>
      <c r="H139" s="61" t="str">
        <f t="shared" si="10"/>
        <v/>
      </c>
      <c r="I139" s="66"/>
      <c r="J139" s="60"/>
      <c r="K139" s="60"/>
      <c r="L139" s="60"/>
      <c r="M139" s="60"/>
      <c r="N139" s="60"/>
      <c r="O139" s="60"/>
      <c r="P139" s="60"/>
      <c r="Q139" s="60"/>
      <c r="R139" s="60"/>
      <c r="S139" s="60"/>
      <c r="T139" s="60"/>
      <c r="U139" s="60"/>
      <c r="V139" s="60"/>
      <c r="W139" s="60"/>
      <c r="X139" s="60"/>
      <c r="Y139" s="60"/>
      <c r="Z139" s="60"/>
      <c r="AA139" s="60"/>
      <c r="AB139" s="60"/>
      <c r="AC139" s="60"/>
      <c r="AD139" s="60"/>
      <c r="AE139" s="60"/>
      <c r="AF139" s="60"/>
      <c r="AG139" s="60"/>
      <c r="AH139" s="60"/>
      <c r="AI139" s="60"/>
      <c r="AJ139" s="60"/>
      <c r="AK139" s="60"/>
      <c r="AL139" s="60"/>
      <c r="AM139" s="60"/>
      <c r="AN139" s="60"/>
      <c r="AO139" s="60"/>
      <c r="AP139" s="60"/>
      <c r="AQ139" s="60"/>
      <c r="AR139" s="60"/>
      <c r="AS139" s="60"/>
      <c r="AT139" s="60"/>
      <c r="AU139" s="60"/>
      <c r="AV139" s="60"/>
      <c r="AW139" s="60"/>
      <c r="AX139" s="60"/>
      <c r="AY139" s="60"/>
      <c r="AZ139" s="60"/>
      <c r="BA139" s="60"/>
      <c r="BB139" s="60"/>
      <c r="BC139" s="60"/>
      <c r="BD139" s="60"/>
      <c r="BE139" s="60"/>
      <c r="BF139" s="60"/>
      <c r="BG139" s="60"/>
      <c r="BH139" s="60"/>
      <c r="BI139" s="60"/>
      <c r="BJ139" s="60"/>
      <c r="BK139" s="60"/>
      <c r="BL139" s="60"/>
      <c r="BM139" s="60"/>
    </row>
    <row r="140" spans="1:65" s="51" customFormat="1" ht="30" customHeight="1" thickBot="1" x14ac:dyDescent="0.35">
      <c r="A140" s="46"/>
      <c r="B140" s="70" t="s">
        <v>158</v>
      </c>
      <c r="C140" s="69" t="s">
        <v>119</v>
      </c>
      <c r="D140" s="68">
        <v>0</v>
      </c>
      <c r="E140" s="67"/>
      <c r="F140" s="67"/>
      <c r="G140" s="61"/>
      <c r="H140" s="61" t="str">
        <f t="shared" si="10"/>
        <v/>
      </c>
      <c r="I140" s="66"/>
      <c r="J140" s="60"/>
      <c r="K140" s="60"/>
      <c r="L140" s="60"/>
      <c r="M140" s="60"/>
      <c r="N140" s="60"/>
      <c r="O140" s="60"/>
      <c r="P140" s="60"/>
      <c r="Q140" s="60"/>
      <c r="R140" s="60"/>
      <c r="S140" s="60"/>
      <c r="T140" s="60"/>
      <c r="U140" s="60"/>
      <c r="V140" s="60"/>
      <c r="W140" s="60"/>
      <c r="X140" s="60"/>
      <c r="Y140" s="60"/>
      <c r="Z140" s="60"/>
      <c r="AA140" s="60"/>
      <c r="AB140" s="60"/>
      <c r="AC140" s="60"/>
      <c r="AD140" s="60"/>
      <c r="AE140" s="60"/>
      <c r="AF140" s="60"/>
      <c r="AG140" s="60"/>
      <c r="AH140" s="60"/>
      <c r="AI140" s="60"/>
      <c r="AJ140" s="60"/>
      <c r="AK140" s="60"/>
      <c r="AL140" s="60"/>
      <c r="AM140" s="60"/>
      <c r="AN140" s="60"/>
      <c r="AO140" s="60"/>
      <c r="AP140" s="60"/>
      <c r="AQ140" s="60"/>
      <c r="AR140" s="60"/>
      <c r="AS140" s="60"/>
      <c r="AT140" s="60"/>
      <c r="AU140" s="60"/>
      <c r="AV140" s="60"/>
      <c r="AW140" s="60"/>
      <c r="AX140" s="60"/>
      <c r="AY140" s="60"/>
      <c r="AZ140" s="60"/>
      <c r="BA140" s="60"/>
      <c r="BB140" s="60"/>
      <c r="BC140" s="60"/>
      <c r="BD140" s="60"/>
      <c r="BE140" s="60"/>
      <c r="BF140" s="60"/>
      <c r="BG140" s="60"/>
      <c r="BH140" s="60"/>
      <c r="BI140" s="60"/>
      <c r="BJ140" s="60"/>
      <c r="BK140" s="60"/>
      <c r="BL140" s="60"/>
      <c r="BM140" s="60"/>
    </row>
    <row r="141" spans="1:65" s="51" customFormat="1" ht="30" customHeight="1" thickBot="1" x14ac:dyDescent="0.35">
      <c r="A141" s="46"/>
      <c r="B141" s="70" t="s">
        <v>157</v>
      </c>
      <c r="C141" s="69" t="s">
        <v>119</v>
      </c>
      <c r="D141" s="68">
        <v>0</v>
      </c>
      <c r="E141" s="67"/>
      <c r="F141" s="67"/>
      <c r="G141" s="61"/>
      <c r="H141" s="61" t="str">
        <f t="shared" si="10"/>
        <v/>
      </c>
      <c r="I141" s="66"/>
      <c r="J141" s="60"/>
      <c r="K141" s="60"/>
      <c r="L141" s="60"/>
      <c r="M141" s="60"/>
      <c r="N141" s="60"/>
      <c r="O141" s="60"/>
      <c r="P141" s="60"/>
      <c r="Q141" s="60"/>
      <c r="R141" s="60"/>
      <c r="S141" s="60"/>
      <c r="T141" s="60"/>
      <c r="U141" s="60"/>
      <c r="V141" s="60"/>
      <c r="W141" s="60"/>
      <c r="X141" s="60"/>
      <c r="Y141" s="60"/>
      <c r="Z141" s="60"/>
      <c r="AA141" s="60"/>
      <c r="AB141" s="60"/>
      <c r="AC141" s="60"/>
      <c r="AD141" s="60"/>
      <c r="AE141" s="60"/>
      <c r="AF141" s="60"/>
      <c r="AG141" s="60"/>
      <c r="AH141" s="60"/>
      <c r="AI141" s="60"/>
      <c r="AJ141" s="60"/>
      <c r="AK141" s="60"/>
      <c r="AL141" s="60"/>
      <c r="AM141" s="60"/>
      <c r="AN141" s="60"/>
      <c r="AO141" s="60"/>
      <c r="AP141" s="60"/>
      <c r="AQ141" s="60"/>
      <c r="AR141" s="60"/>
      <c r="AS141" s="60"/>
      <c r="AT141" s="60"/>
      <c r="AU141" s="60"/>
      <c r="AV141" s="60"/>
      <c r="AW141" s="60"/>
      <c r="AX141" s="60"/>
      <c r="AY141" s="60"/>
      <c r="AZ141" s="60"/>
      <c r="BA141" s="60"/>
      <c r="BB141" s="60"/>
      <c r="BC141" s="60"/>
      <c r="BD141" s="60"/>
      <c r="BE141" s="60"/>
      <c r="BF141" s="60"/>
      <c r="BG141" s="60"/>
      <c r="BH141" s="60"/>
      <c r="BI141" s="60"/>
      <c r="BJ141" s="60"/>
      <c r="BK141" s="60"/>
      <c r="BL141" s="60"/>
      <c r="BM141" s="60"/>
    </row>
    <row r="142" spans="1:65" s="51" customFormat="1" ht="30" customHeight="1" thickBot="1" x14ac:dyDescent="0.35">
      <c r="A142" s="46"/>
      <c r="B142" s="70" t="s">
        <v>156</v>
      </c>
      <c r="C142" s="69" t="s">
        <v>119</v>
      </c>
      <c r="D142" s="68">
        <v>0</v>
      </c>
      <c r="E142" s="67"/>
      <c r="F142" s="67"/>
      <c r="G142" s="61"/>
      <c r="H142" s="61" t="str">
        <f t="shared" si="10"/>
        <v/>
      </c>
      <c r="I142" s="66"/>
      <c r="J142" s="60"/>
      <c r="K142" s="60"/>
      <c r="L142" s="60"/>
      <c r="M142" s="60"/>
      <c r="N142" s="60"/>
      <c r="O142" s="60"/>
      <c r="P142" s="60"/>
      <c r="Q142" s="60"/>
      <c r="R142" s="60"/>
      <c r="S142" s="60"/>
      <c r="T142" s="60"/>
      <c r="U142" s="60"/>
      <c r="V142" s="60"/>
      <c r="W142" s="60"/>
      <c r="X142" s="60"/>
      <c r="Y142" s="60"/>
      <c r="Z142" s="60"/>
      <c r="AA142" s="60"/>
      <c r="AB142" s="60"/>
      <c r="AC142" s="60"/>
      <c r="AD142" s="60"/>
      <c r="AE142" s="60"/>
      <c r="AF142" s="60"/>
      <c r="AG142" s="60"/>
      <c r="AH142" s="60"/>
      <c r="AI142" s="60"/>
      <c r="AJ142" s="60"/>
      <c r="AK142" s="60"/>
      <c r="AL142" s="60"/>
      <c r="AM142" s="60"/>
      <c r="AN142" s="60"/>
      <c r="AO142" s="60"/>
      <c r="AP142" s="60"/>
      <c r="AQ142" s="60"/>
      <c r="AR142" s="60"/>
      <c r="AS142" s="60"/>
      <c r="AT142" s="60"/>
      <c r="AU142" s="60"/>
      <c r="AV142" s="60"/>
      <c r="AW142" s="60"/>
      <c r="AX142" s="60"/>
      <c r="AY142" s="60"/>
      <c r="AZ142" s="60"/>
      <c r="BA142" s="60"/>
      <c r="BB142" s="60"/>
      <c r="BC142" s="60"/>
      <c r="BD142" s="60"/>
      <c r="BE142" s="60"/>
      <c r="BF142" s="60"/>
      <c r="BG142" s="60"/>
      <c r="BH142" s="60"/>
      <c r="BI142" s="60"/>
      <c r="BJ142" s="60"/>
      <c r="BK142" s="60"/>
      <c r="BL142" s="60"/>
      <c r="BM142" s="60"/>
    </row>
    <row r="143" spans="1:65" s="51" customFormat="1" ht="30" customHeight="1" thickBot="1" x14ac:dyDescent="0.35">
      <c r="A143" s="46"/>
      <c r="B143" s="70" t="s">
        <v>155</v>
      </c>
      <c r="C143" s="69" t="s">
        <v>119</v>
      </c>
      <c r="D143" s="68">
        <v>0</v>
      </c>
      <c r="E143" s="67"/>
      <c r="F143" s="67"/>
      <c r="G143" s="61"/>
      <c r="H143" s="61" t="str">
        <f t="shared" si="10"/>
        <v/>
      </c>
      <c r="I143" s="66"/>
      <c r="J143" s="60"/>
      <c r="K143" s="60"/>
      <c r="L143" s="60"/>
      <c r="M143" s="60"/>
      <c r="N143" s="60"/>
      <c r="O143" s="60"/>
      <c r="P143" s="60"/>
      <c r="Q143" s="60"/>
      <c r="R143" s="60"/>
      <c r="S143" s="60"/>
      <c r="T143" s="60"/>
      <c r="U143" s="60"/>
      <c r="V143" s="60"/>
      <c r="W143" s="60"/>
      <c r="X143" s="60"/>
      <c r="Y143" s="60"/>
      <c r="Z143" s="60"/>
      <c r="AA143" s="60"/>
      <c r="AB143" s="60"/>
      <c r="AC143" s="60"/>
      <c r="AD143" s="60"/>
      <c r="AE143" s="60"/>
      <c r="AF143" s="60"/>
      <c r="AG143" s="60"/>
      <c r="AH143" s="60"/>
      <c r="AI143" s="60"/>
      <c r="AJ143" s="60"/>
      <c r="AK143" s="60"/>
      <c r="AL143" s="60"/>
      <c r="AM143" s="60"/>
      <c r="AN143" s="60"/>
      <c r="AO143" s="60"/>
      <c r="AP143" s="60"/>
      <c r="AQ143" s="60"/>
      <c r="AR143" s="60"/>
      <c r="AS143" s="60"/>
      <c r="AT143" s="60"/>
      <c r="AU143" s="60"/>
      <c r="AV143" s="60"/>
      <c r="AW143" s="60"/>
      <c r="AX143" s="60"/>
      <c r="AY143" s="60"/>
      <c r="AZ143" s="60"/>
      <c r="BA143" s="60"/>
      <c r="BB143" s="60"/>
      <c r="BC143" s="60"/>
      <c r="BD143" s="60"/>
      <c r="BE143" s="60"/>
      <c r="BF143" s="60"/>
      <c r="BG143" s="60"/>
      <c r="BH143" s="60"/>
      <c r="BI143" s="60"/>
      <c r="BJ143" s="60"/>
      <c r="BK143" s="60"/>
      <c r="BL143" s="60"/>
      <c r="BM143" s="60"/>
    </row>
    <row r="144" spans="1:65" s="51" customFormat="1" ht="30" customHeight="1" thickBot="1" x14ac:dyDescent="0.35">
      <c r="A144" s="46"/>
      <c r="B144" s="70" t="s">
        <v>154</v>
      </c>
      <c r="C144" s="69" t="s">
        <v>119</v>
      </c>
      <c r="D144" s="68">
        <v>0</v>
      </c>
      <c r="E144" s="67"/>
      <c r="F144" s="67"/>
      <c r="G144" s="61"/>
      <c r="H144" s="61" t="str">
        <f t="shared" si="10"/>
        <v/>
      </c>
      <c r="I144" s="66"/>
      <c r="J144" s="60"/>
      <c r="K144" s="60"/>
      <c r="L144" s="60"/>
      <c r="M144" s="60"/>
      <c r="N144" s="60"/>
      <c r="O144" s="60"/>
      <c r="P144" s="60"/>
      <c r="Q144" s="60"/>
      <c r="R144" s="60"/>
      <c r="S144" s="60"/>
      <c r="T144" s="60"/>
      <c r="U144" s="60"/>
      <c r="V144" s="60"/>
      <c r="W144" s="60"/>
      <c r="X144" s="60"/>
      <c r="Y144" s="60"/>
      <c r="Z144" s="60"/>
      <c r="AA144" s="60"/>
      <c r="AB144" s="60"/>
      <c r="AC144" s="60"/>
      <c r="AD144" s="60"/>
      <c r="AE144" s="60"/>
      <c r="AF144" s="60"/>
      <c r="AG144" s="60"/>
      <c r="AH144" s="60"/>
      <c r="AI144" s="60"/>
      <c r="AJ144" s="60"/>
      <c r="AK144" s="60"/>
      <c r="AL144" s="60"/>
      <c r="AM144" s="60"/>
      <c r="AN144" s="60"/>
      <c r="AO144" s="60"/>
      <c r="AP144" s="60"/>
      <c r="AQ144" s="60"/>
      <c r="AR144" s="60"/>
      <c r="AS144" s="60"/>
      <c r="AT144" s="60"/>
      <c r="AU144" s="60"/>
      <c r="AV144" s="60"/>
      <c r="AW144" s="60"/>
      <c r="AX144" s="60"/>
      <c r="AY144" s="60"/>
      <c r="AZ144" s="60"/>
      <c r="BA144" s="60"/>
      <c r="BB144" s="60"/>
      <c r="BC144" s="60"/>
      <c r="BD144" s="60"/>
      <c r="BE144" s="60"/>
      <c r="BF144" s="60"/>
      <c r="BG144" s="60"/>
      <c r="BH144" s="60"/>
      <c r="BI144" s="60"/>
      <c r="BJ144" s="60"/>
      <c r="BK144" s="60"/>
      <c r="BL144" s="60"/>
      <c r="BM144" s="60"/>
    </row>
    <row r="145" spans="1:65" s="51" customFormat="1" ht="30" customHeight="1" thickBot="1" x14ac:dyDescent="0.35">
      <c r="A145" s="46"/>
      <c r="B145" s="70" t="s">
        <v>153</v>
      </c>
      <c r="C145" s="69" t="s">
        <v>119</v>
      </c>
      <c r="D145" s="68">
        <v>0</v>
      </c>
      <c r="E145" s="67"/>
      <c r="F145" s="67"/>
      <c r="G145" s="61"/>
      <c r="H145" s="61" t="str">
        <f t="shared" si="10"/>
        <v/>
      </c>
      <c r="I145" s="66"/>
      <c r="J145" s="60"/>
      <c r="K145" s="60"/>
      <c r="L145" s="60"/>
      <c r="M145" s="60"/>
      <c r="N145" s="60"/>
      <c r="O145" s="60"/>
      <c r="P145" s="60"/>
      <c r="Q145" s="60"/>
      <c r="R145" s="60"/>
      <c r="S145" s="60"/>
      <c r="T145" s="60"/>
      <c r="U145" s="60"/>
      <c r="V145" s="60"/>
      <c r="W145" s="60"/>
      <c r="X145" s="60"/>
      <c r="Y145" s="60"/>
      <c r="Z145" s="60"/>
      <c r="AA145" s="60"/>
      <c r="AB145" s="60"/>
      <c r="AC145" s="60"/>
      <c r="AD145" s="60"/>
      <c r="AE145" s="60"/>
      <c r="AF145" s="60"/>
      <c r="AG145" s="60"/>
      <c r="AH145" s="60"/>
      <c r="AI145" s="60"/>
      <c r="AJ145" s="60"/>
      <c r="AK145" s="60"/>
      <c r="AL145" s="60"/>
      <c r="AM145" s="60"/>
      <c r="AN145" s="60"/>
      <c r="AO145" s="60"/>
      <c r="AP145" s="60"/>
      <c r="AQ145" s="60"/>
      <c r="AR145" s="60"/>
      <c r="AS145" s="60"/>
      <c r="AT145" s="60"/>
      <c r="AU145" s="60"/>
      <c r="AV145" s="60"/>
      <c r="AW145" s="60"/>
      <c r="AX145" s="60"/>
      <c r="AY145" s="60"/>
      <c r="AZ145" s="60"/>
      <c r="BA145" s="60"/>
      <c r="BB145" s="60"/>
      <c r="BC145" s="60"/>
      <c r="BD145" s="60"/>
      <c r="BE145" s="60"/>
      <c r="BF145" s="60"/>
      <c r="BG145" s="60"/>
      <c r="BH145" s="60"/>
      <c r="BI145" s="60"/>
      <c r="BJ145" s="60"/>
      <c r="BK145" s="60"/>
      <c r="BL145" s="60"/>
      <c r="BM145" s="60"/>
    </row>
    <row r="146" spans="1:65" s="51" customFormat="1" ht="30" customHeight="1" thickBot="1" x14ac:dyDescent="0.35">
      <c r="A146" s="46"/>
      <c r="B146" s="70" t="s">
        <v>152</v>
      </c>
      <c r="C146" s="69" t="s">
        <v>119</v>
      </c>
      <c r="D146" s="68">
        <v>0</v>
      </c>
      <c r="E146" s="67"/>
      <c r="F146" s="67"/>
      <c r="G146" s="61"/>
      <c r="H146" s="61" t="str">
        <f t="shared" si="10"/>
        <v/>
      </c>
      <c r="I146" s="66"/>
      <c r="J146" s="60"/>
      <c r="K146" s="60"/>
      <c r="L146" s="60"/>
      <c r="M146" s="60"/>
      <c r="N146" s="60"/>
      <c r="O146" s="60"/>
      <c r="P146" s="60"/>
      <c r="Q146" s="60"/>
      <c r="R146" s="60"/>
      <c r="S146" s="60"/>
      <c r="T146" s="60"/>
      <c r="U146" s="60"/>
      <c r="V146" s="60"/>
      <c r="W146" s="60"/>
      <c r="X146" s="60"/>
      <c r="Y146" s="60"/>
      <c r="Z146" s="60"/>
      <c r="AA146" s="60"/>
      <c r="AB146" s="60"/>
      <c r="AC146" s="60"/>
      <c r="AD146" s="60"/>
      <c r="AE146" s="60"/>
      <c r="AF146" s="60"/>
      <c r="AG146" s="60"/>
      <c r="AH146" s="60"/>
      <c r="AI146" s="60"/>
      <c r="AJ146" s="60"/>
      <c r="AK146" s="60"/>
      <c r="AL146" s="60"/>
      <c r="AM146" s="60"/>
      <c r="AN146" s="60"/>
      <c r="AO146" s="60"/>
      <c r="AP146" s="60"/>
      <c r="AQ146" s="60"/>
      <c r="AR146" s="60"/>
      <c r="AS146" s="60"/>
      <c r="AT146" s="60"/>
      <c r="AU146" s="60"/>
      <c r="AV146" s="60"/>
      <c r="AW146" s="60"/>
      <c r="AX146" s="60"/>
      <c r="AY146" s="60"/>
      <c r="AZ146" s="60"/>
      <c r="BA146" s="60"/>
      <c r="BB146" s="60"/>
      <c r="BC146" s="60"/>
      <c r="BD146" s="60"/>
      <c r="BE146" s="60"/>
      <c r="BF146" s="60"/>
      <c r="BG146" s="60"/>
      <c r="BH146" s="60"/>
      <c r="BI146" s="60"/>
      <c r="BJ146" s="60"/>
      <c r="BK146" s="60"/>
      <c r="BL146" s="60"/>
      <c r="BM146" s="60"/>
    </row>
    <row r="147" spans="1:65" s="51" customFormat="1" ht="30" customHeight="1" thickBot="1" x14ac:dyDescent="0.35">
      <c r="A147" s="46"/>
      <c r="B147" s="70" t="s">
        <v>151</v>
      </c>
      <c r="C147" s="69" t="s">
        <v>119</v>
      </c>
      <c r="D147" s="68">
        <v>0</v>
      </c>
      <c r="E147" s="67"/>
      <c r="F147" s="67"/>
      <c r="G147" s="61"/>
      <c r="H147" s="61" t="str">
        <f t="shared" si="10"/>
        <v/>
      </c>
      <c r="I147" s="66"/>
      <c r="J147" s="60"/>
      <c r="K147" s="60"/>
      <c r="L147" s="60"/>
      <c r="M147" s="60"/>
      <c r="N147" s="60"/>
      <c r="O147" s="60"/>
      <c r="P147" s="60"/>
      <c r="Q147" s="60"/>
      <c r="R147" s="60"/>
      <c r="S147" s="60"/>
      <c r="T147" s="60"/>
      <c r="U147" s="60"/>
      <c r="V147" s="60"/>
      <c r="W147" s="60"/>
      <c r="X147" s="60"/>
      <c r="Y147" s="60"/>
      <c r="Z147" s="60"/>
      <c r="AA147" s="60"/>
      <c r="AB147" s="60"/>
      <c r="AC147" s="60"/>
      <c r="AD147" s="60"/>
      <c r="AE147" s="60"/>
      <c r="AF147" s="60"/>
      <c r="AG147" s="60"/>
      <c r="AH147" s="60"/>
      <c r="AI147" s="60"/>
      <c r="AJ147" s="60"/>
      <c r="AK147" s="60"/>
      <c r="AL147" s="60"/>
      <c r="AM147" s="60"/>
      <c r="AN147" s="60"/>
      <c r="AO147" s="60"/>
      <c r="AP147" s="60"/>
      <c r="AQ147" s="60"/>
      <c r="AR147" s="60"/>
      <c r="AS147" s="60"/>
      <c r="AT147" s="60"/>
      <c r="AU147" s="60"/>
      <c r="AV147" s="60"/>
      <c r="AW147" s="60"/>
      <c r="AX147" s="60"/>
      <c r="AY147" s="60"/>
      <c r="AZ147" s="60"/>
      <c r="BA147" s="60"/>
      <c r="BB147" s="60"/>
      <c r="BC147" s="60"/>
      <c r="BD147" s="60"/>
      <c r="BE147" s="60"/>
      <c r="BF147" s="60"/>
      <c r="BG147" s="60"/>
      <c r="BH147" s="60"/>
      <c r="BI147" s="60"/>
      <c r="BJ147" s="60"/>
      <c r="BK147" s="60"/>
      <c r="BL147" s="60"/>
      <c r="BM147" s="60"/>
    </row>
    <row r="148" spans="1:65" s="51" customFormat="1" ht="30" customHeight="1" thickBot="1" x14ac:dyDescent="0.35">
      <c r="A148" s="46"/>
      <c r="B148" s="70" t="s">
        <v>150</v>
      </c>
      <c r="C148" s="69" t="s">
        <v>119</v>
      </c>
      <c r="D148" s="68">
        <v>0</v>
      </c>
      <c r="E148" s="67"/>
      <c r="F148" s="67"/>
      <c r="G148" s="61"/>
      <c r="H148" s="61" t="str">
        <f t="shared" ref="H148:H182" si="12">IF(OR(ISBLANK(task_start),ISBLANK(task_end)),"",task_end-task_start+1)</f>
        <v/>
      </c>
      <c r="I148" s="66"/>
      <c r="J148" s="60"/>
      <c r="K148" s="60"/>
      <c r="L148" s="60"/>
      <c r="M148" s="60"/>
      <c r="N148" s="60"/>
      <c r="O148" s="60"/>
      <c r="P148" s="60"/>
      <c r="Q148" s="60"/>
      <c r="R148" s="60"/>
      <c r="S148" s="60"/>
      <c r="T148" s="60"/>
      <c r="U148" s="60"/>
      <c r="V148" s="60"/>
      <c r="W148" s="60"/>
      <c r="X148" s="60"/>
      <c r="Y148" s="60"/>
      <c r="Z148" s="60"/>
      <c r="AA148" s="60"/>
      <c r="AB148" s="60"/>
      <c r="AC148" s="60"/>
      <c r="AD148" s="60"/>
      <c r="AE148" s="60"/>
      <c r="AF148" s="60"/>
      <c r="AG148" s="60"/>
      <c r="AH148" s="60"/>
      <c r="AI148" s="60"/>
      <c r="AJ148" s="60"/>
      <c r="AK148" s="60"/>
      <c r="AL148" s="60"/>
      <c r="AM148" s="60"/>
      <c r="AN148" s="60"/>
      <c r="AO148" s="60"/>
      <c r="AP148" s="60"/>
      <c r="AQ148" s="60"/>
      <c r="AR148" s="60"/>
      <c r="AS148" s="60"/>
      <c r="AT148" s="60"/>
      <c r="AU148" s="60"/>
      <c r="AV148" s="60"/>
      <c r="AW148" s="60"/>
      <c r="AX148" s="60"/>
      <c r="AY148" s="60"/>
      <c r="AZ148" s="60"/>
      <c r="BA148" s="60"/>
      <c r="BB148" s="60"/>
      <c r="BC148" s="60"/>
      <c r="BD148" s="60"/>
      <c r="BE148" s="60"/>
      <c r="BF148" s="60"/>
      <c r="BG148" s="60"/>
      <c r="BH148" s="60"/>
      <c r="BI148" s="60"/>
      <c r="BJ148" s="60"/>
      <c r="BK148" s="60"/>
      <c r="BL148" s="60"/>
      <c r="BM148" s="60"/>
    </row>
    <row r="149" spans="1:65" s="51" customFormat="1" ht="30" customHeight="1" thickBot="1" x14ac:dyDescent="0.35">
      <c r="A149" s="46"/>
      <c r="B149" s="70" t="s">
        <v>149</v>
      </c>
      <c r="C149" s="69" t="s">
        <v>119</v>
      </c>
      <c r="D149" s="68">
        <v>0</v>
      </c>
      <c r="E149" s="67"/>
      <c r="F149" s="67"/>
      <c r="G149" s="61"/>
      <c r="H149" s="61" t="str">
        <f t="shared" si="12"/>
        <v/>
      </c>
      <c r="I149" s="66"/>
      <c r="J149" s="60"/>
      <c r="K149" s="60"/>
      <c r="L149" s="60"/>
      <c r="M149" s="60"/>
      <c r="N149" s="60"/>
      <c r="O149" s="60"/>
      <c r="P149" s="60"/>
      <c r="Q149" s="60"/>
      <c r="R149" s="60"/>
      <c r="S149" s="60"/>
      <c r="T149" s="60"/>
      <c r="U149" s="60"/>
      <c r="V149" s="60"/>
      <c r="W149" s="60"/>
      <c r="X149" s="60"/>
      <c r="Y149" s="60"/>
      <c r="Z149" s="60"/>
      <c r="AA149" s="60"/>
      <c r="AB149" s="60"/>
      <c r="AC149" s="60"/>
      <c r="AD149" s="60"/>
      <c r="AE149" s="60"/>
      <c r="AF149" s="60"/>
      <c r="AG149" s="60"/>
      <c r="AH149" s="60"/>
      <c r="AI149" s="60"/>
      <c r="AJ149" s="60"/>
      <c r="AK149" s="60"/>
      <c r="AL149" s="60"/>
      <c r="AM149" s="60"/>
      <c r="AN149" s="60"/>
      <c r="AO149" s="60"/>
      <c r="AP149" s="60"/>
      <c r="AQ149" s="60"/>
      <c r="AR149" s="60"/>
      <c r="AS149" s="60"/>
      <c r="AT149" s="60"/>
      <c r="AU149" s="60"/>
      <c r="AV149" s="60"/>
      <c r="AW149" s="60"/>
      <c r="AX149" s="60"/>
      <c r="AY149" s="60"/>
      <c r="AZ149" s="60"/>
      <c r="BA149" s="60"/>
      <c r="BB149" s="60"/>
      <c r="BC149" s="60"/>
      <c r="BD149" s="60"/>
      <c r="BE149" s="60"/>
      <c r="BF149" s="60"/>
      <c r="BG149" s="60"/>
      <c r="BH149" s="60"/>
      <c r="BI149" s="60"/>
      <c r="BJ149" s="60"/>
      <c r="BK149" s="60"/>
      <c r="BL149" s="60"/>
      <c r="BM149" s="60"/>
    </row>
    <row r="150" spans="1:65" s="51" customFormat="1" ht="30" customHeight="1" thickBot="1" x14ac:dyDescent="0.35">
      <c r="A150" s="46"/>
      <c r="B150" s="70" t="s">
        <v>148</v>
      </c>
      <c r="C150" s="69" t="s">
        <v>119</v>
      </c>
      <c r="D150" s="68">
        <v>0</v>
      </c>
      <c r="E150" s="67"/>
      <c r="F150" s="67"/>
      <c r="G150" s="61"/>
      <c r="H150" s="61" t="str">
        <f t="shared" si="12"/>
        <v/>
      </c>
      <c r="I150" s="66"/>
      <c r="J150" s="60"/>
      <c r="K150" s="60"/>
      <c r="L150" s="60"/>
      <c r="M150" s="60"/>
      <c r="N150" s="60"/>
      <c r="O150" s="60"/>
      <c r="P150" s="60"/>
      <c r="Q150" s="60"/>
      <c r="R150" s="60"/>
      <c r="S150" s="60"/>
      <c r="T150" s="60"/>
      <c r="U150" s="60"/>
      <c r="V150" s="60"/>
      <c r="W150" s="60"/>
      <c r="X150" s="60"/>
      <c r="Y150" s="60"/>
      <c r="Z150" s="60"/>
      <c r="AA150" s="60"/>
      <c r="AB150" s="60"/>
      <c r="AC150" s="60"/>
      <c r="AD150" s="60"/>
      <c r="AE150" s="60"/>
      <c r="AF150" s="60"/>
      <c r="AG150" s="60"/>
      <c r="AH150" s="60"/>
      <c r="AI150" s="60"/>
      <c r="AJ150" s="60"/>
      <c r="AK150" s="60"/>
      <c r="AL150" s="60"/>
      <c r="AM150" s="60"/>
      <c r="AN150" s="60"/>
      <c r="AO150" s="60"/>
      <c r="AP150" s="60"/>
      <c r="AQ150" s="60"/>
      <c r="AR150" s="60"/>
      <c r="AS150" s="60"/>
      <c r="AT150" s="60"/>
      <c r="AU150" s="60"/>
      <c r="AV150" s="60"/>
      <c r="AW150" s="60"/>
      <c r="AX150" s="60"/>
      <c r="AY150" s="60"/>
      <c r="AZ150" s="60"/>
      <c r="BA150" s="60"/>
      <c r="BB150" s="60"/>
      <c r="BC150" s="60"/>
      <c r="BD150" s="60"/>
      <c r="BE150" s="60"/>
      <c r="BF150" s="60"/>
      <c r="BG150" s="60"/>
      <c r="BH150" s="60"/>
      <c r="BI150" s="60"/>
      <c r="BJ150" s="60"/>
      <c r="BK150" s="60"/>
      <c r="BL150" s="60"/>
      <c r="BM150" s="60"/>
    </row>
    <row r="151" spans="1:65" s="51" customFormat="1" ht="30" customHeight="1" thickBot="1" x14ac:dyDescent="0.35">
      <c r="A151" s="46"/>
      <c r="B151" s="70" t="s">
        <v>147</v>
      </c>
      <c r="C151" s="69" t="s">
        <v>119</v>
      </c>
      <c r="D151" s="68">
        <v>0</v>
      </c>
      <c r="E151" s="67"/>
      <c r="F151" s="67"/>
      <c r="G151" s="61"/>
      <c r="H151" s="61" t="str">
        <f t="shared" si="12"/>
        <v/>
      </c>
      <c r="I151" s="66"/>
      <c r="J151" s="60"/>
      <c r="K151" s="60"/>
      <c r="L151" s="60"/>
      <c r="M151" s="60"/>
      <c r="N151" s="60"/>
      <c r="O151" s="60"/>
      <c r="P151" s="60"/>
      <c r="Q151" s="60"/>
      <c r="R151" s="60"/>
      <c r="S151" s="60"/>
      <c r="T151" s="60"/>
      <c r="U151" s="60"/>
      <c r="V151" s="60"/>
      <c r="W151" s="60"/>
      <c r="X151" s="60"/>
      <c r="Y151" s="60"/>
      <c r="Z151" s="60"/>
      <c r="AA151" s="60"/>
      <c r="AB151" s="60"/>
      <c r="AC151" s="60"/>
      <c r="AD151" s="60"/>
      <c r="AE151" s="60"/>
      <c r="AF151" s="60"/>
      <c r="AG151" s="60"/>
      <c r="AH151" s="60"/>
      <c r="AI151" s="60"/>
      <c r="AJ151" s="60"/>
      <c r="AK151" s="60"/>
      <c r="AL151" s="60"/>
      <c r="AM151" s="60"/>
      <c r="AN151" s="60"/>
      <c r="AO151" s="60"/>
      <c r="AP151" s="60"/>
      <c r="AQ151" s="60"/>
      <c r="AR151" s="60"/>
      <c r="AS151" s="60"/>
      <c r="AT151" s="60"/>
      <c r="AU151" s="60"/>
      <c r="AV151" s="60"/>
      <c r="AW151" s="60"/>
      <c r="AX151" s="60"/>
      <c r="AY151" s="60"/>
      <c r="AZ151" s="60"/>
      <c r="BA151" s="60"/>
      <c r="BB151" s="60"/>
      <c r="BC151" s="60"/>
      <c r="BD151" s="60"/>
      <c r="BE151" s="60"/>
      <c r="BF151" s="60"/>
      <c r="BG151" s="60"/>
      <c r="BH151" s="60"/>
      <c r="BI151" s="60"/>
      <c r="BJ151" s="60"/>
      <c r="BK151" s="60"/>
      <c r="BL151" s="60"/>
      <c r="BM151" s="60"/>
    </row>
    <row r="152" spans="1:65" s="51" customFormat="1" ht="30" customHeight="1" thickBot="1" x14ac:dyDescent="0.35">
      <c r="A152" s="46"/>
      <c r="B152" s="70" t="s">
        <v>146</v>
      </c>
      <c r="C152" s="69" t="s">
        <v>119</v>
      </c>
      <c r="D152" s="68">
        <v>0</v>
      </c>
      <c r="E152" s="67"/>
      <c r="F152" s="67"/>
      <c r="G152" s="61"/>
      <c r="H152" s="61" t="str">
        <f t="shared" si="12"/>
        <v/>
      </c>
      <c r="I152" s="66"/>
      <c r="J152" s="60"/>
      <c r="K152" s="60"/>
      <c r="L152" s="60"/>
      <c r="M152" s="60"/>
      <c r="N152" s="60"/>
      <c r="O152" s="60"/>
      <c r="P152" s="60"/>
      <c r="Q152" s="60"/>
      <c r="R152" s="60"/>
      <c r="S152" s="60"/>
      <c r="T152" s="60"/>
      <c r="U152" s="60"/>
      <c r="V152" s="60"/>
      <c r="W152" s="60"/>
      <c r="X152" s="60"/>
      <c r="Y152" s="60"/>
      <c r="Z152" s="60"/>
      <c r="AA152" s="60"/>
      <c r="AB152" s="60"/>
      <c r="AC152" s="60"/>
      <c r="AD152" s="60"/>
      <c r="AE152" s="60"/>
      <c r="AF152" s="60"/>
      <c r="AG152" s="60"/>
      <c r="AH152" s="60"/>
      <c r="AI152" s="60"/>
      <c r="AJ152" s="60"/>
      <c r="AK152" s="60"/>
      <c r="AL152" s="60"/>
      <c r="AM152" s="60"/>
      <c r="AN152" s="60"/>
      <c r="AO152" s="60"/>
      <c r="AP152" s="60"/>
      <c r="AQ152" s="60"/>
      <c r="AR152" s="60"/>
      <c r="AS152" s="60"/>
      <c r="AT152" s="60"/>
      <c r="AU152" s="60"/>
      <c r="AV152" s="60"/>
      <c r="AW152" s="60"/>
      <c r="AX152" s="60"/>
      <c r="AY152" s="60"/>
      <c r="AZ152" s="60"/>
      <c r="BA152" s="60"/>
      <c r="BB152" s="60"/>
      <c r="BC152" s="60"/>
      <c r="BD152" s="60"/>
      <c r="BE152" s="60"/>
      <c r="BF152" s="60"/>
      <c r="BG152" s="60"/>
      <c r="BH152" s="60"/>
      <c r="BI152" s="60"/>
      <c r="BJ152" s="60"/>
      <c r="BK152" s="60"/>
      <c r="BL152" s="60"/>
      <c r="BM152" s="60"/>
    </row>
    <row r="153" spans="1:65" s="51" customFormat="1" ht="30" customHeight="1" thickBot="1" x14ac:dyDescent="0.35">
      <c r="A153" s="46"/>
      <c r="B153" s="70" t="s">
        <v>145</v>
      </c>
      <c r="C153" s="69" t="s">
        <v>119</v>
      </c>
      <c r="D153" s="68">
        <v>0</v>
      </c>
      <c r="E153" s="67"/>
      <c r="F153" s="67"/>
      <c r="G153" s="61"/>
      <c r="H153" s="61" t="str">
        <f t="shared" si="12"/>
        <v/>
      </c>
      <c r="I153" s="66"/>
      <c r="J153" s="60"/>
      <c r="K153" s="60"/>
      <c r="L153" s="60"/>
      <c r="M153" s="60"/>
      <c r="N153" s="60"/>
      <c r="O153" s="60"/>
      <c r="P153" s="60"/>
      <c r="Q153" s="60"/>
      <c r="R153" s="60"/>
      <c r="S153" s="60"/>
      <c r="T153" s="60"/>
      <c r="U153" s="60"/>
      <c r="V153" s="60"/>
      <c r="W153" s="60"/>
      <c r="X153" s="60"/>
      <c r="Y153" s="60"/>
      <c r="Z153" s="60"/>
      <c r="AA153" s="60"/>
      <c r="AB153" s="60"/>
      <c r="AC153" s="60"/>
      <c r="AD153" s="60"/>
      <c r="AE153" s="60"/>
      <c r="AF153" s="60"/>
      <c r="AG153" s="60"/>
      <c r="AH153" s="60"/>
      <c r="AI153" s="60"/>
      <c r="AJ153" s="60"/>
      <c r="AK153" s="60"/>
      <c r="AL153" s="60"/>
      <c r="AM153" s="60"/>
      <c r="AN153" s="60"/>
      <c r="AO153" s="60"/>
      <c r="AP153" s="60"/>
      <c r="AQ153" s="60"/>
      <c r="AR153" s="60"/>
      <c r="AS153" s="60"/>
      <c r="AT153" s="60"/>
      <c r="AU153" s="60"/>
      <c r="AV153" s="60"/>
      <c r="AW153" s="60"/>
      <c r="AX153" s="60"/>
      <c r="AY153" s="60"/>
      <c r="AZ153" s="60"/>
      <c r="BA153" s="60"/>
      <c r="BB153" s="60"/>
      <c r="BC153" s="60"/>
      <c r="BD153" s="60"/>
      <c r="BE153" s="60"/>
      <c r="BF153" s="60"/>
      <c r="BG153" s="60"/>
      <c r="BH153" s="60"/>
      <c r="BI153" s="60"/>
      <c r="BJ153" s="60"/>
      <c r="BK153" s="60"/>
      <c r="BL153" s="60"/>
      <c r="BM153" s="60"/>
    </row>
    <row r="154" spans="1:65" s="51" customFormat="1" ht="30" customHeight="1" thickBot="1" x14ac:dyDescent="0.35">
      <c r="A154" s="46"/>
      <c r="B154" s="70" t="s">
        <v>144</v>
      </c>
      <c r="C154" s="69" t="s">
        <v>119</v>
      </c>
      <c r="D154" s="68">
        <v>0</v>
      </c>
      <c r="E154" s="67"/>
      <c r="F154" s="67"/>
      <c r="G154" s="61"/>
      <c r="H154" s="61" t="str">
        <f t="shared" si="12"/>
        <v/>
      </c>
      <c r="I154" s="66"/>
      <c r="J154" s="60"/>
      <c r="K154" s="60"/>
      <c r="L154" s="60"/>
      <c r="M154" s="60"/>
      <c r="N154" s="60"/>
      <c r="O154" s="60"/>
      <c r="P154" s="60"/>
      <c r="Q154" s="60"/>
      <c r="R154" s="60"/>
      <c r="S154" s="60"/>
      <c r="T154" s="60"/>
      <c r="U154" s="60"/>
      <c r="V154" s="60"/>
      <c r="W154" s="60"/>
      <c r="X154" s="60"/>
      <c r="Y154" s="60"/>
      <c r="Z154" s="60"/>
      <c r="AA154" s="60"/>
      <c r="AB154" s="60"/>
      <c r="AC154" s="60"/>
      <c r="AD154" s="60"/>
      <c r="AE154" s="60"/>
      <c r="AF154" s="60"/>
      <c r="AG154" s="60"/>
      <c r="AH154" s="60"/>
      <c r="AI154" s="60"/>
      <c r="AJ154" s="60"/>
      <c r="AK154" s="60"/>
      <c r="AL154" s="60"/>
      <c r="AM154" s="60"/>
      <c r="AN154" s="60"/>
      <c r="AO154" s="60"/>
      <c r="AP154" s="60"/>
      <c r="AQ154" s="60"/>
      <c r="AR154" s="60"/>
      <c r="AS154" s="60"/>
      <c r="AT154" s="60"/>
      <c r="AU154" s="60"/>
      <c r="AV154" s="60"/>
      <c r="AW154" s="60"/>
      <c r="AX154" s="60"/>
      <c r="AY154" s="60"/>
      <c r="AZ154" s="60"/>
      <c r="BA154" s="60"/>
      <c r="BB154" s="60"/>
      <c r="BC154" s="60"/>
      <c r="BD154" s="60"/>
      <c r="BE154" s="60"/>
      <c r="BF154" s="60"/>
      <c r="BG154" s="60"/>
      <c r="BH154" s="60"/>
      <c r="BI154" s="60"/>
      <c r="BJ154" s="60"/>
      <c r="BK154" s="60"/>
      <c r="BL154" s="60"/>
      <c r="BM154" s="60"/>
    </row>
    <row r="155" spans="1:65" s="51" customFormat="1" ht="30" customHeight="1" thickBot="1" x14ac:dyDescent="0.35">
      <c r="A155" s="46"/>
      <c r="B155" s="70" t="s">
        <v>143</v>
      </c>
      <c r="C155" s="69" t="s">
        <v>119</v>
      </c>
      <c r="D155" s="68">
        <v>0</v>
      </c>
      <c r="E155" s="67"/>
      <c r="F155" s="67"/>
      <c r="G155" s="61"/>
      <c r="H155" s="61" t="str">
        <f t="shared" si="12"/>
        <v/>
      </c>
      <c r="I155" s="66"/>
      <c r="J155" s="60"/>
      <c r="K155" s="60"/>
      <c r="L155" s="60"/>
      <c r="M155" s="60"/>
      <c r="N155" s="60"/>
      <c r="O155" s="60"/>
      <c r="P155" s="60"/>
      <c r="Q155" s="60"/>
      <c r="R155" s="60"/>
      <c r="S155" s="60"/>
      <c r="T155" s="60"/>
      <c r="U155" s="60"/>
      <c r="V155" s="60"/>
      <c r="W155" s="60"/>
      <c r="X155" s="60"/>
      <c r="Y155" s="60"/>
      <c r="Z155" s="60"/>
      <c r="AA155" s="60"/>
      <c r="AB155" s="60"/>
      <c r="AC155" s="60"/>
      <c r="AD155" s="60"/>
      <c r="AE155" s="60"/>
      <c r="AF155" s="60"/>
      <c r="AG155" s="60"/>
      <c r="AH155" s="60"/>
      <c r="AI155" s="60"/>
      <c r="AJ155" s="60"/>
      <c r="AK155" s="60"/>
      <c r="AL155" s="60"/>
      <c r="AM155" s="60"/>
      <c r="AN155" s="60"/>
      <c r="AO155" s="60"/>
      <c r="AP155" s="60"/>
      <c r="AQ155" s="60"/>
      <c r="AR155" s="60"/>
      <c r="AS155" s="60"/>
      <c r="AT155" s="60"/>
      <c r="AU155" s="60"/>
      <c r="AV155" s="60"/>
      <c r="AW155" s="60"/>
      <c r="AX155" s="60"/>
      <c r="AY155" s="60"/>
      <c r="AZ155" s="60"/>
      <c r="BA155" s="60"/>
      <c r="BB155" s="60"/>
      <c r="BC155" s="60"/>
      <c r="BD155" s="60"/>
      <c r="BE155" s="60"/>
      <c r="BF155" s="60"/>
      <c r="BG155" s="60"/>
      <c r="BH155" s="60"/>
      <c r="BI155" s="60"/>
      <c r="BJ155" s="60"/>
      <c r="BK155" s="60"/>
      <c r="BL155" s="60"/>
      <c r="BM155" s="60"/>
    </row>
    <row r="156" spans="1:65" s="51" customFormat="1" ht="30" customHeight="1" thickBot="1" x14ac:dyDescent="0.35">
      <c r="A156" s="46"/>
      <c r="B156" s="70" t="s">
        <v>142</v>
      </c>
      <c r="C156" s="69" t="s">
        <v>119</v>
      </c>
      <c r="D156" s="68">
        <v>0</v>
      </c>
      <c r="E156" s="67"/>
      <c r="F156" s="67"/>
      <c r="G156" s="61"/>
      <c r="H156" s="61" t="str">
        <f t="shared" si="12"/>
        <v/>
      </c>
      <c r="I156" s="66"/>
      <c r="J156" s="60"/>
      <c r="K156" s="60"/>
      <c r="L156" s="60"/>
      <c r="M156" s="60"/>
      <c r="N156" s="60"/>
      <c r="O156" s="60"/>
      <c r="P156" s="60"/>
      <c r="Q156" s="60"/>
      <c r="R156" s="60"/>
      <c r="S156" s="60"/>
      <c r="T156" s="60"/>
      <c r="U156" s="60"/>
      <c r="V156" s="60"/>
      <c r="W156" s="60"/>
      <c r="X156" s="60"/>
      <c r="Y156" s="60"/>
      <c r="Z156" s="60"/>
      <c r="AA156" s="60"/>
      <c r="AB156" s="60"/>
      <c r="AC156" s="60"/>
      <c r="AD156" s="60"/>
      <c r="AE156" s="60"/>
      <c r="AF156" s="60"/>
      <c r="AG156" s="60"/>
      <c r="AH156" s="60"/>
      <c r="AI156" s="60"/>
      <c r="AJ156" s="60"/>
      <c r="AK156" s="60"/>
      <c r="AL156" s="60"/>
      <c r="AM156" s="60"/>
      <c r="AN156" s="60"/>
      <c r="AO156" s="60"/>
      <c r="AP156" s="60"/>
      <c r="AQ156" s="60"/>
      <c r="AR156" s="60"/>
      <c r="AS156" s="60"/>
      <c r="AT156" s="60"/>
      <c r="AU156" s="60"/>
      <c r="AV156" s="60"/>
      <c r="AW156" s="60"/>
      <c r="AX156" s="60"/>
      <c r="AY156" s="60"/>
      <c r="AZ156" s="60"/>
      <c r="BA156" s="60"/>
      <c r="BB156" s="60"/>
      <c r="BC156" s="60"/>
      <c r="BD156" s="60"/>
      <c r="BE156" s="60"/>
      <c r="BF156" s="60"/>
      <c r="BG156" s="60"/>
      <c r="BH156" s="60"/>
      <c r="BI156" s="60"/>
      <c r="BJ156" s="60"/>
      <c r="BK156" s="60"/>
      <c r="BL156" s="60"/>
      <c r="BM156" s="60"/>
    </row>
    <row r="157" spans="1:65" s="51" customFormat="1" ht="30" customHeight="1" thickBot="1" x14ac:dyDescent="0.35">
      <c r="A157" s="46"/>
      <c r="B157" s="70" t="s">
        <v>351</v>
      </c>
      <c r="C157" s="69" t="s">
        <v>119</v>
      </c>
      <c r="D157" s="68">
        <v>0</v>
      </c>
      <c r="E157" s="67"/>
      <c r="F157" s="67"/>
      <c r="G157" s="61"/>
      <c r="H157" s="61" t="str">
        <f t="shared" si="12"/>
        <v/>
      </c>
      <c r="I157" s="66"/>
      <c r="J157" s="60"/>
      <c r="K157" s="60"/>
      <c r="L157" s="60"/>
      <c r="M157" s="60"/>
      <c r="N157" s="60"/>
      <c r="O157" s="60"/>
      <c r="P157" s="60"/>
      <c r="Q157" s="60"/>
      <c r="R157" s="60"/>
      <c r="S157" s="60"/>
      <c r="T157" s="60"/>
      <c r="U157" s="60"/>
      <c r="V157" s="60"/>
      <c r="W157" s="60"/>
      <c r="X157" s="60"/>
      <c r="Y157" s="60"/>
      <c r="Z157" s="60"/>
      <c r="AA157" s="60"/>
      <c r="AB157" s="60"/>
      <c r="AC157" s="60"/>
      <c r="AD157" s="60"/>
      <c r="AE157" s="60"/>
      <c r="AF157" s="60"/>
      <c r="AG157" s="60"/>
      <c r="AH157" s="60"/>
      <c r="AI157" s="60"/>
      <c r="AJ157" s="60"/>
      <c r="AK157" s="60"/>
      <c r="AL157" s="60"/>
      <c r="AM157" s="60"/>
      <c r="AN157" s="60"/>
      <c r="AO157" s="60"/>
      <c r="AP157" s="60"/>
      <c r="AQ157" s="60"/>
      <c r="AR157" s="60"/>
      <c r="AS157" s="60"/>
      <c r="AT157" s="60"/>
      <c r="AU157" s="60"/>
      <c r="AV157" s="60"/>
      <c r="AW157" s="60"/>
      <c r="AX157" s="60"/>
      <c r="AY157" s="60"/>
      <c r="AZ157" s="60"/>
      <c r="BA157" s="60"/>
      <c r="BB157" s="60"/>
      <c r="BC157" s="60"/>
      <c r="BD157" s="60"/>
      <c r="BE157" s="60"/>
      <c r="BF157" s="60"/>
      <c r="BG157" s="60"/>
      <c r="BH157" s="60"/>
      <c r="BI157" s="60"/>
      <c r="BJ157" s="60"/>
      <c r="BK157" s="60"/>
      <c r="BL157" s="60"/>
      <c r="BM157" s="60"/>
    </row>
    <row r="158" spans="1:65" s="51" customFormat="1" ht="30" customHeight="1" thickBot="1" x14ac:dyDescent="0.35">
      <c r="A158" s="46"/>
      <c r="B158" s="70" t="s">
        <v>350</v>
      </c>
      <c r="C158" s="69" t="s">
        <v>119</v>
      </c>
      <c r="D158" s="68">
        <v>0.5</v>
      </c>
      <c r="E158" s="67"/>
      <c r="F158" s="67"/>
      <c r="G158" s="61"/>
      <c r="H158" s="61" t="str">
        <f t="shared" si="12"/>
        <v/>
      </c>
      <c r="I158" s="66"/>
      <c r="J158" s="60"/>
      <c r="K158" s="60"/>
      <c r="L158" s="60"/>
      <c r="M158" s="60"/>
      <c r="N158" s="60"/>
      <c r="O158" s="60"/>
      <c r="P158" s="60"/>
      <c r="Q158" s="60"/>
      <c r="R158" s="60"/>
      <c r="S158" s="60"/>
      <c r="T158" s="60"/>
      <c r="U158" s="60"/>
      <c r="V158" s="60"/>
      <c r="W158" s="60"/>
      <c r="X158" s="60"/>
      <c r="Y158" s="60"/>
      <c r="Z158" s="60"/>
      <c r="AA158" s="60"/>
      <c r="AB158" s="60"/>
      <c r="AC158" s="60"/>
      <c r="AD158" s="60"/>
      <c r="AE158" s="60"/>
      <c r="AF158" s="60"/>
      <c r="AG158" s="60"/>
      <c r="AH158" s="60"/>
      <c r="AI158" s="60"/>
      <c r="AJ158" s="60"/>
      <c r="AK158" s="60"/>
      <c r="AL158" s="60"/>
      <c r="AM158" s="60"/>
      <c r="AN158" s="60"/>
      <c r="AO158" s="60"/>
      <c r="AP158" s="60"/>
      <c r="AQ158" s="60"/>
      <c r="AR158" s="60"/>
      <c r="AS158" s="60"/>
      <c r="AT158" s="60"/>
      <c r="AU158" s="60"/>
      <c r="AV158" s="60"/>
      <c r="AW158" s="60"/>
      <c r="AX158" s="60"/>
      <c r="AY158" s="60"/>
      <c r="AZ158" s="60"/>
      <c r="BA158" s="60"/>
      <c r="BB158" s="60"/>
      <c r="BC158" s="60"/>
      <c r="BD158" s="60"/>
      <c r="BE158" s="60"/>
      <c r="BF158" s="60"/>
      <c r="BG158" s="60"/>
      <c r="BH158" s="60"/>
      <c r="BI158" s="60"/>
      <c r="BJ158" s="60"/>
      <c r="BK158" s="60"/>
      <c r="BL158" s="60"/>
      <c r="BM158" s="60"/>
    </row>
    <row r="159" spans="1:65" s="51" customFormat="1" ht="30" customHeight="1" thickBot="1" x14ac:dyDescent="0.35">
      <c r="A159" s="46"/>
      <c r="B159" s="70" t="s">
        <v>352</v>
      </c>
      <c r="C159" s="69" t="s">
        <v>119</v>
      </c>
      <c r="D159" s="68">
        <v>0.3</v>
      </c>
      <c r="E159" s="67"/>
      <c r="F159" s="67"/>
      <c r="G159" s="61"/>
      <c r="H159" s="61" t="str">
        <f t="shared" si="12"/>
        <v/>
      </c>
      <c r="I159" s="66" t="s">
        <v>353</v>
      </c>
      <c r="J159" s="60"/>
      <c r="K159" s="60"/>
      <c r="L159" s="60"/>
      <c r="M159" s="60"/>
      <c r="N159" s="60"/>
      <c r="O159" s="60"/>
      <c r="P159" s="60"/>
      <c r="Q159" s="60"/>
      <c r="R159" s="60"/>
      <c r="S159" s="60"/>
      <c r="T159" s="60"/>
      <c r="U159" s="60"/>
      <c r="V159" s="60"/>
      <c r="W159" s="60"/>
      <c r="X159" s="60"/>
      <c r="Y159" s="60"/>
      <c r="Z159" s="60"/>
      <c r="AA159" s="60"/>
      <c r="AB159" s="60"/>
      <c r="AC159" s="60"/>
      <c r="AD159" s="60"/>
      <c r="AE159" s="60"/>
      <c r="AF159" s="60"/>
      <c r="AG159" s="60"/>
      <c r="AH159" s="60"/>
      <c r="AI159" s="60"/>
      <c r="AJ159" s="60"/>
      <c r="AK159" s="60"/>
      <c r="AL159" s="60"/>
      <c r="AM159" s="60"/>
      <c r="AN159" s="60"/>
      <c r="AO159" s="60"/>
      <c r="AP159" s="60"/>
      <c r="AQ159" s="60"/>
      <c r="AR159" s="60"/>
      <c r="AS159" s="60"/>
      <c r="AT159" s="60"/>
      <c r="AU159" s="60"/>
      <c r="AV159" s="60"/>
      <c r="AW159" s="60"/>
      <c r="AX159" s="60"/>
      <c r="AY159" s="60"/>
      <c r="AZ159" s="60"/>
      <c r="BA159" s="60"/>
      <c r="BB159" s="60"/>
      <c r="BC159" s="60"/>
      <c r="BD159" s="60"/>
      <c r="BE159" s="60"/>
      <c r="BF159" s="60"/>
      <c r="BG159" s="60"/>
      <c r="BH159" s="60"/>
      <c r="BI159" s="60"/>
      <c r="BJ159" s="60"/>
      <c r="BK159" s="60"/>
      <c r="BL159" s="60"/>
      <c r="BM159" s="60"/>
    </row>
    <row r="160" spans="1:65" s="51" customFormat="1" ht="30" customHeight="1" thickBot="1" x14ac:dyDescent="0.35">
      <c r="A160" s="46"/>
      <c r="B160" s="70" t="s">
        <v>141</v>
      </c>
      <c r="C160" s="69" t="s">
        <v>119</v>
      </c>
      <c r="D160" s="68">
        <v>0.7</v>
      </c>
      <c r="E160" s="67"/>
      <c r="F160" s="67"/>
      <c r="G160" s="61"/>
      <c r="H160" s="61" t="str">
        <f t="shared" si="12"/>
        <v/>
      </c>
      <c r="I160" s="66"/>
      <c r="J160" s="60"/>
      <c r="K160" s="60"/>
      <c r="L160" s="60"/>
      <c r="M160" s="60"/>
      <c r="N160" s="60"/>
      <c r="O160" s="60"/>
      <c r="P160" s="60"/>
      <c r="Q160" s="60"/>
      <c r="R160" s="60"/>
      <c r="S160" s="60"/>
      <c r="T160" s="60"/>
      <c r="U160" s="60"/>
      <c r="V160" s="60"/>
      <c r="W160" s="60"/>
      <c r="X160" s="60"/>
      <c r="Y160" s="60"/>
      <c r="Z160" s="60"/>
      <c r="AA160" s="60"/>
      <c r="AB160" s="60"/>
      <c r="AC160" s="60"/>
      <c r="AD160" s="60"/>
      <c r="AE160" s="60"/>
      <c r="AF160" s="60"/>
      <c r="AG160" s="60"/>
      <c r="AH160" s="60"/>
      <c r="AI160" s="60"/>
      <c r="AJ160" s="60"/>
      <c r="AK160" s="60"/>
      <c r="AL160" s="60"/>
      <c r="AM160" s="60"/>
      <c r="AN160" s="60"/>
      <c r="AO160" s="60"/>
      <c r="AP160" s="60"/>
      <c r="AQ160" s="60"/>
      <c r="AR160" s="60"/>
      <c r="AS160" s="60"/>
      <c r="AT160" s="60"/>
      <c r="AU160" s="60"/>
      <c r="AV160" s="60"/>
      <c r="AW160" s="60"/>
      <c r="AX160" s="60"/>
      <c r="AY160" s="60"/>
      <c r="AZ160" s="60"/>
      <c r="BA160" s="60"/>
      <c r="BB160" s="60"/>
      <c r="BC160" s="60"/>
      <c r="BD160" s="60"/>
      <c r="BE160" s="60"/>
      <c r="BF160" s="60"/>
      <c r="BG160" s="60"/>
      <c r="BH160" s="60"/>
      <c r="BI160" s="60"/>
      <c r="BJ160" s="60"/>
      <c r="BK160" s="60"/>
      <c r="BL160" s="60"/>
      <c r="BM160" s="60"/>
    </row>
    <row r="161" spans="1:65" s="51" customFormat="1" ht="30" customHeight="1" thickBot="1" x14ac:dyDescent="0.35">
      <c r="A161" s="46"/>
      <c r="B161" s="70" t="s">
        <v>140</v>
      </c>
      <c r="C161" s="69" t="s">
        <v>119</v>
      </c>
      <c r="D161" s="68">
        <v>0.6</v>
      </c>
      <c r="E161" s="67"/>
      <c r="F161" s="67"/>
      <c r="G161" s="61"/>
      <c r="H161" s="61" t="str">
        <f t="shared" si="12"/>
        <v/>
      </c>
      <c r="I161" s="66" t="s">
        <v>354</v>
      </c>
      <c r="J161" s="60"/>
      <c r="K161" s="60"/>
      <c r="L161" s="60"/>
      <c r="M161" s="60"/>
      <c r="N161" s="60"/>
      <c r="O161" s="60"/>
      <c r="P161" s="60"/>
      <c r="Q161" s="60"/>
      <c r="R161" s="60"/>
      <c r="S161" s="60"/>
      <c r="T161" s="60"/>
      <c r="U161" s="60"/>
      <c r="V161" s="60"/>
      <c r="W161" s="60"/>
      <c r="X161" s="60"/>
      <c r="Y161" s="60"/>
      <c r="Z161" s="60"/>
      <c r="AA161" s="60"/>
      <c r="AB161" s="60"/>
      <c r="AC161" s="60"/>
      <c r="AD161" s="60"/>
      <c r="AE161" s="60"/>
      <c r="AF161" s="60"/>
      <c r="AG161" s="60"/>
      <c r="AH161" s="60"/>
      <c r="AI161" s="60"/>
      <c r="AJ161" s="60"/>
      <c r="AK161" s="60"/>
      <c r="AL161" s="60"/>
      <c r="AM161" s="60"/>
      <c r="AN161" s="60"/>
      <c r="AO161" s="60"/>
      <c r="AP161" s="60"/>
      <c r="AQ161" s="60"/>
      <c r="AR161" s="60"/>
      <c r="AS161" s="60"/>
      <c r="AT161" s="60"/>
      <c r="AU161" s="60"/>
      <c r="AV161" s="60"/>
      <c r="AW161" s="60"/>
      <c r="AX161" s="60"/>
      <c r="AY161" s="60"/>
      <c r="AZ161" s="60"/>
      <c r="BA161" s="60"/>
      <c r="BB161" s="60"/>
      <c r="BC161" s="60"/>
      <c r="BD161" s="60"/>
      <c r="BE161" s="60"/>
      <c r="BF161" s="60"/>
      <c r="BG161" s="60"/>
      <c r="BH161" s="60"/>
      <c r="BI161" s="60"/>
      <c r="BJ161" s="60"/>
      <c r="BK161" s="60"/>
      <c r="BL161" s="60"/>
      <c r="BM161" s="60"/>
    </row>
    <row r="162" spans="1:65" s="51" customFormat="1" ht="30" customHeight="1" thickBot="1" x14ac:dyDescent="0.35">
      <c r="A162" s="46"/>
      <c r="B162" s="70" t="s">
        <v>139</v>
      </c>
      <c r="C162" s="69" t="s">
        <v>119</v>
      </c>
      <c r="D162" s="68">
        <v>0.4</v>
      </c>
      <c r="E162" s="67"/>
      <c r="F162" s="67"/>
      <c r="G162" s="61"/>
      <c r="H162" s="61" t="str">
        <f t="shared" si="12"/>
        <v/>
      </c>
      <c r="I162" s="66"/>
      <c r="J162" s="60"/>
      <c r="K162" s="60"/>
      <c r="L162" s="60"/>
      <c r="M162" s="60"/>
      <c r="N162" s="60"/>
      <c r="O162" s="60"/>
      <c r="P162" s="60"/>
      <c r="Q162" s="60"/>
      <c r="R162" s="60"/>
      <c r="S162" s="60"/>
      <c r="T162" s="60"/>
      <c r="U162" s="60"/>
      <c r="V162" s="60"/>
      <c r="W162" s="60"/>
      <c r="X162" s="60"/>
      <c r="Y162" s="60"/>
      <c r="Z162" s="60"/>
      <c r="AA162" s="60"/>
      <c r="AB162" s="60"/>
      <c r="AC162" s="60"/>
      <c r="AD162" s="60"/>
      <c r="AE162" s="60"/>
      <c r="AF162" s="60"/>
      <c r="AG162" s="60"/>
      <c r="AH162" s="60"/>
      <c r="AI162" s="60"/>
      <c r="AJ162" s="60"/>
      <c r="AK162" s="60"/>
      <c r="AL162" s="60"/>
      <c r="AM162" s="60"/>
      <c r="AN162" s="60"/>
      <c r="AO162" s="60"/>
      <c r="AP162" s="60"/>
      <c r="AQ162" s="60"/>
      <c r="AR162" s="60"/>
      <c r="AS162" s="60"/>
      <c r="AT162" s="60"/>
      <c r="AU162" s="60"/>
      <c r="AV162" s="60"/>
      <c r="AW162" s="60"/>
      <c r="AX162" s="60"/>
      <c r="AY162" s="60"/>
      <c r="AZ162" s="60"/>
      <c r="BA162" s="60"/>
      <c r="BB162" s="60"/>
      <c r="BC162" s="60"/>
      <c r="BD162" s="60"/>
      <c r="BE162" s="60"/>
      <c r="BF162" s="60"/>
      <c r="BG162" s="60"/>
      <c r="BH162" s="60"/>
      <c r="BI162" s="60"/>
      <c r="BJ162" s="60"/>
      <c r="BK162" s="60"/>
      <c r="BL162" s="60"/>
      <c r="BM162" s="60"/>
    </row>
    <row r="163" spans="1:65" s="51" customFormat="1" ht="30" customHeight="1" thickBot="1" x14ac:dyDescent="0.35">
      <c r="A163" s="46"/>
      <c r="B163" s="70" t="s">
        <v>138</v>
      </c>
      <c r="C163" s="69" t="s">
        <v>119</v>
      </c>
      <c r="D163" s="68">
        <v>0.4</v>
      </c>
      <c r="E163" s="67"/>
      <c r="F163" s="67"/>
      <c r="G163" s="61"/>
      <c r="H163" s="61" t="str">
        <f t="shared" si="12"/>
        <v/>
      </c>
      <c r="I163" s="66"/>
      <c r="J163" s="60"/>
      <c r="K163" s="60"/>
      <c r="L163" s="60"/>
      <c r="M163" s="60"/>
      <c r="N163" s="60"/>
      <c r="O163" s="60"/>
      <c r="P163" s="60"/>
      <c r="Q163" s="60"/>
      <c r="R163" s="60"/>
      <c r="S163" s="60"/>
      <c r="T163" s="60"/>
      <c r="U163" s="60"/>
      <c r="V163" s="60"/>
      <c r="W163" s="60"/>
      <c r="X163" s="60"/>
      <c r="Y163" s="60"/>
      <c r="Z163" s="60"/>
      <c r="AA163" s="60"/>
      <c r="AB163" s="60"/>
      <c r="AC163" s="60"/>
      <c r="AD163" s="60"/>
      <c r="AE163" s="60"/>
      <c r="AF163" s="60"/>
      <c r="AG163" s="60"/>
      <c r="AH163" s="60"/>
      <c r="AI163" s="60"/>
      <c r="AJ163" s="60"/>
      <c r="AK163" s="60"/>
      <c r="AL163" s="60"/>
      <c r="AM163" s="60"/>
      <c r="AN163" s="60"/>
      <c r="AO163" s="60"/>
      <c r="AP163" s="60"/>
      <c r="AQ163" s="60"/>
      <c r="AR163" s="60"/>
      <c r="AS163" s="60"/>
      <c r="AT163" s="60"/>
      <c r="AU163" s="60"/>
      <c r="AV163" s="60"/>
      <c r="AW163" s="60"/>
      <c r="AX163" s="60"/>
      <c r="AY163" s="60"/>
      <c r="AZ163" s="60"/>
      <c r="BA163" s="60"/>
      <c r="BB163" s="60"/>
      <c r="BC163" s="60"/>
      <c r="BD163" s="60"/>
      <c r="BE163" s="60"/>
      <c r="BF163" s="60"/>
      <c r="BG163" s="60"/>
      <c r="BH163" s="60"/>
      <c r="BI163" s="60"/>
      <c r="BJ163" s="60"/>
      <c r="BK163" s="60"/>
      <c r="BL163" s="60"/>
      <c r="BM163" s="60"/>
    </row>
    <row r="164" spans="1:65" s="51" customFormat="1" ht="30" customHeight="1" thickBot="1" x14ac:dyDescent="0.35">
      <c r="A164" s="46"/>
      <c r="B164" s="70" t="s">
        <v>137</v>
      </c>
      <c r="C164" s="69" t="s">
        <v>119</v>
      </c>
      <c r="D164" s="68">
        <v>0</v>
      </c>
      <c r="E164" s="67"/>
      <c r="F164" s="67"/>
      <c r="G164" s="61"/>
      <c r="H164" s="61" t="str">
        <f t="shared" si="12"/>
        <v/>
      </c>
      <c r="I164" s="66"/>
      <c r="J164" s="60"/>
      <c r="K164" s="60"/>
      <c r="L164" s="60"/>
      <c r="M164" s="60"/>
      <c r="N164" s="60"/>
      <c r="O164" s="60"/>
      <c r="P164" s="60"/>
      <c r="Q164" s="60"/>
      <c r="R164" s="60"/>
      <c r="S164" s="60"/>
      <c r="T164" s="60"/>
      <c r="U164" s="60"/>
      <c r="V164" s="60"/>
      <c r="W164" s="60"/>
      <c r="X164" s="60"/>
      <c r="Y164" s="60"/>
      <c r="Z164" s="60"/>
      <c r="AA164" s="60"/>
      <c r="AB164" s="60"/>
      <c r="AC164" s="60"/>
      <c r="AD164" s="60"/>
      <c r="AE164" s="60"/>
      <c r="AF164" s="60"/>
      <c r="AG164" s="60"/>
      <c r="AH164" s="60"/>
      <c r="AI164" s="60"/>
      <c r="AJ164" s="60"/>
      <c r="AK164" s="60"/>
      <c r="AL164" s="60"/>
      <c r="AM164" s="60"/>
      <c r="AN164" s="60"/>
      <c r="AO164" s="60"/>
      <c r="AP164" s="60"/>
      <c r="AQ164" s="60"/>
      <c r="AR164" s="60"/>
      <c r="AS164" s="60"/>
      <c r="AT164" s="60"/>
      <c r="AU164" s="60"/>
      <c r="AV164" s="60"/>
      <c r="AW164" s="60"/>
      <c r="AX164" s="60"/>
      <c r="AY164" s="60"/>
      <c r="AZ164" s="60"/>
      <c r="BA164" s="60"/>
      <c r="BB164" s="60"/>
      <c r="BC164" s="60"/>
      <c r="BD164" s="60"/>
      <c r="BE164" s="60"/>
      <c r="BF164" s="60"/>
      <c r="BG164" s="60"/>
      <c r="BH164" s="60"/>
      <c r="BI164" s="60"/>
      <c r="BJ164" s="60"/>
      <c r="BK164" s="60"/>
      <c r="BL164" s="60"/>
      <c r="BM164" s="60"/>
    </row>
    <row r="165" spans="1:65" s="51" customFormat="1" ht="30" customHeight="1" thickBot="1" x14ac:dyDescent="0.35">
      <c r="A165" s="46"/>
      <c r="B165" s="70" t="s">
        <v>136</v>
      </c>
      <c r="C165" s="69" t="s">
        <v>119</v>
      </c>
      <c r="D165" s="68">
        <v>0.7</v>
      </c>
      <c r="E165" s="67"/>
      <c r="F165" s="67"/>
      <c r="G165" s="61"/>
      <c r="H165" s="61" t="str">
        <f t="shared" si="12"/>
        <v/>
      </c>
      <c r="I165" s="66"/>
      <c r="J165" s="60"/>
      <c r="K165" s="60"/>
      <c r="L165" s="60"/>
      <c r="M165" s="60"/>
      <c r="N165" s="60"/>
      <c r="O165" s="60"/>
      <c r="P165" s="60"/>
      <c r="Q165" s="60"/>
      <c r="R165" s="60"/>
      <c r="S165" s="60"/>
      <c r="T165" s="60"/>
      <c r="U165" s="60"/>
      <c r="V165" s="60"/>
      <c r="W165" s="60"/>
      <c r="X165" s="60"/>
      <c r="Y165" s="60"/>
      <c r="Z165" s="60"/>
      <c r="AA165" s="60"/>
      <c r="AB165" s="60"/>
      <c r="AC165" s="60"/>
      <c r="AD165" s="60"/>
      <c r="AE165" s="60"/>
      <c r="AF165" s="60"/>
      <c r="AG165" s="60"/>
      <c r="AH165" s="60"/>
      <c r="AI165" s="60"/>
      <c r="AJ165" s="60"/>
      <c r="AK165" s="60"/>
      <c r="AL165" s="60"/>
      <c r="AM165" s="60"/>
      <c r="AN165" s="60"/>
      <c r="AO165" s="60"/>
      <c r="AP165" s="60"/>
      <c r="AQ165" s="60"/>
      <c r="AR165" s="60"/>
      <c r="AS165" s="60"/>
      <c r="AT165" s="60"/>
      <c r="AU165" s="60"/>
      <c r="AV165" s="60"/>
      <c r="AW165" s="60"/>
      <c r="AX165" s="60"/>
      <c r="AY165" s="60"/>
      <c r="AZ165" s="60"/>
      <c r="BA165" s="60"/>
      <c r="BB165" s="60"/>
      <c r="BC165" s="60"/>
      <c r="BD165" s="60"/>
      <c r="BE165" s="60"/>
      <c r="BF165" s="60"/>
      <c r="BG165" s="60"/>
      <c r="BH165" s="60"/>
      <c r="BI165" s="60"/>
      <c r="BJ165" s="60"/>
      <c r="BK165" s="60"/>
      <c r="BL165" s="60"/>
      <c r="BM165" s="60"/>
    </row>
    <row r="166" spans="1:65" s="51" customFormat="1" ht="30" customHeight="1" thickBot="1" x14ac:dyDescent="0.35">
      <c r="A166" s="46"/>
      <c r="B166" s="70" t="s">
        <v>135</v>
      </c>
      <c r="C166" s="69" t="s">
        <v>119</v>
      </c>
      <c r="D166" s="68">
        <v>0.6</v>
      </c>
      <c r="E166" s="67"/>
      <c r="F166" s="67"/>
      <c r="G166" s="61"/>
      <c r="H166" s="61" t="str">
        <f t="shared" si="12"/>
        <v/>
      </c>
      <c r="I166" s="66"/>
      <c r="J166" s="60"/>
      <c r="K166" s="60"/>
      <c r="L166" s="60"/>
      <c r="M166" s="60"/>
      <c r="N166" s="60"/>
      <c r="O166" s="60"/>
      <c r="P166" s="60"/>
      <c r="Q166" s="60"/>
      <c r="R166" s="60"/>
      <c r="S166" s="60"/>
      <c r="T166" s="60"/>
      <c r="U166" s="60"/>
      <c r="V166" s="60"/>
      <c r="W166" s="60"/>
      <c r="X166" s="60"/>
      <c r="Y166" s="60"/>
      <c r="Z166" s="60"/>
      <c r="AA166" s="60"/>
      <c r="AB166" s="60"/>
      <c r="AC166" s="60"/>
      <c r="AD166" s="60"/>
      <c r="AE166" s="60"/>
      <c r="AF166" s="60"/>
      <c r="AG166" s="60"/>
      <c r="AH166" s="60"/>
      <c r="AI166" s="60"/>
      <c r="AJ166" s="60"/>
      <c r="AK166" s="60"/>
      <c r="AL166" s="60"/>
      <c r="AM166" s="60"/>
      <c r="AN166" s="60"/>
      <c r="AO166" s="60"/>
      <c r="AP166" s="60"/>
      <c r="AQ166" s="60"/>
      <c r="AR166" s="60"/>
      <c r="AS166" s="60"/>
      <c r="AT166" s="60"/>
      <c r="AU166" s="60"/>
      <c r="AV166" s="60"/>
      <c r="AW166" s="60"/>
      <c r="AX166" s="60"/>
      <c r="AY166" s="60"/>
      <c r="AZ166" s="60"/>
      <c r="BA166" s="60"/>
      <c r="BB166" s="60"/>
      <c r="BC166" s="60"/>
      <c r="BD166" s="60"/>
      <c r="BE166" s="60"/>
      <c r="BF166" s="60"/>
      <c r="BG166" s="60"/>
      <c r="BH166" s="60"/>
      <c r="BI166" s="60"/>
      <c r="BJ166" s="60"/>
      <c r="BK166" s="60"/>
      <c r="BL166" s="60"/>
      <c r="BM166" s="60"/>
    </row>
    <row r="167" spans="1:65" s="51" customFormat="1" ht="30" customHeight="1" thickBot="1" x14ac:dyDescent="0.35">
      <c r="A167" s="46"/>
      <c r="B167" s="70" t="s">
        <v>134</v>
      </c>
      <c r="C167" s="69" t="s">
        <v>119</v>
      </c>
      <c r="D167" s="68">
        <v>0</v>
      </c>
      <c r="E167" s="67"/>
      <c r="F167" s="67"/>
      <c r="G167" s="61"/>
      <c r="H167" s="61" t="str">
        <f t="shared" si="12"/>
        <v/>
      </c>
      <c r="I167" s="66"/>
      <c r="J167" s="60"/>
      <c r="K167" s="60"/>
      <c r="L167" s="60"/>
      <c r="M167" s="60"/>
      <c r="N167" s="60"/>
      <c r="O167" s="60"/>
      <c r="P167" s="60"/>
      <c r="Q167" s="60"/>
      <c r="R167" s="60"/>
      <c r="S167" s="60"/>
      <c r="T167" s="60"/>
      <c r="U167" s="60"/>
      <c r="V167" s="60"/>
      <c r="W167" s="60"/>
      <c r="X167" s="60"/>
      <c r="Y167" s="60"/>
      <c r="Z167" s="60"/>
      <c r="AA167" s="60"/>
      <c r="AB167" s="60"/>
      <c r="AC167" s="60"/>
      <c r="AD167" s="60"/>
      <c r="AE167" s="60"/>
      <c r="AF167" s="60"/>
      <c r="AG167" s="60"/>
      <c r="AH167" s="60"/>
      <c r="AI167" s="60"/>
      <c r="AJ167" s="60"/>
      <c r="AK167" s="60"/>
      <c r="AL167" s="60"/>
      <c r="AM167" s="60"/>
      <c r="AN167" s="60"/>
      <c r="AO167" s="60"/>
      <c r="AP167" s="60"/>
      <c r="AQ167" s="60"/>
      <c r="AR167" s="60"/>
      <c r="AS167" s="60"/>
      <c r="AT167" s="60"/>
      <c r="AU167" s="60"/>
      <c r="AV167" s="60"/>
      <c r="AW167" s="60"/>
      <c r="AX167" s="60"/>
      <c r="AY167" s="60"/>
      <c r="AZ167" s="60"/>
      <c r="BA167" s="60"/>
      <c r="BB167" s="60"/>
      <c r="BC167" s="60"/>
      <c r="BD167" s="60"/>
      <c r="BE167" s="60"/>
      <c r="BF167" s="60"/>
      <c r="BG167" s="60"/>
      <c r="BH167" s="60"/>
      <c r="BI167" s="60"/>
      <c r="BJ167" s="60"/>
      <c r="BK167" s="60"/>
      <c r="BL167" s="60"/>
      <c r="BM167" s="60"/>
    </row>
    <row r="168" spans="1:65" s="51" customFormat="1" ht="30" customHeight="1" thickBot="1" x14ac:dyDescent="0.35">
      <c r="A168" s="46"/>
      <c r="B168" s="70" t="s">
        <v>133</v>
      </c>
      <c r="C168" s="69" t="s">
        <v>119</v>
      </c>
      <c r="D168" s="68">
        <v>0</v>
      </c>
      <c r="E168" s="67"/>
      <c r="F168" s="67"/>
      <c r="G168" s="61"/>
      <c r="H168" s="61" t="str">
        <f t="shared" si="12"/>
        <v/>
      </c>
      <c r="I168" s="66"/>
      <c r="J168" s="60"/>
      <c r="K168" s="60"/>
      <c r="L168" s="60"/>
      <c r="M168" s="60"/>
      <c r="N168" s="60"/>
      <c r="O168" s="60"/>
      <c r="P168" s="60"/>
      <c r="Q168" s="60"/>
      <c r="R168" s="60"/>
      <c r="S168" s="60"/>
      <c r="T168" s="60"/>
      <c r="U168" s="60"/>
      <c r="V168" s="60"/>
      <c r="W168" s="60"/>
      <c r="X168" s="60"/>
      <c r="Y168" s="60"/>
      <c r="Z168" s="60"/>
      <c r="AA168" s="60"/>
      <c r="AB168" s="60"/>
      <c r="AC168" s="60"/>
      <c r="AD168" s="60"/>
      <c r="AE168" s="60"/>
      <c r="AF168" s="60"/>
      <c r="AG168" s="60"/>
      <c r="AH168" s="60"/>
      <c r="AI168" s="60"/>
      <c r="AJ168" s="60"/>
      <c r="AK168" s="60"/>
      <c r="AL168" s="60"/>
      <c r="AM168" s="60"/>
      <c r="AN168" s="60"/>
      <c r="AO168" s="60"/>
      <c r="AP168" s="60"/>
      <c r="AQ168" s="60"/>
      <c r="AR168" s="60"/>
      <c r="AS168" s="60"/>
      <c r="AT168" s="60"/>
      <c r="AU168" s="60"/>
      <c r="AV168" s="60"/>
      <c r="AW168" s="60"/>
      <c r="AX168" s="60"/>
      <c r="AY168" s="60"/>
      <c r="AZ168" s="60"/>
      <c r="BA168" s="60"/>
      <c r="BB168" s="60"/>
      <c r="BC168" s="60"/>
      <c r="BD168" s="60"/>
      <c r="BE168" s="60"/>
      <c r="BF168" s="60"/>
      <c r="BG168" s="60"/>
      <c r="BH168" s="60"/>
      <c r="BI168" s="60"/>
      <c r="BJ168" s="60"/>
      <c r="BK168" s="60"/>
      <c r="BL168" s="60"/>
      <c r="BM168" s="60"/>
    </row>
    <row r="169" spans="1:65" s="51" customFormat="1" ht="30" customHeight="1" thickBot="1" x14ac:dyDescent="0.35">
      <c r="A169" s="46"/>
      <c r="B169" s="70"/>
      <c r="C169" s="69" t="s">
        <v>119</v>
      </c>
      <c r="D169" s="68"/>
      <c r="E169" s="67"/>
      <c r="F169" s="67"/>
      <c r="G169" s="61"/>
      <c r="H169" s="61" t="str">
        <f t="shared" si="12"/>
        <v/>
      </c>
      <c r="I169" s="66"/>
      <c r="J169" s="60"/>
      <c r="K169" s="60"/>
      <c r="L169" s="60"/>
      <c r="M169" s="60"/>
      <c r="N169" s="60"/>
      <c r="O169" s="60"/>
      <c r="P169" s="60"/>
      <c r="Q169" s="60"/>
      <c r="R169" s="60"/>
      <c r="S169" s="60"/>
      <c r="T169" s="60"/>
      <c r="U169" s="60"/>
      <c r="V169" s="60"/>
      <c r="W169" s="60"/>
      <c r="X169" s="60"/>
      <c r="Y169" s="60"/>
      <c r="Z169" s="60"/>
      <c r="AA169" s="60"/>
      <c r="AB169" s="60"/>
      <c r="AC169" s="60"/>
      <c r="AD169" s="60"/>
      <c r="AE169" s="60"/>
      <c r="AF169" s="60"/>
      <c r="AG169" s="60"/>
      <c r="AH169" s="60"/>
      <c r="AI169" s="60"/>
      <c r="AJ169" s="60"/>
      <c r="AK169" s="60"/>
      <c r="AL169" s="60"/>
      <c r="AM169" s="60"/>
      <c r="AN169" s="60"/>
      <c r="AO169" s="60"/>
      <c r="AP169" s="60"/>
      <c r="AQ169" s="60"/>
      <c r="AR169" s="60"/>
      <c r="AS169" s="60"/>
      <c r="AT169" s="60"/>
      <c r="AU169" s="60"/>
      <c r="AV169" s="60"/>
      <c r="AW169" s="60"/>
      <c r="AX169" s="60"/>
      <c r="AY169" s="60"/>
      <c r="AZ169" s="60"/>
      <c r="BA169" s="60"/>
      <c r="BB169" s="60"/>
      <c r="BC169" s="60"/>
      <c r="BD169" s="60"/>
      <c r="BE169" s="60"/>
      <c r="BF169" s="60"/>
      <c r="BG169" s="60"/>
      <c r="BH169" s="60"/>
      <c r="BI169" s="60"/>
      <c r="BJ169" s="60"/>
      <c r="BK169" s="60"/>
      <c r="BL169" s="60"/>
      <c r="BM169" s="60"/>
    </row>
    <row r="170" spans="1:65" s="51" customFormat="1" ht="30" customHeight="1" thickBot="1" x14ac:dyDescent="0.35">
      <c r="A170" s="46"/>
      <c r="B170" s="70" t="s">
        <v>132</v>
      </c>
      <c r="C170" s="69" t="s">
        <v>119</v>
      </c>
      <c r="D170" s="68">
        <v>0.3</v>
      </c>
      <c r="E170" s="67"/>
      <c r="F170" s="67"/>
      <c r="G170" s="61"/>
      <c r="H170" s="61" t="str">
        <f t="shared" si="12"/>
        <v/>
      </c>
      <c r="I170" s="66"/>
      <c r="J170" s="60"/>
      <c r="K170" s="60"/>
      <c r="L170" s="60"/>
      <c r="M170" s="60"/>
      <c r="N170" s="60"/>
      <c r="O170" s="60"/>
      <c r="P170" s="60"/>
      <c r="Q170" s="60"/>
      <c r="R170" s="60"/>
      <c r="S170" s="60"/>
      <c r="T170" s="60"/>
      <c r="U170" s="60"/>
      <c r="V170" s="60"/>
      <c r="W170" s="60"/>
      <c r="X170" s="60"/>
      <c r="Y170" s="60"/>
      <c r="Z170" s="60"/>
      <c r="AA170" s="60"/>
      <c r="AB170" s="60"/>
      <c r="AC170" s="60"/>
      <c r="AD170" s="60"/>
      <c r="AE170" s="60"/>
      <c r="AF170" s="60"/>
      <c r="AG170" s="60"/>
      <c r="AH170" s="60"/>
      <c r="AI170" s="60"/>
      <c r="AJ170" s="60"/>
      <c r="AK170" s="60"/>
      <c r="AL170" s="60"/>
      <c r="AM170" s="60"/>
      <c r="AN170" s="60"/>
      <c r="AO170" s="60"/>
      <c r="AP170" s="60"/>
      <c r="AQ170" s="60"/>
      <c r="AR170" s="60"/>
      <c r="AS170" s="60"/>
      <c r="AT170" s="60"/>
      <c r="AU170" s="60"/>
      <c r="AV170" s="60"/>
      <c r="AW170" s="60"/>
      <c r="AX170" s="60"/>
      <c r="AY170" s="60"/>
      <c r="AZ170" s="60"/>
      <c r="BA170" s="60"/>
      <c r="BB170" s="60"/>
      <c r="BC170" s="60"/>
      <c r="BD170" s="60"/>
      <c r="BE170" s="60"/>
      <c r="BF170" s="60"/>
      <c r="BG170" s="60"/>
      <c r="BH170" s="60"/>
      <c r="BI170" s="60"/>
      <c r="BJ170" s="60"/>
      <c r="BK170" s="60"/>
      <c r="BL170" s="60"/>
      <c r="BM170" s="60"/>
    </row>
    <row r="171" spans="1:65" s="51" customFormat="1" ht="30" customHeight="1" thickBot="1" x14ac:dyDescent="0.35">
      <c r="A171" s="46"/>
      <c r="B171" s="70" t="s">
        <v>131</v>
      </c>
      <c r="C171" s="69" t="s">
        <v>119</v>
      </c>
      <c r="D171" s="68">
        <v>0.4</v>
      </c>
      <c r="E171" s="67"/>
      <c r="F171" s="67"/>
      <c r="G171" s="61"/>
      <c r="H171" s="61" t="str">
        <f t="shared" si="12"/>
        <v/>
      </c>
      <c r="I171" s="66"/>
      <c r="J171" s="60"/>
      <c r="K171" s="60"/>
      <c r="L171" s="60"/>
      <c r="M171" s="60"/>
      <c r="N171" s="60"/>
      <c r="O171" s="60"/>
      <c r="P171" s="60"/>
      <c r="Q171" s="60"/>
      <c r="R171" s="60"/>
      <c r="S171" s="60"/>
      <c r="T171" s="60"/>
      <c r="U171" s="60"/>
      <c r="V171" s="60"/>
      <c r="W171" s="60"/>
      <c r="X171" s="60"/>
      <c r="Y171" s="60"/>
      <c r="Z171" s="60"/>
      <c r="AA171" s="60"/>
      <c r="AB171" s="60"/>
      <c r="AC171" s="60"/>
      <c r="AD171" s="60"/>
      <c r="AE171" s="60"/>
      <c r="AF171" s="60"/>
      <c r="AG171" s="60"/>
      <c r="AH171" s="60"/>
      <c r="AI171" s="60"/>
      <c r="AJ171" s="60"/>
      <c r="AK171" s="60"/>
      <c r="AL171" s="60"/>
      <c r="AM171" s="60"/>
      <c r="AN171" s="60"/>
      <c r="AO171" s="60"/>
      <c r="AP171" s="60"/>
      <c r="AQ171" s="60"/>
      <c r="AR171" s="60"/>
      <c r="AS171" s="60"/>
      <c r="AT171" s="60"/>
      <c r="AU171" s="60"/>
      <c r="AV171" s="60"/>
      <c r="AW171" s="60"/>
      <c r="AX171" s="60"/>
      <c r="AY171" s="60"/>
      <c r="AZ171" s="60"/>
      <c r="BA171" s="60"/>
      <c r="BB171" s="60"/>
      <c r="BC171" s="60"/>
      <c r="BD171" s="60"/>
      <c r="BE171" s="60"/>
      <c r="BF171" s="60"/>
      <c r="BG171" s="60"/>
      <c r="BH171" s="60"/>
      <c r="BI171" s="60"/>
      <c r="BJ171" s="60"/>
      <c r="BK171" s="60"/>
      <c r="BL171" s="60"/>
      <c r="BM171" s="60"/>
    </row>
    <row r="172" spans="1:65" s="51" customFormat="1" ht="30" customHeight="1" thickBot="1" x14ac:dyDescent="0.35">
      <c r="A172" s="46"/>
      <c r="B172" s="70" t="s">
        <v>130</v>
      </c>
      <c r="C172" s="69" t="s">
        <v>119</v>
      </c>
      <c r="D172" s="68">
        <v>0.5</v>
      </c>
      <c r="E172" s="67"/>
      <c r="F172" s="67"/>
      <c r="G172" s="61"/>
      <c r="H172" s="61" t="str">
        <f t="shared" si="12"/>
        <v/>
      </c>
      <c r="I172" s="66"/>
      <c r="J172" s="60"/>
      <c r="K172" s="60"/>
      <c r="L172" s="60"/>
      <c r="M172" s="60"/>
      <c r="N172" s="60"/>
      <c r="O172" s="60"/>
      <c r="P172" s="60"/>
      <c r="Q172" s="60"/>
      <c r="R172" s="60"/>
      <c r="S172" s="60"/>
      <c r="T172" s="60"/>
      <c r="U172" s="60"/>
      <c r="V172" s="60"/>
      <c r="W172" s="60"/>
      <c r="X172" s="60"/>
      <c r="Y172" s="60"/>
      <c r="Z172" s="60"/>
      <c r="AA172" s="60"/>
      <c r="AB172" s="60"/>
      <c r="AC172" s="60"/>
      <c r="AD172" s="60"/>
      <c r="AE172" s="60"/>
      <c r="AF172" s="60"/>
      <c r="AG172" s="60"/>
      <c r="AH172" s="60"/>
      <c r="AI172" s="60"/>
      <c r="AJ172" s="60"/>
      <c r="AK172" s="60"/>
      <c r="AL172" s="60"/>
      <c r="AM172" s="60"/>
      <c r="AN172" s="60"/>
      <c r="AO172" s="60"/>
      <c r="AP172" s="60"/>
      <c r="AQ172" s="60"/>
      <c r="AR172" s="60"/>
      <c r="AS172" s="60"/>
      <c r="AT172" s="60"/>
      <c r="AU172" s="60"/>
      <c r="AV172" s="60"/>
      <c r="AW172" s="60"/>
      <c r="AX172" s="60"/>
      <c r="AY172" s="60"/>
      <c r="AZ172" s="60"/>
      <c r="BA172" s="60"/>
      <c r="BB172" s="60"/>
      <c r="BC172" s="60"/>
      <c r="BD172" s="60"/>
      <c r="BE172" s="60"/>
      <c r="BF172" s="60"/>
      <c r="BG172" s="60"/>
      <c r="BH172" s="60"/>
      <c r="BI172" s="60"/>
      <c r="BJ172" s="60"/>
      <c r="BK172" s="60"/>
      <c r="BL172" s="60"/>
      <c r="BM172" s="60"/>
    </row>
    <row r="173" spans="1:65" s="51" customFormat="1" ht="30" customHeight="1" thickBot="1" x14ac:dyDescent="0.35">
      <c r="A173" s="46"/>
      <c r="B173" s="70" t="s">
        <v>129</v>
      </c>
      <c r="C173" s="69" t="s">
        <v>119</v>
      </c>
      <c r="D173" s="68">
        <v>0.5</v>
      </c>
      <c r="E173" s="67"/>
      <c r="F173" s="67"/>
      <c r="G173" s="61"/>
      <c r="H173" s="61" t="str">
        <f t="shared" si="12"/>
        <v/>
      </c>
      <c r="I173" s="66"/>
      <c r="J173" s="60"/>
      <c r="K173" s="60"/>
      <c r="L173" s="60"/>
      <c r="M173" s="60"/>
      <c r="N173" s="60"/>
      <c r="O173" s="60"/>
      <c r="P173" s="60"/>
      <c r="Q173" s="60"/>
      <c r="R173" s="60"/>
      <c r="S173" s="60"/>
      <c r="T173" s="60"/>
      <c r="U173" s="60"/>
      <c r="V173" s="60"/>
      <c r="W173" s="60"/>
      <c r="X173" s="60"/>
      <c r="Y173" s="60"/>
      <c r="Z173" s="60"/>
      <c r="AA173" s="60"/>
      <c r="AB173" s="60"/>
      <c r="AC173" s="60"/>
      <c r="AD173" s="60"/>
      <c r="AE173" s="60"/>
      <c r="AF173" s="60"/>
      <c r="AG173" s="60"/>
      <c r="AH173" s="60"/>
      <c r="AI173" s="60"/>
      <c r="AJ173" s="60"/>
      <c r="AK173" s="60"/>
      <c r="AL173" s="60"/>
      <c r="AM173" s="60"/>
      <c r="AN173" s="60"/>
      <c r="AO173" s="60"/>
      <c r="AP173" s="60"/>
      <c r="AQ173" s="60"/>
      <c r="AR173" s="60"/>
      <c r="AS173" s="60"/>
      <c r="AT173" s="60"/>
      <c r="AU173" s="60"/>
      <c r="AV173" s="60"/>
      <c r="AW173" s="60"/>
      <c r="AX173" s="60"/>
      <c r="AY173" s="60"/>
      <c r="AZ173" s="60"/>
      <c r="BA173" s="60"/>
      <c r="BB173" s="60"/>
      <c r="BC173" s="60"/>
      <c r="BD173" s="60"/>
      <c r="BE173" s="60"/>
      <c r="BF173" s="60"/>
      <c r="BG173" s="60"/>
      <c r="BH173" s="60"/>
      <c r="BI173" s="60"/>
      <c r="BJ173" s="60"/>
      <c r="BK173" s="60"/>
      <c r="BL173" s="60"/>
      <c r="BM173" s="60"/>
    </row>
    <row r="174" spans="1:65" s="51" customFormat="1" ht="30" customHeight="1" thickBot="1" x14ac:dyDescent="0.35">
      <c r="A174" s="46"/>
      <c r="B174" s="70" t="s">
        <v>128</v>
      </c>
      <c r="C174" s="69" t="s">
        <v>119</v>
      </c>
      <c r="D174" s="68">
        <v>0.5</v>
      </c>
      <c r="E174" s="67"/>
      <c r="F174" s="67"/>
      <c r="G174" s="61"/>
      <c r="H174" s="61" t="str">
        <f t="shared" si="12"/>
        <v/>
      </c>
      <c r="I174" s="66"/>
      <c r="J174" s="60"/>
      <c r="K174" s="60"/>
      <c r="L174" s="60"/>
      <c r="M174" s="60"/>
      <c r="N174" s="60"/>
      <c r="O174" s="60"/>
      <c r="P174" s="60"/>
      <c r="Q174" s="60"/>
      <c r="R174" s="60"/>
      <c r="S174" s="60"/>
      <c r="T174" s="60"/>
      <c r="U174" s="60"/>
      <c r="V174" s="60"/>
      <c r="W174" s="60"/>
      <c r="X174" s="60"/>
      <c r="Y174" s="60"/>
      <c r="Z174" s="60"/>
      <c r="AA174" s="60"/>
      <c r="AB174" s="60"/>
      <c r="AC174" s="60"/>
      <c r="AD174" s="60"/>
      <c r="AE174" s="60"/>
      <c r="AF174" s="60"/>
      <c r="AG174" s="60"/>
      <c r="AH174" s="60"/>
      <c r="AI174" s="60"/>
      <c r="AJ174" s="60"/>
      <c r="AK174" s="60"/>
      <c r="AL174" s="60"/>
      <c r="AM174" s="60"/>
      <c r="AN174" s="60"/>
      <c r="AO174" s="60"/>
      <c r="AP174" s="60"/>
      <c r="AQ174" s="60"/>
      <c r="AR174" s="60"/>
      <c r="AS174" s="60"/>
      <c r="AT174" s="60"/>
      <c r="AU174" s="60"/>
      <c r="AV174" s="60"/>
      <c r="AW174" s="60"/>
      <c r="AX174" s="60"/>
      <c r="AY174" s="60"/>
      <c r="AZ174" s="60"/>
      <c r="BA174" s="60"/>
      <c r="BB174" s="60"/>
      <c r="BC174" s="60"/>
      <c r="BD174" s="60"/>
      <c r="BE174" s="60"/>
      <c r="BF174" s="60"/>
      <c r="BG174" s="60"/>
      <c r="BH174" s="60"/>
      <c r="BI174" s="60"/>
      <c r="BJ174" s="60"/>
      <c r="BK174" s="60"/>
      <c r="BL174" s="60"/>
      <c r="BM174" s="60"/>
    </row>
    <row r="175" spans="1:65" s="51" customFormat="1" ht="30" customHeight="1" thickBot="1" x14ac:dyDescent="0.35">
      <c r="A175" s="46"/>
      <c r="B175" s="70" t="s">
        <v>127</v>
      </c>
      <c r="C175" s="69" t="s">
        <v>119</v>
      </c>
      <c r="D175" s="68">
        <v>0.5</v>
      </c>
      <c r="E175" s="67"/>
      <c r="F175" s="67"/>
      <c r="G175" s="61"/>
      <c r="H175" s="61" t="str">
        <f t="shared" si="12"/>
        <v/>
      </c>
      <c r="I175" s="66"/>
      <c r="J175" s="60"/>
      <c r="K175" s="60"/>
      <c r="L175" s="60"/>
      <c r="M175" s="60"/>
      <c r="N175" s="60"/>
      <c r="O175" s="60"/>
      <c r="P175" s="60"/>
      <c r="Q175" s="60"/>
      <c r="R175" s="60"/>
      <c r="S175" s="60"/>
      <c r="T175" s="60"/>
      <c r="U175" s="60"/>
      <c r="V175" s="60"/>
      <c r="W175" s="60"/>
      <c r="X175" s="60"/>
      <c r="Y175" s="60"/>
      <c r="Z175" s="60"/>
      <c r="AA175" s="60"/>
      <c r="AB175" s="60"/>
      <c r="AC175" s="60"/>
      <c r="AD175" s="60"/>
      <c r="AE175" s="60"/>
      <c r="AF175" s="60"/>
      <c r="AG175" s="60"/>
      <c r="AH175" s="60"/>
      <c r="AI175" s="60"/>
      <c r="AJ175" s="60"/>
      <c r="AK175" s="60"/>
      <c r="AL175" s="60"/>
      <c r="AM175" s="60"/>
      <c r="AN175" s="60"/>
      <c r="AO175" s="60"/>
      <c r="AP175" s="60"/>
      <c r="AQ175" s="60"/>
      <c r="AR175" s="60"/>
      <c r="AS175" s="60"/>
      <c r="AT175" s="60"/>
      <c r="AU175" s="60"/>
      <c r="AV175" s="60"/>
      <c r="AW175" s="60"/>
      <c r="AX175" s="60"/>
      <c r="AY175" s="60"/>
      <c r="AZ175" s="60"/>
      <c r="BA175" s="60"/>
      <c r="BB175" s="60"/>
      <c r="BC175" s="60"/>
      <c r="BD175" s="60"/>
      <c r="BE175" s="60"/>
      <c r="BF175" s="60"/>
      <c r="BG175" s="60"/>
      <c r="BH175" s="60"/>
      <c r="BI175" s="60"/>
      <c r="BJ175" s="60"/>
      <c r="BK175" s="60"/>
      <c r="BL175" s="60"/>
      <c r="BM175" s="60"/>
    </row>
    <row r="176" spans="1:65" s="51" customFormat="1" ht="30" customHeight="1" thickBot="1" x14ac:dyDescent="0.35">
      <c r="A176" s="46"/>
      <c r="B176" s="70" t="s">
        <v>126</v>
      </c>
      <c r="C176" s="69" t="s">
        <v>119</v>
      </c>
      <c r="D176" s="68">
        <v>0.6</v>
      </c>
      <c r="E176" s="67"/>
      <c r="F176" s="67"/>
      <c r="G176" s="61"/>
      <c r="H176" s="61" t="str">
        <f t="shared" si="12"/>
        <v/>
      </c>
      <c r="I176" s="66"/>
      <c r="J176" s="60"/>
      <c r="K176" s="60"/>
      <c r="L176" s="60"/>
      <c r="M176" s="60"/>
      <c r="N176" s="60"/>
      <c r="O176" s="60"/>
      <c r="P176" s="60"/>
      <c r="Q176" s="60"/>
      <c r="R176" s="60"/>
      <c r="S176" s="60"/>
      <c r="T176" s="60"/>
      <c r="U176" s="60"/>
      <c r="V176" s="60"/>
      <c r="W176" s="60"/>
      <c r="X176" s="60"/>
      <c r="Y176" s="60"/>
      <c r="Z176" s="60"/>
      <c r="AA176" s="60"/>
      <c r="AB176" s="60"/>
      <c r="AC176" s="60"/>
      <c r="AD176" s="60"/>
      <c r="AE176" s="60"/>
      <c r="AF176" s="60"/>
      <c r="AG176" s="60"/>
      <c r="AH176" s="60"/>
      <c r="AI176" s="60"/>
      <c r="AJ176" s="60"/>
      <c r="AK176" s="60"/>
      <c r="AL176" s="60"/>
      <c r="AM176" s="60"/>
      <c r="AN176" s="60"/>
      <c r="AO176" s="60"/>
      <c r="AP176" s="60"/>
      <c r="AQ176" s="60"/>
      <c r="AR176" s="60"/>
      <c r="AS176" s="60"/>
      <c r="AT176" s="60"/>
      <c r="AU176" s="60"/>
      <c r="AV176" s="60"/>
      <c r="AW176" s="60"/>
      <c r="AX176" s="60"/>
      <c r="AY176" s="60"/>
      <c r="AZ176" s="60"/>
      <c r="BA176" s="60"/>
      <c r="BB176" s="60"/>
      <c r="BC176" s="60"/>
      <c r="BD176" s="60"/>
      <c r="BE176" s="60"/>
      <c r="BF176" s="60"/>
      <c r="BG176" s="60"/>
      <c r="BH176" s="60"/>
      <c r="BI176" s="60"/>
      <c r="BJ176" s="60"/>
      <c r="BK176" s="60"/>
      <c r="BL176" s="60"/>
      <c r="BM176" s="60"/>
    </row>
    <row r="177" spans="1:65" s="51" customFormat="1" ht="30" customHeight="1" thickBot="1" x14ac:dyDescent="0.35">
      <c r="A177" s="46"/>
      <c r="B177" s="70" t="s">
        <v>125</v>
      </c>
      <c r="C177" s="69" t="s">
        <v>119</v>
      </c>
      <c r="D177" s="68">
        <v>0.4</v>
      </c>
      <c r="E177" s="67"/>
      <c r="F177" s="67"/>
      <c r="G177" s="61"/>
      <c r="H177" s="61" t="str">
        <f t="shared" si="12"/>
        <v/>
      </c>
      <c r="I177" s="66"/>
      <c r="J177" s="60"/>
      <c r="K177" s="60"/>
      <c r="L177" s="60"/>
      <c r="M177" s="60"/>
      <c r="N177" s="60"/>
      <c r="O177" s="60"/>
      <c r="P177" s="60"/>
      <c r="Q177" s="60"/>
      <c r="R177" s="60"/>
      <c r="S177" s="60"/>
      <c r="T177" s="60"/>
      <c r="U177" s="60"/>
      <c r="V177" s="60"/>
      <c r="W177" s="60"/>
      <c r="X177" s="60"/>
      <c r="Y177" s="60"/>
      <c r="Z177" s="60"/>
      <c r="AA177" s="60"/>
      <c r="AB177" s="60"/>
      <c r="AC177" s="60"/>
      <c r="AD177" s="60"/>
      <c r="AE177" s="60"/>
      <c r="AF177" s="60"/>
      <c r="AG177" s="60"/>
      <c r="AH177" s="60"/>
      <c r="AI177" s="60"/>
      <c r="AJ177" s="60"/>
      <c r="AK177" s="60"/>
      <c r="AL177" s="60"/>
      <c r="AM177" s="60"/>
      <c r="AN177" s="60"/>
      <c r="AO177" s="60"/>
      <c r="AP177" s="60"/>
      <c r="AQ177" s="60"/>
      <c r="AR177" s="60"/>
      <c r="AS177" s="60"/>
      <c r="AT177" s="60"/>
      <c r="AU177" s="60"/>
      <c r="AV177" s="60"/>
      <c r="AW177" s="60"/>
      <c r="AX177" s="60"/>
      <c r="AY177" s="60"/>
      <c r="AZ177" s="60"/>
      <c r="BA177" s="60"/>
      <c r="BB177" s="60"/>
      <c r="BC177" s="60"/>
      <c r="BD177" s="60"/>
      <c r="BE177" s="60"/>
      <c r="BF177" s="60"/>
      <c r="BG177" s="60"/>
      <c r="BH177" s="60"/>
      <c r="BI177" s="60"/>
      <c r="BJ177" s="60"/>
      <c r="BK177" s="60"/>
      <c r="BL177" s="60"/>
      <c r="BM177" s="60"/>
    </row>
    <row r="178" spans="1:65" s="51" customFormat="1" ht="30" customHeight="1" thickBot="1" x14ac:dyDescent="0.35">
      <c r="A178" s="46"/>
      <c r="B178" s="70" t="s">
        <v>124</v>
      </c>
      <c r="C178" s="69" t="s">
        <v>119</v>
      </c>
      <c r="D178" s="68">
        <v>0.4</v>
      </c>
      <c r="E178" s="67"/>
      <c r="F178" s="67"/>
      <c r="G178" s="61"/>
      <c r="H178" s="61" t="str">
        <f t="shared" si="12"/>
        <v/>
      </c>
      <c r="I178" s="66"/>
      <c r="J178" s="60"/>
      <c r="K178" s="60"/>
      <c r="L178" s="60"/>
      <c r="M178" s="60"/>
      <c r="N178" s="60"/>
      <c r="O178" s="60"/>
      <c r="P178" s="60"/>
      <c r="Q178" s="60"/>
      <c r="R178" s="60"/>
      <c r="S178" s="60"/>
      <c r="T178" s="60"/>
      <c r="U178" s="60"/>
      <c r="V178" s="60"/>
      <c r="W178" s="60"/>
      <c r="X178" s="60"/>
      <c r="Y178" s="60"/>
      <c r="Z178" s="60"/>
      <c r="AA178" s="60"/>
      <c r="AB178" s="60"/>
      <c r="AC178" s="60"/>
      <c r="AD178" s="60"/>
      <c r="AE178" s="60"/>
      <c r="AF178" s="60"/>
      <c r="AG178" s="60"/>
      <c r="AH178" s="60"/>
      <c r="AI178" s="60"/>
      <c r="AJ178" s="60"/>
      <c r="AK178" s="60"/>
      <c r="AL178" s="60"/>
      <c r="AM178" s="60"/>
      <c r="AN178" s="60"/>
      <c r="AO178" s="60"/>
      <c r="AP178" s="60"/>
      <c r="AQ178" s="60"/>
      <c r="AR178" s="60"/>
      <c r="AS178" s="60"/>
      <c r="AT178" s="60"/>
      <c r="AU178" s="60"/>
      <c r="AV178" s="60"/>
      <c r="AW178" s="60"/>
      <c r="AX178" s="60"/>
      <c r="AY178" s="60"/>
      <c r="AZ178" s="60"/>
      <c r="BA178" s="60"/>
      <c r="BB178" s="60"/>
      <c r="BC178" s="60"/>
      <c r="BD178" s="60"/>
      <c r="BE178" s="60"/>
      <c r="BF178" s="60"/>
      <c r="BG178" s="60"/>
      <c r="BH178" s="60"/>
      <c r="BI178" s="60"/>
      <c r="BJ178" s="60"/>
      <c r="BK178" s="60"/>
      <c r="BL178" s="60"/>
      <c r="BM178" s="60"/>
    </row>
    <row r="179" spans="1:65" s="51" customFormat="1" ht="30" customHeight="1" thickBot="1" x14ac:dyDescent="0.35">
      <c r="A179" s="46"/>
      <c r="B179" s="70" t="s">
        <v>123</v>
      </c>
      <c r="C179" s="69" t="s">
        <v>119</v>
      </c>
      <c r="D179" s="68">
        <v>0.1</v>
      </c>
      <c r="E179" s="67"/>
      <c r="F179" s="67"/>
      <c r="G179" s="61"/>
      <c r="H179" s="61" t="str">
        <f t="shared" si="12"/>
        <v/>
      </c>
      <c r="I179" s="66"/>
      <c r="J179" s="60"/>
      <c r="K179" s="60"/>
      <c r="L179" s="60"/>
      <c r="M179" s="60"/>
      <c r="N179" s="60"/>
      <c r="O179" s="60"/>
      <c r="P179" s="60"/>
      <c r="Q179" s="60"/>
      <c r="R179" s="60"/>
      <c r="S179" s="60"/>
      <c r="T179" s="60"/>
      <c r="U179" s="60"/>
      <c r="V179" s="60"/>
      <c r="W179" s="60"/>
      <c r="X179" s="60"/>
      <c r="Y179" s="60"/>
      <c r="Z179" s="60"/>
      <c r="AA179" s="60"/>
      <c r="AB179" s="60"/>
      <c r="AC179" s="60"/>
      <c r="AD179" s="60"/>
      <c r="AE179" s="60"/>
      <c r="AF179" s="60"/>
      <c r="AG179" s="60"/>
      <c r="AH179" s="60"/>
      <c r="AI179" s="60"/>
      <c r="AJ179" s="60"/>
      <c r="AK179" s="60"/>
      <c r="AL179" s="60"/>
      <c r="AM179" s="60"/>
      <c r="AN179" s="60"/>
      <c r="AO179" s="60"/>
      <c r="AP179" s="60"/>
      <c r="AQ179" s="60"/>
      <c r="AR179" s="60"/>
      <c r="AS179" s="60"/>
      <c r="AT179" s="60"/>
      <c r="AU179" s="60"/>
      <c r="AV179" s="60"/>
      <c r="AW179" s="60"/>
      <c r="AX179" s="60"/>
      <c r="AY179" s="60"/>
      <c r="AZ179" s="60"/>
      <c r="BA179" s="60"/>
      <c r="BB179" s="60"/>
      <c r="BC179" s="60"/>
      <c r="BD179" s="60"/>
      <c r="BE179" s="60"/>
      <c r="BF179" s="60"/>
      <c r="BG179" s="60"/>
      <c r="BH179" s="60"/>
      <c r="BI179" s="60"/>
      <c r="BJ179" s="60"/>
      <c r="BK179" s="60"/>
      <c r="BL179" s="60"/>
      <c r="BM179" s="60"/>
    </row>
    <row r="180" spans="1:65" s="51" customFormat="1" ht="30" customHeight="1" thickBot="1" x14ac:dyDescent="0.35">
      <c r="A180" s="46"/>
      <c r="B180" s="70" t="s">
        <v>122</v>
      </c>
      <c r="C180" s="69" t="s">
        <v>119</v>
      </c>
      <c r="D180" s="68">
        <v>0.2</v>
      </c>
      <c r="E180" s="67"/>
      <c r="F180" s="67"/>
      <c r="G180" s="61"/>
      <c r="H180" s="61" t="str">
        <f t="shared" si="12"/>
        <v/>
      </c>
      <c r="I180" s="66"/>
      <c r="J180" s="60"/>
      <c r="K180" s="60"/>
      <c r="L180" s="60"/>
      <c r="M180" s="60"/>
      <c r="N180" s="60"/>
      <c r="O180" s="60"/>
      <c r="P180" s="60"/>
      <c r="Q180" s="60"/>
      <c r="R180" s="60"/>
      <c r="S180" s="60"/>
      <c r="T180" s="60"/>
      <c r="U180" s="60"/>
      <c r="V180" s="60"/>
      <c r="W180" s="60"/>
      <c r="X180" s="60"/>
      <c r="Y180" s="60"/>
      <c r="Z180" s="60"/>
      <c r="AA180" s="60"/>
      <c r="AB180" s="60"/>
      <c r="AC180" s="60"/>
      <c r="AD180" s="60"/>
      <c r="AE180" s="60"/>
      <c r="AF180" s="60"/>
      <c r="AG180" s="60"/>
      <c r="AH180" s="60"/>
      <c r="AI180" s="60"/>
      <c r="AJ180" s="60"/>
      <c r="AK180" s="60"/>
      <c r="AL180" s="60"/>
      <c r="AM180" s="60"/>
      <c r="AN180" s="60"/>
      <c r="AO180" s="60"/>
      <c r="AP180" s="60"/>
      <c r="AQ180" s="60"/>
      <c r="AR180" s="60"/>
      <c r="AS180" s="60"/>
      <c r="AT180" s="60"/>
      <c r="AU180" s="60"/>
      <c r="AV180" s="60"/>
      <c r="AW180" s="60"/>
      <c r="AX180" s="60"/>
      <c r="AY180" s="60"/>
      <c r="AZ180" s="60"/>
      <c r="BA180" s="60"/>
      <c r="BB180" s="60"/>
      <c r="BC180" s="60"/>
      <c r="BD180" s="60"/>
      <c r="BE180" s="60"/>
      <c r="BF180" s="60"/>
      <c r="BG180" s="60"/>
      <c r="BH180" s="60"/>
      <c r="BI180" s="60"/>
      <c r="BJ180" s="60"/>
      <c r="BK180" s="60"/>
      <c r="BL180" s="60"/>
      <c r="BM180" s="60"/>
    </row>
    <row r="181" spans="1:65" s="51" customFormat="1" ht="30" customHeight="1" thickBot="1" x14ac:dyDescent="0.35">
      <c r="A181" s="46"/>
      <c r="B181" s="70" t="s">
        <v>121</v>
      </c>
      <c r="C181" s="69" t="s">
        <v>119</v>
      </c>
      <c r="D181" s="68">
        <v>0.1</v>
      </c>
      <c r="E181" s="67"/>
      <c r="F181" s="67"/>
      <c r="G181" s="61"/>
      <c r="H181" s="61" t="str">
        <f t="shared" si="12"/>
        <v/>
      </c>
      <c r="I181" s="66"/>
      <c r="J181" s="60"/>
      <c r="K181" s="60"/>
      <c r="L181" s="60"/>
      <c r="M181" s="60"/>
      <c r="N181" s="60"/>
      <c r="O181" s="60"/>
      <c r="P181" s="60"/>
      <c r="Q181" s="60"/>
      <c r="R181" s="60"/>
      <c r="S181" s="60"/>
      <c r="T181" s="60"/>
      <c r="U181" s="60"/>
      <c r="V181" s="60"/>
      <c r="W181" s="60"/>
      <c r="X181" s="60"/>
      <c r="Y181" s="60"/>
      <c r="Z181" s="60"/>
      <c r="AA181" s="60"/>
      <c r="AB181" s="60"/>
      <c r="AC181" s="60"/>
      <c r="AD181" s="60"/>
      <c r="AE181" s="60"/>
      <c r="AF181" s="60"/>
      <c r="AG181" s="60"/>
      <c r="AH181" s="60"/>
      <c r="AI181" s="60"/>
      <c r="AJ181" s="60"/>
      <c r="AK181" s="60"/>
      <c r="AL181" s="60"/>
      <c r="AM181" s="60"/>
      <c r="AN181" s="60"/>
      <c r="AO181" s="60"/>
      <c r="AP181" s="60"/>
      <c r="AQ181" s="60"/>
      <c r="AR181" s="60"/>
      <c r="AS181" s="60"/>
      <c r="AT181" s="60"/>
      <c r="AU181" s="60"/>
      <c r="AV181" s="60"/>
      <c r="AW181" s="60"/>
      <c r="AX181" s="60"/>
      <c r="AY181" s="60"/>
      <c r="AZ181" s="60"/>
      <c r="BA181" s="60"/>
      <c r="BB181" s="60"/>
      <c r="BC181" s="60"/>
      <c r="BD181" s="60"/>
      <c r="BE181" s="60"/>
      <c r="BF181" s="60"/>
      <c r="BG181" s="60"/>
      <c r="BH181" s="60"/>
      <c r="BI181" s="60"/>
      <c r="BJ181" s="60"/>
      <c r="BK181" s="60"/>
      <c r="BL181" s="60"/>
      <c r="BM181" s="60"/>
    </row>
    <row r="182" spans="1:65" s="51" customFormat="1" ht="30" customHeight="1" thickBot="1" x14ac:dyDescent="0.35">
      <c r="A182" s="46"/>
      <c r="B182" s="70" t="s">
        <v>120</v>
      </c>
      <c r="C182" s="69" t="s">
        <v>119</v>
      </c>
      <c r="D182" s="68">
        <v>0.2</v>
      </c>
      <c r="E182" s="67"/>
      <c r="F182" s="67"/>
      <c r="G182" s="61"/>
      <c r="H182" s="61" t="str">
        <f t="shared" si="12"/>
        <v/>
      </c>
      <c r="I182" s="66"/>
      <c r="J182" s="60"/>
      <c r="K182" s="60"/>
      <c r="L182" s="60"/>
      <c r="M182" s="60"/>
      <c r="N182" s="60"/>
      <c r="O182" s="60"/>
      <c r="P182" s="60"/>
      <c r="Q182" s="60"/>
      <c r="R182" s="60"/>
      <c r="S182" s="60"/>
      <c r="T182" s="60"/>
      <c r="U182" s="60"/>
      <c r="V182" s="60"/>
      <c r="W182" s="60"/>
      <c r="X182" s="60"/>
      <c r="Y182" s="60"/>
      <c r="Z182" s="60"/>
      <c r="AA182" s="60"/>
      <c r="AB182" s="60"/>
      <c r="AC182" s="60"/>
      <c r="AD182" s="60"/>
      <c r="AE182" s="60"/>
      <c r="AF182" s="60"/>
      <c r="AG182" s="60"/>
      <c r="AH182" s="60"/>
      <c r="AI182" s="60"/>
      <c r="AJ182" s="60"/>
      <c r="AK182" s="60"/>
      <c r="AL182" s="60"/>
      <c r="AM182" s="60"/>
      <c r="AN182" s="60"/>
      <c r="AO182" s="60"/>
      <c r="AP182" s="60"/>
      <c r="AQ182" s="60"/>
      <c r="AR182" s="60"/>
      <c r="AS182" s="60"/>
      <c r="AT182" s="60"/>
      <c r="AU182" s="60"/>
      <c r="AV182" s="60"/>
      <c r="AW182" s="60"/>
      <c r="AX182" s="60"/>
      <c r="AY182" s="60"/>
      <c r="AZ182" s="60"/>
      <c r="BA182" s="60"/>
      <c r="BB182" s="60"/>
      <c r="BC182" s="60"/>
      <c r="BD182" s="60"/>
      <c r="BE182" s="60"/>
      <c r="BF182" s="60"/>
      <c r="BG182" s="60"/>
      <c r="BH182" s="60"/>
      <c r="BI182" s="60"/>
      <c r="BJ182" s="60"/>
      <c r="BK182" s="60"/>
      <c r="BL182" s="60"/>
      <c r="BM182" s="60"/>
    </row>
    <row r="183" spans="1:65" s="51" customFormat="1" ht="30" customHeight="1" thickBot="1" x14ac:dyDescent="0.35">
      <c r="A183" s="46"/>
      <c r="B183" s="70" t="s">
        <v>355</v>
      </c>
      <c r="C183" s="69" t="s">
        <v>119</v>
      </c>
      <c r="D183" s="68">
        <v>0.2</v>
      </c>
      <c r="E183" s="67"/>
      <c r="F183" s="67"/>
      <c r="G183" s="61"/>
      <c r="H183" s="61"/>
      <c r="I183" s="66"/>
      <c r="J183" s="60"/>
      <c r="K183" s="60"/>
      <c r="L183" s="60"/>
      <c r="M183" s="60"/>
      <c r="N183" s="60"/>
      <c r="O183" s="60"/>
      <c r="P183" s="60"/>
      <c r="Q183" s="60"/>
      <c r="R183" s="60"/>
      <c r="S183" s="60"/>
      <c r="T183" s="60"/>
      <c r="U183" s="60"/>
      <c r="V183" s="60"/>
      <c r="W183" s="60"/>
      <c r="X183" s="60"/>
      <c r="Y183" s="60"/>
      <c r="Z183" s="60"/>
      <c r="AA183" s="60"/>
      <c r="AB183" s="60"/>
      <c r="AC183" s="60"/>
      <c r="AD183" s="60"/>
      <c r="AE183" s="60"/>
      <c r="AF183" s="60"/>
      <c r="AG183" s="60"/>
      <c r="AH183" s="60"/>
      <c r="AI183" s="60"/>
      <c r="AJ183" s="60"/>
      <c r="AK183" s="60"/>
      <c r="AL183" s="60"/>
      <c r="AM183" s="60"/>
      <c r="AN183" s="60"/>
      <c r="AO183" s="60"/>
      <c r="AP183" s="60"/>
      <c r="AQ183" s="60"/>
      <c r="AR183" s="60"/>
      <c r="AS183" s="60"/>
      <c r="AT183" s="60"/>
      <c r="AU183" s="60"/>
      <c r="AV183" s="60"/>
      <c r="AW183" s="60"/>
      <c r="AX183" s="60"/>
      <c r="AY183" s="60"/>
      <c r="AZ183" s="60"/>
      <c r="BA183" s="60"/>
      <c r="BB183" s="60"/>
      <c r="BC183" s="60"/>
      <c r="BD183" s="60"/>
      <c r="BE183" s="60"/>
      <c r="BF183" s="60"/>
      <c r="BG183" s="60"/>
      <c r="BH183" s="60"/>
      <c r="BI183" s="60"/>
      <c r="BJ183" s="60"/>
      <c r="BK183" s="60"/>
      <c r="BL183" s="60"/>
      <c r="BM183" s="60"/>
    </row>
    <row r="184" spans="1:65" s="51" customFormat="1" ht="30" customHeight="1" thickBot="1" x14ac:dyDescent="0.35">
      <c r="A184" s="46"/>
      <c r="B184" s="70"/>
      <c r="C184" s="69"/>
      <c r="D184" s="68"/>
      <c r="E184" s="67"/>
      <c r="F184" s="67"/>
      <c r="G184" s="61"/>
      <c r="H184" s="61"/>
      <c r="I184" s="66"/>
      <c r="J184" s="60"/>
      <c r="K184" s="60"/>
      <c r="L184" s="60"/>
      <c r="M184" s="60"/>
      <c r="N184" s="60"/>
      <c r="O184" s="60"/>
      <c r="P184" s="60"/>
      <c r="Q184" s="60"/>
      <c r="R184" s="60"/>
      <c r="S184" s="60"/>
      <c r="T184" s="60"/>
      <c r="U184" s="60"/>
      <c r="V184" s="60"/>
      <c r="W184" s="60"/>
      <c r="X184" s="60"/>
      <c r="Y184" s="60"/>
      <c r="Z184" s="60"/>
      <c r="AA184" s="60"/>
      <c r="AB184" s="60"/>
      <c r="AC184" s="60"/>
      <c r="AD184" s="60"/>
      <c r="AE184" s="60"/>
      <c r="AF184" s="60"/>
      <c r="AG184" s="60"/>
      <c r="AH184" s="60"/>
      <c r="AI184" s="60"/>
      <c r="AJ184" s="60"/>
      <c r="AK184" s="60"/>
      <c r="AL184" s="60"/>
      <c r="AM184" s="60"/>
      <c r="AN184" s="60"/>
      <c r="AO184" s="60"/>
      <c r="AP184" s="60"/>
      <c r="AQ184" s="60"/>
      <c r="AR184" s="60"/>
      <c r="AS184" s="60"/>
      <c r="AT184" s="60"/>
      <c r="AU184" s="60"/>
      <c r="AV184" s="60"/>
      <c r="AW184" s="60"/>
      <c r="AX184" s="60"/>
      <c r="AY184" s="60"/>
      <c r="AZ184" s="60"/>
      <c r="BA184" s="60"/>
      <c r="BB184" s="60"/>
      <c r="BC184" s="60"/>
      <c r="BD184" s="60"/>
      <c r="BE184" s="60"/>
      <c r="BF184" s="60"/>
      <c r="BG184" s="60"/>
      <c r="BH184" s="60"/>
      <c r="BI184" s="60"/>
      <c r="BJ184" s="60"/>
      <c r="BK184" s="60"/>
      <c r="BL184" s="60"/>
      <c r="BM184" s="60"/>
    </row>
    <row r="185" spans="1:65" s="51" customFormat="1" ht="30" customHeight="1" thickBot="1" x14ac:dyDescent="0.35">
      <c r="A185" s="46"/>
      <c r="B185" s="70" t="s">
        <v>118</v>
      </c>
      <c r="C185" s="69"/>
      <c r="D185" s="68"/>
      <c r="E185" s="67" t="s">
        <v>117</v>
      </c>
      <c r="F185" s="67" t="s">
        <v>117</v>
      </c>
      <c r="G185" s="61"/>
      <c r="H185" s="61" t="e">
        <f>IF(OR(ISBLANK(task_start),ISBLANK(task_end)),"",task_end-task_start+1)</f>
        <v>#VALUE!</v>
      </c>
      <c r="I185" s="66"/>
      <c r="J185" s="60"/>
      <c r="K185" s="60"/>
      <c r="L185" s="60"/>
      <c r="M185" s="60"/>
      <c r="N185" s="60"/>
      <c r="O185" s="60"/>
      <c r="P185" s="60"/>
      <c r="Q185" s="60"/>
      <c r="R185" s="60"/>
      <c r="S185" s="60"/>
      <c r="T185" s="60"/>
      <c r="U185" s="60"/>
      <c r="V185" s="60"/>
      <c r="W185" s="60"/>
      <c r="X185" s="60"/>
      <c r="Y185" s="60"/>
      <c r="Z185" s="60"/>
      <c r="AA185" s="60"/>
      <c r="AB185" s="60"/>
      <c r="AC185" s="60"/>
      <c r="AD185" s="60"/>
      <c r="AE185" s="60"/>
      <c r="AF185" s="60"/>
      <c r="AG185" s="60"/>
      <c r="AH185" s="60"/>
      <c r="AI185" s="60"/>
      <c r="AJ185" s="60"/>
      <c r="AK185" s="60"/>
      <c r="AL185" s="60"/>
      <c r="AM185" s="60"/>
      <c r="AN185" s="60"/>
      <c r="AO185" s="60"/>
      <c r="AP185" s="60"/>
      <c r="AQ185" s="60"/>
      <c r="AR185" s="60"/>
      <c r="AS185" s="60"/>
      <c r="AT185" s="60"/>
      <c r="AU185" s="60"/>
      <c r="AV185" s="60"/>
      <c r="AW185" s="60"/>
      <c r="AX185" s="60"/>
      <c r="AY185" s="60"/>
      <c r="AZ185" s="60"/>
      <c r="BA185" s="60"/>
      <c r="BB185" s="60"/>
      <c r="BC185" s="60"/>
      <c r="BD185" s="60"/>
      <c r="BE185" s="60"/>
      <c r="BF185" s="60"/>
      <c r="BG185" s="60"/>
      <c r="BH185" s="60"/>
      <c r="BI185" s="60"/>
      <c r="BJ185" s="60"/>
      <c r="BK185" s="60"/>
      <c r="BL185" s="60"/>
      <c r="BM185" s="60"/>
    </row>
    <row r="186" spans="1:65" s="51" customFormat="1" ht="30" customHeight="1" thickBot="1" x14ac:dyDescent="0.35">
      <c r="A186" s="46" t="s">
        <v>116</v>
      </c>
      <c r="B186" s="65"/>
      <c r="C186" s="64"/>
      <c r="D186" s="63"/>
      <c r="E186" s="62"/>
      <c r="F186" s="62"/>
      <c r="G186" s="61"/>
      <c r="H186" s="61" t="str">
        <f>IF(OR(ISBLANK(task_start),ISBLANK(task_end)),"",task_end-task_start+1)</f>
        <v/>
      </c>
      <c r="I186" s="61"/>
      <c r="J186" s="60"/>
      <c r="K186" s="60"/>
      <c r="L186" s="60"/>
      <c r="M186" s="60"/>
      <c r="N186" s="60"/>
      <c r="O186" s="60"/>
      <c r="P186" s="60"/>
      <c r="Q186" s="60"/>
      <c r="R186" s="60"/>
      <c r="S186" s="60"/>
      <c r="T186" s="60"/>
      <c r="U186" s="60"/>
      <c r="V186" s="60"/>
      <c r="W186" s="60"/>
      <c r="X186" s="60"/>
      <c r="Y186" s="60"/>
      <c r="Z186" s="60"/>
      <c r="AA186" s="60"/>
      <c r="AB186" s="60"/>
      <c r="AC186" s="60"/>
      <c r="AD186" s="60"/>
      <c r="AE186" s="60"/>
      <c r="AF186" s="60"/>
      <c r="AG186" s="60"/>
      <c r="AH186" s="60"/>
      <c r="AI186" s="60"/>
      <c r="AJ186" s="60"/>
      <c r="AK186" s="60"/>
      <c r="AL186" s="60"/>
      <c r="AM186" s="60"/>
      <c r="AN186" s="60"/>
      <c r="AO186" s="60"/>
      <c r="AP186" s="60"/>
      <c r="AQ186" s="60"/>
      <c r="AR186" s="60"/>
      <c r="AS186" s="60"/>
      <c r="AT186" s="60"/>
      <c r="AU186" s="60"/>
      <c r="AV186" s="60"/>
      <c r="AW186" s="60"/>
      <c r="AX186" s="60"/>
      <c r="AY186" s="60"/>
      <c r="AZ186" s="60"/>
      <c r="BA186" s="60"/>
      <c r="BB186" s="60"/>
      <c r="BC186" s="60"/>
      <c r="BD186" s="60"/>
      <c r="BE186" s="60"/>
      <c r="BF186" s="60"/>
      <c r="BG186" s="60"/>
      <c r="BH186" s="60"/>
      <c r="BI186" s="60"/>
      <c r="BJ186" s="60"/>
      <c r="BK186" s="60"/>
      <c r="BL186" s="60"/>
      <c r="BM186" s="60"/>
    </row>
    <row r="187" spans="1:65" s="51" customFormat="1" ht="30" customHeight="1" thickBot="1" x14ac:dyDescent="0.35">
      <c r="A187" s="59" t="s">
        <v>115</v>
      </c>
      <c r="B187" s="58" t="s">
        <v>114</v>
      </c>
      <c r="C187" s="57"/>
      <c r="D187" s="56"/>
      <c r="E187" s="55"/>
      <c r="F187" s="54"/>
      <c r="G187" s="53"/>
      <c r="H187" s="53" t="str">
        <f>IF(OR(ISBLANK(task_start),ISBLANK(task_end)),"",task_end-task_start+1)</f>
        <v/>
      </c>
      <c r="I187" s="53"/>
      <c r="J187" s="52"/>
      <c r="K187" s="52"/>
      <c r="L187" s="52"/>
      <c r="M187" s="52"/>
      <c r="N187" s="52"/>
      <c r="O187" s="52"/>
      <c r="P187" s="52"/>
      <c r="Q187" s="52"/>
      <c r="R187" s="52"/>
      <c r="S187" s="52"/>
      <c r="T187" s="52"/>
      <c r="U187" s="52"/>
      <c r="V187" s="52"/>
      <c r="W187" s="52"/>
      <c r="X187" s="52"/>
      <c r="Y187" s="52"/>
      <c r="Z187" s="52"/>
      <c r="AA187" s="52"/>
      <c r="AB187" s="52"/>
      <c r="AC187" s="52"/>
      <c r="AD187" s="52"/>
      <c r="AE187" s="52"/>
      <c r="AF187" s="52"/>
      <c r="AG187" s="52"/>
      <c r="AH187" s="52"/>
      <c r="AI187" s="52"/>
      <c r="AJ187" s="52"/>
      <c r="AK187" s="52"/>
      <c r="AL187" s="52"/>
      <c r="AM187" s="52"/>
      <c r="AN187" s="52"/>
      <c r="AO187" s="52"/>
      <c r="AP187" s="52"/>
      <c r="AQ187" s="52"/>
      <c r="AR187" s="52"/>
      <c r="AS187" s="52"/>
      <c r="AT187" s="52"/>
      <c r="AU187" s="52"/>
      <c r="AV187" s="52"/>
      <c r="AW187" s="52"/>
      <c r="AX187" s="52"/>
      <c r="AY187" s="52"/>
      <c r="AZ187" s="52"/>
      <c r="BA187" s="52"/>
      <c r="BB187" s="52"/>
      <c r="BC187" s="52"/>
      <c r="BD187" s="52"/>
      <c r="BE187" s="52"/>
      <c r="BF187" s="52"/>
      <c r="BG187" s="52"/>
      <c r="BH187" s="52"/>
      <c r="BI187" s="52"/>
      <c r="BJ187" s="52"/>
      <c r="BK187" s="52"/>
      <c r="BL187" s="52"/>
      <c r="BM187" s="52"/>
    </row>
    <row r="188" spans="1:65" ht="30" customHeight="1" x14ac:dyDescent="0.3">
      <c r="G188" s="50"/>
    </row>
    <row r="189" spans="1:65" ht="30" customHeight="1" x14ac:dyDescent="0.3">
      <c r="C189" s="49"/>
      <c r="F189" s="48"/>
    </row>
    <row r="190" spans="1:65" ht="30" customHeight="1" x14ac:dyDescent="0.35">
      <c r="C190" s="47"/>
    </row>
    <row r="191" spans="1:65" ht="30" customHeight="1" x14ac:dyDescent="0.3">
      <c r="G191" s="123" t="s">
        <v>359</v>
      </c>
    </row>
  </sheetData>
  <mergeCells count="12">
    <mergeCell ref="C3:D3"/>
    <mergeCell ref="C4:D4"/>
    <mergeCell ref="B5:G5"/>
    <mergeCell ref="AL4:AR4"/>
    <mergeCell ref="AS4:AY4"/>
    <mergeCell ref="BG4:BM4"/>
    <mergeCell ref="E3:F3"/>
    <mergeCell ref="J4:P4"/>
    <mergeCell ref="Q4:W4"/>
    <mergeCell ref="X4:AD4"/>
    <mergeCell ref="AE4:AK4"/>
    <mergeCell ref="AZ4:BF4"/>
  </mergeCells>
  <phoneticPr fontId="34" type="noConversion"/>
  <conditionalFormatting sqref="D7:D187 C35:C87">
    <cfRule type="dataBar" priority="1">
      <dataBar>
        <cfvo type="num" val="0"/>
        <cfvo type="num" val="1"/>
        <color theme="0" tint="-0.249977111117893"/>
      </dataBar>
      <extLst>
        <ext xmlns:x14="http://schemas.microsoft.com/office/spreadsheetml/2009/9/main" uri="{B025F937-C7B1-47D3-B67F-A62EFF666E3E}">
          <x14:id>{E5013463-682B-462E-935E-46779145AE95}</x14:id>
        </ext>
      </extLst>
    </cfRule>
  </conditionalFormatting>
  <conditionalFormatting sqref="J5:BM187">
    <cfRule type="expression" dxfId="686" priority="4">
      <formula>AND(TODAY()&gt;=J$5,TODAY()&lt;K$5)</formula>
    </cfRule>
  </conditionalFormatting>
  <conditionalFormatting sqref="J7:BM187">
    <cfRule type="expression" dxfId="685" priority="2">
      <formula>AND(task_start&lt;=J$5,ROUNDDOWN((task_end-task_start+1)*task_progress,0)+task_start-1&gt;=J$5)</formula>
    </cfRule>
    <cfRule type="expression" dxfId="684" priority="3" stopIfTrue="1">
      <formula>AND(task_end&gt;=J$5,task_start&lt;K$5)</formula>
    </cfRule>
  </conditionalFormatting>
  <dataValidations count="1">
    <dataValidation type="whole" operator="greaterThanOrEqual" allowBlank="1" showInputMessage="1" promptTitle="显示周数" prompt="更改此数字将滚动甘特图视图。" sqref="E4">
      <formula1>1</formula1>
    </dataValidation>
  </dataValidations>
  <hyperlinks>
    <hyperlink ref="J2" r:id="rId1"/>
    <hyperlink ref="J1" r:id="rId2"/>
  </hyperlinks>
  <printOptions horizontalCentered="1"/>
  <pageMargins left="0.35" right="0.35" top="0.35" bottom="0.5" header="0.3" footer="0.3"/>
  <pageSetup paperSize="9" scale="51" fitToHeight="0" orientation="landscape" r:id="rId3"/>
  <headerFooter differentFirst="1" scaleWithDoc="0">
    <oddFooter>Page &amp;P of &amp;N</oddFooter>
  </headerFooter>
  <extLst>
    <ext xmlns:x14="http://schemas.microsoft.com/office/spreadsheetml/2009/9/main" uri="{78C0D931-6437-407d-A8EE-F0AAD7539E65}">
      <x14:conditionalFormattings>
        <x14:conditionalFormatting xmlns:xm="http://schemas.microsoft.com/office/excel/2006/main">
          <x14:cfRule type="dataBar" id="{E5013463-682B-462E-935E-46779145AE95}">
            <x14:dataBar minLength="0" maxLength="100" gradient="0">
              <x14:cfvo type="num">
                <xm:f>0</xm:f>
              </x14:cfvo>
              <x14:cfvo type="num">
                <xm:f>1</xm:f>
              </x14:cfvo>
              <x14:negativeFillColor rgb="FFFF0000"/>
              <x14:axisColor rgb="FF000000"/>
            </x14:dataBar>
          </x14:cfRule>
          <xm:sqref>D7:D187 C35:C87</xm:sqref>
        </x14:conditionalFormatting>
      </x14:conditionalFormatting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3"/>
    <pageSetUpPr autoPageBreaks="0" fitToPage="1"/>
  </sheetPr>
  <dimension ref="A1:N42"/>
  <sheetViews>
    <sheetView showGridLines="0" topLeftCell="A22" zoomScaleNormal="100" workbookViewId="0">
      <selection activeCell="C35" sqref="C35"/>
    </sheetView>
  </sheetViews>
  <sheetFormatPr defaultColWidth="9" defaultRowHeight="19.5" customHeight="1" x14ac:dyDescent="0.15"/>
  <cols>
    <col min="1" max="1" width="3.25" style="124" customWidth="1"/>
    <col min="2" max="2" width="19.75" style="124" customWidth="1"/>
    <col min="3" max="3" width="63.875" style="124" customWidth="1"/>
    <col min="4" max="4" width="11.625" style="124" customWidth="1"/>
    <col min="5" max="5" width="10.75" style="124" hidden="1" customWidth="1"/>
    <col min="6" max="6" width="11" style="124" customWidth="1"/>
    <col min="7" max="7" width="9.875" style="124" customWidth="1"/>
    <col min="8" max="11" width="9" style="124"/>
    <col min="12" max="12" width="9.375" style="124" customWidth="1"/>
    <col min="13" max="13" width="9" style="124" customWidth="1"/>
    <col min="14" max="14" width="8" style="124" customWidth="1"/>
    <col min="15" max="16384" width="9" style="124"/>
  </cols>
  <sheetData>
    <row r="1" spans="1:14" ht="24.75" customHeight="1" x14ac:dyDescent="0.35">
      <c r="A1" s="140"/>
      <c r="B1" s="142" t="s">
        <v>455</v>
      </c>
      <c r="C1" s="140"/>
      <c r="D1" s="140"/>
      <c r="E1" s="140"/>
      <c r="F1" s="140"/>
      <c r="G1" s="140"/>
      <c r="H1" s="140"/>
      <c r="I1" s="140"/>
      <c r="J1" s="140"/>
      <c r="K1" s="140"/>
      <c r="L1" s="140"/>
      <c r="M1" s="140"/>
      <c r="N1" s="140"/>
    </row>
    <row r="2" spans="1:14" ht="28.5" customHeight="1" x14ac:dyDescent="0.15">
      <c r="A2" s="140"/>
      <c r="B2" s="141" t="s">
        <v>454</v>
      </c>
      <c r="C2" s="140"/>
      <c r="D2" s="140"/>
      <c r="E2" s="140"/>
      <c r="F2" s="140"/>
      <c r="G2" s="140"/>
      <c r="H2" s="140"/>
      <c r="I2" s="140"/>
      <c r="J2" s="140"/>
      <c r="K2" s="140"/>
      <c r="L2" s="140"/>
      <c r="M2" s="140"/>
      <c r="N2" s="140"/>
    </row>
    <row r="7" spans="1:14" ht="19.5" customHeight="1" x14ac:dyDescent="0.15">
      <c r="F7" s="134"/>
    </row>
    <row r="8" spans="1:14" ht="19.5" customHeight="1" x14ac:dyDescent="0.15">
      <c r="F8" s="134"/>
    </row>
    <row r="9" spans="1:14" ht="19.5" customHeight="1" x14ac:dyDescent="0.15">
      <c r="F9" s="134"/>
    </row>
    <row r="10" spans="1:14" ht="19.5" customHeight="1" x14ac:dyDescent="0.15">
      <c r="F10" s="134"/>
    </row>
    <row r="11" spans="1:14" ht="19.5" customHeight="1" x14ac:dyDescent="0.15">
      <c r="F11" s="134"/>
    </row>
    <row r="12" spans="1:14" ht="19.5" customHeight="1" x14ac:dyDescent="0.15">
      <c r="F12" s="134"/>
    </row>
    <row r="13" spans="1:14" ht="19.5" customHeight="1" x14ac:dyDescent="0.35">
      <c r="F13" s="134"/>
      <c r="I13" s="132"/>
      <c r="K13" s="132"/>
      <c r="M13" s="132"/>
      <c r="N13" s="131"/>
    </row>
    <row r="14" spans="1:14" ht="19.5" customHeight="1" x14ac:dyDescent="0.35">
      <c r="F14" s="134"/>
      <c r="I14" s="132"/>
      <c r="K14" s="132"/>
      <c r="M14" s="132"/>
      <c r="N14" s="131"/>
    </row>
    <row r="15" spans="1:14" ht="19.5" customHeight="1" x14ac:dyDescent="0.35">
      <c r="F15" s="134"/>
      <c r="I15" s="132"/>
      <c r="K15" s="132"/>
      <c r="M15" s="132"/>
      <c r="N15" s="131"/>
    </row>
    <row r="16" spans="1:14" ht="19.5" customHeight="1" x14ac:dyDescent="0.35">
      <c r="F16" s="134"/>
      <c r="I16" s="132"/>
      <c r="K16" s="132"/>
      <c r="M16" s="132"/>
      <c r="N16" s="131"/>
    </row>
    <row r="17" spans="2:14" ht="19.5" customHeight="1" thickBot="1" x14ac:dyDescent="0.4">
      <c r="I17" s="132"/>
      <c r="K17" s="132"/>
      <c r="M17" s="132"/>
      <c r="N17" s="131"/>
    </row>
    <row r="18" spans="2:14" ht="24" customHeight="1" thickTop="1" x14ac:dyDescent="0.35">
      <c r="B18" s="139" t="s">
        <v>453</v>
      </c>
      <c r="C18" s="138"/>
      <c r="D18" s="137"/>
      <c r="I18" s="132"/>
      <c r="K18" s="132"/>
      <c r="M18" s="132"/>
      <c r="N18" s="131"/>
    </row>
    <row r="19" spans="2:14" ht="24" customHeight="1" x14ac:dyDescent="0.35">
      <c r="B19" s="136" t="s">
        <v>117</v>
      </c>
      <c r="C19" s="136" t="s">
        <v>360</v>
      </c>
      <c r="D19" s="135" t="s">
        <v>452</v>
      </c>
      <c r="E19" s="135" t="s">
        <v>451</v>
      </c>
      <c r="I19" s="132"/>
      <c r="K19" s="132"/>
      <c r="L19" s="134"/>
      <c r="M19" s="132"/>
      <c r="N19" s="131"/>
    </row>
    <row r="20" spans="2:14" ht="19.5" customHeight="1" x14ac:dyDescent="0.35">
      <c r="B20" s="128">
        <v>43647</v>
      </c>
      <c r="C20" s="127" t="s">
        <v>461</v>
      </c>
      <c r="D20" s="130">
        <v>30</v>
      </c>
      <c r="E20" s="133">
        <f>1</f>
        <v>1</v>
      </c>
      <c r="I20" s="132"/>
      <c r="K20" s="132"/>
      <c r="M20" s="132"/>
      <c r="N20" s="131"/>
    </row>
    <row r="21" spans="2:14" ht="19.5" customHeight="1" x14ac:dyDescent="0.35">
      <c r="B21" s="128">
        <v>43727</v>
      </c>
      <c r="C21" s="127" t="s">
        <v>462</v>
      </c>
      <c r="D21" s="130">
        <v>-25</v>
      </c>
      <c r="E21" s="133">
        <f>1</f>
        <v>1</v>
      </c>
      <c r="I21" s="132"/>
      <c r="K21" s="132"/>
      <c r="L21" s="134"/>
      <c r="M21" s="132"/>
      <c r="N21" s="131"/>
    </row>
    <row r="22" spans="2:14" ht="61.5" customHeight="1" x14ac:dyDescent="0.35">
      <c r="B22" s="128">
        <v>43767</v>
      </c>
      <c r="C22" s="143" t="s">
        <v>466</v>
      </c>
      <c r="D22" s="130">
        <v>5</v>
      </c>
      <c r="E22" s="133">
        <f>1</f>
        <v>1</v>
      </c>
      <c r="I22" s="132"/>
      <c r="K22" s="132"/>
      <c r="M22" s="132"/>
      <c r="N22" s="131"/>
    </row>
    <row r="23" spans="2:14" ht="19.5" customHeight="1" x14ac:dyDescent="0.35">
      <c r="B23" s="128">
        <v>43807</v>
      </c>
      <c r="C23" s="127" t="s">
        <v>456</v>
      </c>
      <c r="D23" s="130">
        <v>-15</v>
      </c>
      <c r="E23" s="133">
        <f>1</f>
        <v>1</v>
      </c>
      <c r="I23" s="132"/>
      <c r="K23" s="132"/>
      <c r="M23" s="132"/>
      <c r="N23" s="131"/>
    </row>
    <row r="24" spans="2:14" ht="19.5" customHeight="1" x14ac:dyDescent="0.35">
      <c r="B24" s="128">
        <v>43847</v>
      </c>
      <c r="C24" s="127" t="s">
        <v>457</v>
      </c>
      <c r="D24" s="130">
        <v>20</v>
      </c>
      <c r="E24" s="133">
        <f>1</f>
        <v>1</v>
      </c>
      <c r="I24" s="132"/>
      <c r="K24" s="132"/>
      <c r="M24" s="132"/>
      <c r="N24" s="131"/>
    </row>
    <row r="25" spans="2:14" ht="54" customHeight="1" x14ac:dyDescent="0.35">
      <c r="B25" s="128">
        <v>43907</v>
      </c>
      <c r="C25" s="143" t="s">
        <v>458</v>
      </c>
      <c r="D25" s="130">
        <v>-30</v>
      </c>
      <c r="E25" s="133">
        <f>1</f>
        <v>1</v>
      </c>
      <c r="I25" s="132"/>
      <c r="K25" s="132"/>
      <c r="M25" s="132"/>
      <c r="N25" s="131"/>
    </row>
    <row r="26" spans="2:14" ht="19.5" customHeight="1" x14ac:dyDescent="0.35">
      <c r="B26" s="128">
        <v>43922</v>
      </c>
      <c r="C26" s="127" t="s">
        <v>467</v>
      </c>
      <c r="D26" s="130">
        <v>10</v>
      </c>
      <c r="E26" s="127">
        <f>1</f>
        <v>1</v>
      </c>
      <c r="I26" s="132"/>
      <c r="K26" s="132"/>
      <c r="M26" s="132"/>
      <c r="N26" s="131"/>
    </row>
    <row r="27" spans="2:14" ht="19.5" customHeight="1" x14ac:dyDescent="0.15">
      <c r="B27" s="128">
        <v>43947</v>
      </c>
      <c r="C27" s="127" t="s">
        <v>459</v>
      </c>
      <c r="D27" s="130">
        <v>-15</v>
      </c>
      <c r="E27" s="133">
        <f>1</f>
        <v>1</v>
      </c>
    </row>
    <row r="28" spans="2:14" ht="19.5" customHeight="1" x14ac:dyDescent="0.15">
      <c r="B28" s="128">
        <v>43966</v>
      </c>
      <c r="C28" s="127" t="s">
        <v>460</v>
      </c>
      <c r="D28" s="130">
        <v>20</v>
      </c>
      <c r="E28" s="125">
        <f>1</f>
        <v>1</v>
      </c>
    </row>
    <row r="29" spans="2:14" ht="19.5" customHeight="1" x14ac:dyDescent="0.15">
      <c r="B29" s="128">
        <v>43995</v>
      </c>
      <c r="C29" s="127" t="s">
        <v>472</v>
      </c>
      <c r="D29" s="130">
        <v>-25</v>
      </c>
      <c r="E29" s="125">
        <f>1</f>
        <v>1</v>
      </c>
      <c r="H29" s="129"/>
    </row>
    <row r="30" spans="2:14" ht="19.5" customHeight="1" x14ac:dyDescent="0.15">
      <c r="B30" s="128">
        <v>44044</v>
      </c>
      <c r="C30" s="127" t="s">
        <v>465</v>
      </c>
      <c r="D30" s="130">
        <v>30</v>
      </c>
      <c r="E30" s="145">
        <f>1</f>
        <v>1</v>
      </c>
      <c r="H30" s="129"/>
    </row>
    <row r="31" spans="2:14" ht="89.25" customHeight="1" x14ac:dyDescent="0.15">
      <c r="B31" s="128">
        <v>44075</v>
      </c>
      <c r="C31" s="143" t="s">
        <v>476</v>
      </c>
      <c r="D31" s="130">
        <v>-25</v>
      </c>
      <c r="E31" s="125">
        <f>1</f>
        <v>1</v>
      </c>
    </row>
    <row r="32" spans="2:14" ht="19.5" customHeight="1" x14ac:dyDescent="0.15">
      <c r="B32" s="128">
        <v>44127</v>
      </c>
      <c r="C32" s="127" t="s">
        <v>463</v>
      </c>
      <c r="D32" s="126">
        <v>-10</v>
      </c>
      <c r="E32" s="125">
        <f>1</f>
        <v>1</v>
      </c>
    </row>
    <row r="33" spans="2:5" ht="73.5" customHeight="1" x14ac:dyDescent="0.15">
      <c r="B33" s="128">
        <v>44165</v>
      </c>
      <c r="C33" s="143" t="s">
        <v>477</v>
      </c>
      <c r="D33" s="126">
        <v>10</v>
      </c>
      <c r="E33" s="145">
        <f>1</f>
        <v>1</v>
      </c>
    </row>
    <row r="34" spans="2:5" ht="19.5" customHeight="1" x14ac:dyDescent="0.15">
      <c r="B34" s="128">
        <v>44196</v>
      </c>
      <c r="C34" s="127" t="s">
        <v>475</v>
      </c>
      <c r="D34" s="126">
        <v>-25</v>
      </c>
      <c r="E34" s="125">
        <f>1</f>
        <v>1</v>
      </c>
    </row>
    <row r="35" spans="2:5" ht="19.5" customHeight="1" x14ac:dyDescent="0.15">
      <c r="B35" s="128">
        <v>44226</v>
      </c>
      <c r="C35" s="127" t="s">
        <v>473</v>
      </c>
      <c r="D35" s="126">
        <v>30</v>
      </c>
      <c r="E35" s="145">
        <f>1</f>
        <v>1</v>
      </c>
    </row>
    <row r="36" spans="2:5" ht="19.5" customHeight="1" x14ac:dyDescent="0.15">
      <c r="B36" s="128" t="s">
        <v>468</v>
      </c>
      <c r="C36" s="127" t="s">
        <v>474</v>
      </c>
      <c r="D36" s="126">
        <v>-15</v>
      </c>
      <c r="E36" s="145">
        <f>1</f>
        <v>1</v>
      </c>
    </row>
    <row r="37" spans="2:5" ht="19.5" customHeight="1" x14ac:dyDescent="0.15">
      <c r="B37" s="128">
        <v>44285</v>
      </c>
      <c r="C37" s="127" t="s">
        <v>470</v>
      </c>
      <c r="D37" s="126">
        <v>5</v>
      </c>
      <c r="E37" s="145">
        <f>1</f>
        <v>1</v>
      </c>
    </row>
    <row r="38" spans="2:5" ht="19.5" customHeight="1" x14ac:dyDescent="0.15">
      <c r="B38" s="128">
        <v>44316</v>
      </c>
      <c r="C38" s="127" t="s">
        <v>471</v>
      </c>
      <c r="D38" s="126">
        <v>-25</v>
      </c>
      <c r="E38" s="145">
        <f>1</f>
        <v>1</v>
      </c>
    </row>
    <row r="39" spans="2:5" ht="19.5" customHeight="1" x14ac:dyDescent="0.15">
      <c r="B39" s="128">
        <v>44285</v>
      </c>
      <c r="C39" s="127" t="s">
        <v>469</v>
      </c>
      <c r="D39" s="126">
        <v>15</v>
      </c>
      <c r="E39" s="145">
        <f>1</f>
        <v>1</v>
      </c>
    </row>
    <row r="40" spans="2:5" ht="19.5" customHeight="1" x14ac:dyDescent="0.15">
      <c r="B40" s="128"/>
      <c r="C40" s="127"/>
      <c r="D40" s="144"/>
      <c r="E40" s="145">
        <f>1</f>
        <v>1</v>
      </c>
    </row>
    <row r="41" spans="2:5" ht="19.5" customHeight="1" x14ac:dyDescent="0.15">
      <c r="B41" s="128"/>
      <c r="C41" s="127"/>
      <c r="D41" s="144"/>
      <c r="E41" s="145">
        <f>1</f>
        <v>1</v>
      </c>
    </row>
    <row r="42" spans="2:5" ht="19.5" customHeight="1" x14ac:dyDescent="0.15">
      <c r="B42" s="128"/>
      <c r="C42" s="127"/>
      <c r="D42" s="144"/>
      <c r="E42" s="145">
        <f>1</f>
        <v>1</v>
      </c>
    </row>
  </sheetData>
  <phoneticPr fontId="34" type="noConversion"/>
  <pageMargins left="0.7" right="0.7" top="0.75" bottom="0.75" header="0.3" footer="0.3"/>
  <pageSetup scale="78" fitToHeight="0" orientation="landscape" r:id="rId1"/>
  <drawing r:id="rId2"/>
  <tableParts count="1">
    <tablePart r:id="rId3"/>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pageSetUpPr fitToPage="1"/>
  </sheetPr>
  <dimension ref="A1:BM191"/>
  <sheetViews>
    <sheetView showGridLines="0" showRuler="0" zoomScaleNormal="100" zoomScalePageLayoutView="70" workbookViewId="0">
      <pane ySplit="6" topLeftCell="A55" activePane="bottomLeft" state="frozen"/>
      <selection pane="bottomLeft" activeCell="J1" sqref="J1"/>
    </sheetView>
  </sheetViews>
  <sheetFormatPr defaultColWidth="9" defaultRowHeight="30" customHeight="1" x14ac:dyDescent="0.3"/>
  <cols>
    <col min="1" max="1" width="3.125" style="46" customWidth="1"/>
    <col min="2" max="2" width="31.875" style="44" customWidth="1"/>
    <col min="3" max="3" width="9.875" style="44" customWidth="1"/>
    <col min="4" max="4" width="13" style="44" customWidth="1"/>
    <col min="5" max="5" width="11.625" style="45" customWidth="1"/>
    <col min="6" max="6" width="11.25" style="44" customWidth="1"/>
    <col min="7" max="7" width="3.125" style="44" customWidth="1"/>
    <col min="8" max="8" width="7.875" style="44" customWidth="1"/>
    <col min="9" max="9" width="39.625" style="44" customWidth="1"/>
    <col min="10" max="65" width="3" style="44" customWidth="1"/>
    <col min="66" max="16384" width="9" style="44"/>
  </cols>
  <sheetData>
    <row r="1" spans="1:65" ht="30" customHeight="1" x14ac:dyDescent="0.55000000000000004">
      <c r="A1" s="59" t="s">
        <v>336</v>
      </c>
      <c r="B1" s="121" t="s">
        <v>437</v>
      </c>
      <c r="C1" s="120"/>
      <c r="D1" s="117"/>
      <c r="E1" s="119"/>
      <c r="F1" s="118"/>
      <c r="H1" s="117"/>
      <c r="I1" s="117"/>
      <c r="J1" s="49" t="s">
        <v>334</v>
      </c>
    </row>
    <row r="2" spans="1:65" ht="30" customHeight="1" x14ac:dyDescent="0.35">
      <c r="A2" s="46" t="s">
        <v>333</v>
      </c>
      <c r="B2" s="116" t="s">
        <v>332</v>
      </c>
      <c r="J2" s="115" t="s">
        <v>331</v>
      </c>
    </row>
    <row r="3" spans="1:65" ht="30" customHeight="1" x14ac:dyDescent="0.3">
      <c r="A3" s="46" t="s">
        <v>330</v>
      </c>
      <c r="B3" s="114" t="s">
        <v>329</v>
      </c>
      <c r="C3" s="211" t="s">
        <v>328</v>
      </c>
      <c r="D3" s="212"/>
      <c r="E3" s="210">
        <v>43922</v>
      </c>
      <c r="F3" s="210"/>
    </row>
    <row r="4" spans="1:65" ht="30" customHeight="1" x14ac:dyDescent="0.3">
      <c r="A4" s="59" t="s">
        <v>327</v>
      </c>
      <c r="C4" s="211" t="s">
        <v>326</v>
      </c>
      <c r="D4" s="212"/>
      <c r="E4" s="113">
        <v>1</v>
      </c>
      <c r="J4" s="207">
        <f>J5</f>
        <v>43919</v>
      </c>
      <c r="K4" s="208"/>
      <c r="L4" s="208"/>
      <c r="M4" s="208"/>
      <c r="N4" s="208"/>
      <c r="O4" s="208"/>
      <c r="P4" s="209"/>
      <c r="Q4" s="207">
        <f>Q5</f>
        <v>43926</v>
      </c>
      <c r="R4" s="208"/>
      <c r="S4" s="208"/>
      <c r="T4" s="208"/>
      <c r="U4" s="208"/>
      <c r="V4" s="208"/>
      <c r="W4" s="209"/>
      <c r="X4" s="207">
        <f>X5</f>
        <v>43933</v>
      </c>
      <c r="Y4" s="208"/>
      <c r="Z4" s="208"/>
      <c r="AA4" s="208"/>
      <c r="AB4" s="208"/>
      <c r="AC4" s="208"/>
      <c r="AD4" s="209"/>
      <c r="AE4" s="207">
        <f>AE5</f>
        <v>43940</v>
      </c>
      <c r="AF4" s="208"/>
      <c r="AG4" s="208"/>
      <c r="AH4" s="208"/>
      <c r="AI4" s="208"/>
      <c r="AJ4" s="208"/>
      <c r="AK4" s="209"/>
      <c r="AL4" s="207">
        <f>AL5</f>
        <v>43947</v>
      </c>
      <c r="AM4" s="208"/>
      <c r="AN4" s="208"/>
      <c r="AO4" s="208"/>
      <c r="AP4" s="208"/>
      <c r="AQ4" s="208"/>
      <c r="AR4" s="209"/>
      <c r="AS4" s="207">
        <f>AS5</f>
        <v>43954</v>
      </c>
      <c r="AT4" s="208"/>
      <c r="AU4" s="208"/>
      <c r="AV4" s="208"/>
      <c r="AW4" s="208"/>
      <c r="AX4" s="208"/>
      <c r="AY4" s="209"/>
      <c r="AZ4" s="207">
        <f>AZ5</f>
        <v>43961</v>
      </c>
      <c r="BA4" s="208"/>
      <c r="BB4" s="208"/>
      <c r="BC4" s="208"/>
      <c r="BD4" s="208"/>
      <c r="BE4" s="208"/>
      <c r="BF4" s="209"/>
      <c r="BG4" s="207">
        <f>BG5</f>
        <v>43968</v>
      </c>
      <c r="BH4" s="208"/>
      <c r="BI4" s="208"/>
      <c r="BJ4" s="208"/>
      <c r="BK4" s="208"/>
      <c r="BL4" s="208"/>
      <c r="BM4" s="209"/>
    </row>
    <row r="5" spans="1:65" ht="15" customHeight="1" x14ac:dyDescent="0.3">
      <c r="A5" s="59" t="s">
        <v>325</v>
      </c>
      <c r="B5" s="213"/>
      <c r="C5" s="213"/>
      <c r="D5" s="213"/>
      <c r="E5" s="213"/>
      <c r="F5" s="213"/>
      <c r="G5" s="213"/>
      <c r="J5" s="112">
        <f>Project_Start-WEEKDAY(Project_Start,1)+1+7*(Display_Week-1)</f>
        <v>43919</v>
      </c>
      <c r="K5" s="111">
        <f t="shared" ref="K5:BM5" si="0">J5+1</f>
        <v>43920</v>
      </c>
      <c r="L5" s="111">
        <f t="shared" si="0"/>
        <v>43921</v>
      </c>
      <c r="M5" s="111">
        <f t="shared" si="0"/>
        <v>43922</v>
      </c>
      <c r="N5" s="111">
        <f t="shared" si="0"/>
        <v>43923</v>
      </c>
      <c r="O5" s="111">
        <f t="shared" si="0"/>
        <v>43924</v>
      </c>
      <c r="P5" s="110">
        <f t="shared" si="0"/>
        <v>43925</v>
      </c>
      <c r="Q5" s="112">
        <f t="shared" si="0"/>
        <v>43926</v>
      </c>
      <c r="R5" s="111">
        <f t="shared" si="0"/>
        <v>43927</v>
      </c>
      <c r="S5" s="111">
        <f t="shared" si="0"/>
        <v>43928</v>
      </c>
      <c r="T5" s="111">
        <f t="shared" si="0"/>
        <v>43929</v>
      </c>
      <c r="U5" s="111">
        <f t="shared" si="0"/>
        <v>43930</v>
      </c>
      <c r="V5" s="111">
        <f t="shared" si="0"/>
        <v>43931</v>
      </c>
      <c r="W5" s="110">
        <f t="shared" si="0"/>
        <v>43932</v>
      </c>
      <c r="X5" s="112">
        <f t="shared" si="0"/>
        <v>43933</v>
      </c>
      <c r="Y5" s="111">
        <f t="shared" si="0"/>
        <v>43934</v>
      </c>
      <c r="Z5" s="111">
        <f t="shared" si="0"/>
        <v>43935</v>
      </c>
      <c r="AA5" s="111">
        <f t="shared" si="0"/>
        <v>43936</v>
      </c>
      <c r="AB5" s="111">
        <f t="shared" si="0"/>
        <v>43937</v>
      </c>
      <c r="AC5" s="111">
        <f t="shared" si="0"/>
        <v>43938</v>
      </c>
      <c r="AD5" s="110">
        <f t="shared" si="0"/>
        <v>43939</v>
      </c>
      <c r="AE5" s="112">
        <f t="shared" si="0"/>
        <v>43940</v>
      </c>
      <c r="AF5" s="111">
        <f t="shared" si="0"/>
        <v>43941</v>
      </c>
      <c r="AG5" s="111">
        <f t="shared" si="0"/>
        <v>43942</v>
      </c>
      <c r="AH5" s="111">
        <f t="shared" si="0"/>
        <v>43943</v>
      </c>
      <c r="AI5" s="111">
        <f t="shared" si="0"/>
        <v>43944</v>
      </c>
      <c r="AJ5" s="111">
        <f t="shared" si="0"/>
        <v>43945</v>
      </c>
      <c r="AK5" s="110">
        <f t="shared" si="0"/>
        <v>43946</v>
      </c>
      <c r="AL5" s="112">
        <f t="shared" si="0"/>
        <v>43947</v>
      </c>
      <c r="AM5" s="111">
        <f t="shared" si="0"/>
        <v>43948</v>
      </c>
      <c r="AN5" s="111">
        <f t="shared" si="0"/>
        <v>43949</v>
      </c>
      <c r="AO5" s="111">
        <f t="shared" si="0"/>
        <v>43950</v>
      </c>
      <c r="AP5" s="111">
        <f t="shared" si="0"/>
        <v>43951</v>
      </c>
      <c r="AQ5" s="111">
        <f t="shared" si="0"/>
        <v>43952</v>
      </c>
      <c r="AR5" s="110">
        <f t="shared" si="0"/>
        <v>43953</v>
      </c>
      <c r="AS5" s="112">
        <f t="shared" si="0"/>
        <v>43954</v>
      </c>
      <c r="AT5" s="111">
        <f t="shared" si="0"/>
        <v>43955</v>
      </c>
      <c r="AU5" s="111">
        <f t="shared" si="0"/>
        <v>43956</v>
      </c>
      <c r="AV5" s="111">
        <f t="shared" si="0"/>
        <v>43957</v>
      </c>
      <c r="AW5" s="111">
        <f t="shared" si="0"/>
        <v>43958</v>
      </c>
      <c r="AX5" s="111">
        <f t="shared" si="0"/>
        <v>43959</v>
      </c>
      <c r="AY5" s="110">
        <f t="shared" si="0"/>
        <v>43960</v>
      </c>
      <c r="AZ5" s="112">
        <f t="shared" si="0"/>
        <v>43961</v>
      </c>
      <c r="BA5" s="111">
        <f t="shared" si="0"/>
        <v>43962</v>
      </c>
      <c r="BB5" s="111">
        <f t="shared" si="0"/>
        <v>43963</v>
      </c>
      <c r="BC5" s="111">
        <f t="shared" si="0"/>
        <v>43964</v>
      </c>
      <c r="BD5" s="111">
        <f t="shared" si="0"/>
        <v>43965</v>
      </c>
      <c r="BE5" s="111">
        <f t="shared" si="0"/>
        <v>43966</v>
      </c>
      <c r="BF5" s="110">
        <f t="shared" si="0"/>
        <v>43967</v>
      </c>
      <c r="BG5" s="112">
        <f t="shared" si="0"/>
        <v>43968</v>
      </c>
      <c r="BH5" s="111">
        <f t="shared" si="0"/>
        <v>43969</v>
      </c>
      <c r="BI5" s="111">
        <f t="shared" si="0"/>
        <v>43970</v>
      </c>
      <c r="BJ5" s="111">
        <f t="shared" si="0"/>
        <v>43971</v>
      </c>
      <c r="BK5" s="111">
        <f t="shared" si="0"/>
        <v>43972</v>
      </c>
      <c r="BL5" s="111">
        <f t="shared" si="0"/>
        <v>43973</v>
      </c>
      <c r="BM5" s="110">
        <f t="shared" si="0"/>
        <v>43974</v>
      </c>
    </row>
    <row r="6" spans="1:65" ht="30" customHeight="1" thickBot="1" x14ac:dyDescent="0.35">
      <c r="A6" s="59" t="s">
        <v>324</v>
      </c>
      <c r="B6" s="109" t="s">
        <v>323</v>
      </c>
      <c r="C6" s="108" t="s">
        <v>322</v>
      </c>
      <c r="D6" s="108" t="s">
        <v>321</v>
      </c>
      <c r="E6" s="108" t="s">
        <v>320</v>
      </c>
      <c r="F6" s="108" t="s">
        <v>319</v>
      </c>
      <c r="G6" s="108"/>
      <c r="H6" s="108" t="s">
        <v>318</v>
      </c>
      <c r="I6" s="107" t="s">
        <v>317</v>
      </c>
      <c r="J6" s="106" t="str">
        <f t="shared" ref="J6:BM6" si="1">LEFT(TEXT(J5,"aaa"),1)</f>
        <v>日</v>
      </c>
      <c r="K6" s="106" t="str">
        <f t="shared" si="1"/>
        <v>一</v>
      </c>
      <c r="L6" s="106" t="str">
        <f t="shared" si="1"/>
        <v>二</v>
      </c>
      <c r="M6" s="106" t="str">
        <f t="shared" si="1"/>
        <v>三</v>
      </c>
      <c r="N6" s="106" t="str">
        <f t="shared" si="1"/>
        <v>四</v>
      </c>
      <c r="O6" s="106" t="str">
        <f t="shared" si="1"/>
        <v>五</v>
      </c>
      <c r="P6" s="106" t="str">
        <f t="shared" si="1"/>
        <v>六</v>
      </c>
      <c r="Q6" s="106" t="str">
        <f t="shared" si="1"/>
        <v>日</v>
      </c>
      <c r="R6" s="106" t="str">
        <f t="shared" si="1"/>
        <v>一</v>
      </c>
      <c r="S6" s="106" t="str">
        <f t="shared" si="1"/>
        <v>二</v>
      </c>
      <c r="T6" s="106" t="str">
        <f t="shared" si="1"/>
        <v>三</v>
      </c>
      <c r="U6" s="106" t="str">
        <f t="shared" si="1"/>
        <v>四</v>
      </c>
      <c r="V6" s="106" t="str">
        <f t="shared" si="1"/>
        <v>五</v>
      </c>
      <c r="W6" s="106" t="str">
        <f t="shared" si="1"/>
        <v>六</v>
      </c>
      <c r="X6" s="106" t="str">
        <f t="shared" si="1"/>
        <v>日</v>
      </c>
      <c r="Y6" s="106" t="str">
        <f t="shared" si="1"/>
        <v>一</v>
      </c>
      <c r="Z6" s="106" t="str">
        <f t="shared" si="1"/>
        <v>二</v>
      </c>
      <c r="AA6" s="106" t="str">
        <f t="shared" si="1"/>
        <v>三</v>
      </c>
      <c r="AB6" s="106" t="str">
        <f t="shared" si="1"/>
        <v>四</v>
      </c>
      <c r="AC6" s="106" t="str">
        <f t="shared" si="1"/>
        <v>五</v>
      </c>
      <c r="AD6" s="106" t="str">
        <f t="shared" si="1"/>
        <v>六</v>
      </c>
      <c r="AE6" s="106" t="str">
        <f t="shared" si="1"/>
        <v>日</v>
      </c>
      <c r="AF6" s="106" t="str">
        <f t="shared" si="1"/>
        <v>一</v>
      </c>
      <c r="AG6" s="106" t="str">
        <f t="shared" si="1"/>
        <v>二</v>
      </c>
      <c r="AH6" s="106" t="str">
        <f t="shared" si="1"/>
        <v>三</v>
      </c>
      <c r="AI6" s="106" t="str">
        <f t="shared" si="1"/>
        <v>四</v>
      </c>
      <c r="AJ6" s="106" t="str">
        <f t="shared" si="1"/>
        <v>五</v>
      </c>
      <c r="AK6" s="106" t="str">
        <f t="shared" si="1"/>
        <v>六</v>
      </c>
      <c r="AL6" s="106" t="str">
        <f t="shared" si="1"/>
        <v>日</v>
      </c>
      <c r="AM6" s="106" t="str">
        <f t="shared" si="1"/>
        <v>一</v>
      </c>
      <c r="AN6" s="106" t="str">
        <f t="shared" si="1"/>
        <v>二</v>
      </c>
      <c r="AO6" s="106" t="str">
        <f t="shared" si="1"/>
        <v>三</v>
      </c>
      <c r="AP6" s="106" t="str">
        <f t="shared" si="1"/>
        <v>四</v>
      </c>
      <c r="AQ6" s="106" t="str">
        <f t="shared" si="1"/>
        <v>五</v>
      </c>
      <c r="AR6" s="106" t="str">
        <f t="shared" si="1"/>
        <v>六</v>
      </c>
      <c r="AS6" s="106" t="str">
        <f t="shared" si="1"/>
        <v>日</v>
      </c>
      <c r="AT6" s="106" t="str">
        <f t="shared" si="1"/>
        <v>一</v>
      </c>
      <c r="AU6" s="106" t="str">
        <f t="shared" si="1"/>
        <v>二</v>
      </c>
      <c r="AV6" s="106" t="str">
        <f t="shared" si="1"/>
        <v>三</v>
      </c>
      <c r="AW6" s="106" t="str">
        <f t="shared" si="1"/>
        <v>四</v>
      </c>
      <c r="AX6" s="106" t="str">
        <f t="shared" si="1"/>
        <v>五</v>
      </c>
      <c r="AY6" s="106" t="str">
        <f t="shared" si="1"/>
        <v>六</v>
      </c>
      <c r="AZ6" s="106" t="str">
        <f t="shared" si="1"/>
        <v>日</v>
      </c>
      <c r="BA6" s="106" t="str">
        <f t="shared" si="1"/>
        <v>一</v>
      </c>
      <c r="BB6" s="106" t="str">
        <f t="shared" si="1"/>
        <v>二</v>
      </c>
      <c r="BC6" s="106" t="str">
        <f t="shared" si="1"/>
        <v>三</v>
      </c>
      <c r="BD6" s="106" t="str">
        <f t="shared" si="1"/>
        <v>四</v>
      </c>
      <c r="BE6" s="106" t="str">
        <f t="shared" si="1"/>
        <v>五</v>
      </c>
      <c r="BF6" s="106" t="str">
        <f t="shared" si="1"/>
        <v>六</v>
      </c>
      <c r="BG6" s="106" t="str">
        <f t="shared" si="1"/>
        <v>日</v>
      </c>
      <c r="BH6" s="106" t="str">
        <f t="shared" si="1"/>
        <v>一</v>
      </c>
      <c r="BI6" s="106" t="str">
        <f t="shared" si="1"/>
        <v>二</v>
      </c>
      <c r="BJ6" s="106" t="str">
        <f t="shared" si="1"/>
        <v>三</v>
      </c>
      <c r="BK6" s="106" t="str">
        <f t="shared" si="1"/>
        <v>四</v>
      </c>
      <c r="BL6" s="106" t="str">
        <f t="shared" si="1"/>
        <v>五</v>
      </c>
      <c r="BM6" s="106" t="str">
        <f t="shared" si="1"/>
        <v>六</v>
      </c>
    </row>
    <row r="7" spans="1:65" ht="30" hidden="1" customHeight="1" thickBot="1" x14ac:dyDescent="0.35">
      <c r="A7" s="46" t="s">
        <v>316</v>
      </c>
      <c r="C7" s="105"/>
      <c r="E7" s="44"/>
      <c r="H7" s="44" t="str">
        <f t="shared" ref="H7:H38" si="2">IF(OR(ISBLANK(task_start),ISBLANK(task_end)),"",task_end-task_start+1)</f>
        <v/>
      </c>
      <c r="J7" s="60"/>
      <c r="K7" s="60"/>
      <c r="L7" s="60"/>
      <c r="M7" s="60"/>
      <c r="N7" s="60"/>
      <c r="O7" s="60"/>
      <c r="P7" s="60"/>
      <c r="Q7" s="60"/>
      <c r="R7" s="60"/>
      <c r="S7" s="60"/>
      <c r="T7" s="60"/>
      <c r="U7" s="60"/>
      <c r="V7" s="60"/>
      <c r="W7" s="60"/>
      <c r="X7" s="60"/>
      <c r="Y7" s="60"/>
      <c r="Z7" s="60"/>
      <c r="AA7" s="60"/>
      <c r="AB7" s="60"/>
      <c r="AC7" s="60"/>
      <c r="AD7" s="60"/>
      <c r="AE7" s="60"/>
      <c r="AF7" s="60"/>
      <c r="AG7" s="60"/>
      <c r="AH7" s="60"/>
      <c r="AI7" s="60"/>
      <c r="AJ7" s="60"/>
      <c r="AK7" s="60"/>
      <c r="AL7" s="60"/>
      <c r="AM7" s="60"/>
      <c r="AN7" s="60"/>
      <c r="AO7" s="60"/>
      <c r="AP7" s="60"/>
      <c r="AQ7" s="60"/>
      <c r="AR7" s="60"/>
      <c r="AS7" s="60"/>
      <c r="AT7" s="60"/>
      <c r="AU7" s="60"/>
      <c r="AV7" s="60"/>
      <c r="AW7" s="60"/>
      <c r="AX7" s="60"/>
      <c r="AY7" s="60"/>
      <c r="AZ7" s="60"/>
      <c r="BA7" s="60"/>
      <c r="BB7" s="60"/>
      <c r="BC7" s="60"/>
      <c r="BD7" s="60"/>
      <c r="BE7" s="60"/>
      <c r="BF7" s="60"/>
      <c r="BG7" s="60"/>
      <c r="BH7" s="60"/>
      <c r="BI7" s="60"/>
      <c r="BJ7" s="60"/>
      <c r="BK7" s="60"/>
      <c r="BL7" s="60"/>
      <c r="BM7" s="60"/>
    </row>
    <row r="8" spans="1:65" s="51" customFormat="1" ht="30" customHeight="1" thickBot="1" x14ac:dyDescent="0.35">
      <c r="A8" s="59" t="s">
        <v>315</v>
      </c>
      <c r="B8" s="104" t="s">
        <v>413</v>
      </c>
      <c r="C8" s="103"/>
      <c r="D8" s="102"/>
      <c r="E8" s="101"/>
      <c r="F8" s="100"/>
      <c r="G8" s="61"/>
      <c r="H8" s="61" t="str">
        <f t="shared" si="2"/>
        <v/>
      </c>
      <c r="I8" s="66"/>
      <c r="J8" s="60"/>
      <c r="K8" s="60"/>
      <c r="L8" s="60"/>
      <c r="M8" s="60"/>
      <c r="N8" s="60"/>
      <c r="O8" s="60"/>
      <c r="P8" s="60"/>
      <c r="Q8" s="60"/>
      <c r="R8" s="60"/>
      <c r="S8" s="60"/>
      <c r="T8" s="60"/>
      <c r="U8" s="60"/>
      <c r="V8" s="60"/>
      <c r="W8" s="60"/>
      <c r="X8" s="60"/>
      <c r="Y8" s="60"/>
      <c r="Z8" s="60"/>
      <c r="AA8" s="60"/>
      <c r="AB8" s="60"/>
      <c r="AC8" s="60"/>
      <c r="AD8" s="60"/>
      <c r="AE8" s="60"/>
      <c r="AF8" s="60"/>
      <c r="AG8" s="60"/>
      <c r="AH8" s="60"/>
      <c r="AI8" s="60"/>
      <c r="AJ8" s="60"/>
      <c r="AK8" s="60"/>
      <c r="AL8" s="60"/>
      <c r="AM8" s="60"/>
      <c r="AN8" s="60"/>
      <c r="AO8" s="60"/>
      <c r="AP8" s="60"/>
      <c r="AQ8" s="60"/>
      <c r="AR8" s="60"/>
      <c r="AS8" s="60"/>
      <c r="AT8" s="60"/>
      <c r="AU8" s="60"/>
      <c r="AV8" s="60"/>
      <c r="AW8" s="60"/>
      <c r="AX8" s="60"/>
      <c r="AY8" s="60"/>
      <c r="AZ8" s="60"/>
      <c r="BA8" s="60"/>
      <c r="BB8" s="60"/>
      <c r="BC8" s="60"/>
      <c r="BD8" s="60"/>
      <c r="BE8" s="60"/>
      <c r="BF8" s="60"/>
      <c r="BG8" s="60"/>
      <c r="BH8" s="60"/>
      <c r="BI8" s="60"/>
      <c r="BJ8" s="60"/>
      <c r="BK8" s="60"/>
      <c r="BL8" s="60"/>
      <c r="BM8" s="60"/>
    </row>
    <row r="9" spans="1:65" s="51" customFormat="1" ht="30" customHeight="1" thickBot="1" x14ac:dyDescent="0.35">
      <c r="A9" s="59" t="s">
        <v>313</v>
      </c>
      <c r="B9" s="99" t="s">
        <v>408</v>
      </c>
      <c r="C9" s="98" t="s">
        <v>406</v>
      </c>
      <c r="D9" s="97">
        <v>0</v>
      </c>
      <c r="E9" s="96">
        <v>43928</v>
      </c>
      <c r="F9" s="96">
        <f>E9+2</f>
        <v>43930</v>
      </c>
      <c r="G9" s="61"/>
      <c r="H9" s="61">
        <f t="shared" si="2"/>
        <v>3</v>
      </c>
      <c r="I9" s="66"/>
      <c r="J9" s="60"/>
      <c r="K9" s="60"/>
      <c r="L9" s="60"/>
      <c r="M9" s="60"/>
      <c r="N9" s="60"/>
      <c r="O9" s="60"/>
      <c r="P9" s="60"/>
      <c r="Q9" s="60"/>
      <c r="R9" s="60"/>
      <c r="S9" s="60"/>
      <c r="T9" s="60"/>
      <c r="U9" s="60"/>
      <c r="V9" s="60"/>
      <c r="W9" s="60"/>
      <c r="X9" s="60"/>
      <c r="Y9" s="60"/>
      <c r="Z9" s="60"/>
      <c r="AA9" s="60"/>
      <c r="AB9" s="60"/>
      <c r="AC9" s="60"/>
      <c r="AD9" s="60"/>
      <c r="AE9" s="60"/>
      <c r="AF9" s="60"/>
      <c r="AG9" s="60"/>
      <c r="AH9" s="60"/>
      <c r="AI9" s="60"/>
      <c r="AJ9" s="60"/>
      <c r="AK9" s="60"/>
      <c r="AL9" s="60"/>
      <c r="AM9" s="60"/>
      <c r="AN9" s="60"/>
      <c r="AO9" s="60"/>
      <c r="AP9" s="60"/>
      <c r="AQ9" s="60"/>
      <c r="AR9" s="60"/>
      <c r="AS9" s="60"/>
      <c r="AT9" s="60"/>
      <c r="AU9" s="60"/>
      <c r="AV9" s="60"/>
      <c r="AW9" s="60"/>
      <c r="AX9" s="60"/>
      <c r="AY9" s="60"/>
      <c r="AZ9" s="60"/>
      <c r="BA9" s="60"/>
      <c r="BB9" s="60"/>
      <c r="BC9" s="60"/>
      <c r="BD9" s="60"/>
      <c r="BE9" s="60"/>
      <c r="BF9" s="60"/>
      <c r="BG9" s="60"/>
      <c r="BH9" s="60"/>
      <c r="BI9" s="60"/>
      <c r="BJ9" s="60"/>
      <c r="BK9" s="60"/>
      <c r="BL9" s="60"/>
      <c r="BM9" s="60"/>
    </row>
    <row r="10" spans="1:65" s="51" customFormat="1" ht="30" customHeight="1" thickBot="1" x14ac:dyDescent="0.35">
      <c r="A10" s="59"/>
      <c r="B10" s="99" t="s">
        <v>409</v>
      </c>
      <c r="C10" s="98" t="s">
        <v>407</v>
      </c>
      <c r="D10" s="97">
        <v>0</v>
      </c>
      <c r="E10" s="96">
        <v>43649</v>
      </c>
      <c r="F10" s="96">
        <f>E10+1</f>
        <v>43650</v>
      </c>
      <c r="G10" s="61"/>
      <c r="H10" s="61">
        <f t="shared" si="2"/>
        <v>2</v>
      </c>
      <c r="I10" s="66"/>
      <c r="J10" s="60"/>
      <c r="K10" s="60"/>
      <c r="L10" s="60"/>
      <c r="M10" s="60"/>
      <c r="N10" s="60"/>
      <c r="O10" s="60"/>
      <c r="P10" s="60"/>
      <c r="Q10" s="60"/>
      <c r="R10" s="60"/>
      <c r="S10" s="60"/>
      <c r="T10" s="60"/>
      <c r="U10" s="60"/>
      <c r="V10" s="60"/>
      <c r="W10" s="60"/>
      <c r="X10" s="60"/>
      <c r="Y10" s="60"/>
      <c r="Z10" s="60"/>
      <c r="AA10" s="60"/>
      <c r="AB10" s="60"/>
      <c r="AC10" s="60"/>
      <c r="AD10" s="60"/>
      <c r="AE10" s="60"/>
      <c r="AF10" s="60"/>
      <c r="AG10" s="60"/>
      <c r="AH10" s="60"/>
      <c r="AI10" s="60"/>
      <c r="AJ10" s="60"/>
      <c r="AK10" s="60"/>
      <c r="AL10" s="60"/>
      <c r="AM10" s="60"/>
      <c r="AN10" s="60"/>
      <c r="AO10" s="60"/>
      <c r="AP10" s="60"/>
      <c r="AQ10" s="60"/>
      <c r="AR10" s="60"/>
      <c r="AS10" s="60"/>
      <c r="AT10" s="60"/>
      <c r="AU10" s="60"/>
      <c r="AV10" s="60"/>
      <c r="AW10" s="60"/>
      <c r="AX10" s="60"/>
      <c r="AY10" s="60"/>
      <c r="AZ10" s="60"/>
      <c r="BA10" s="60"/>
      <c r="BB10" s="60"/>
      <c r="BC10" s="60"/>
      <c r="BD10" s="60"/>
      <c r="BE10" s="60"/>
      <c r="BF10" s="60"/>
      <c r="BG10" s="60"/>
      <c r="BH10" s="60"/>
      <c r="BI10" s="60"/>
      <c r="BJ10" s="60"/>
      <c r="BK10" s="60"/>
      <c r="BL10" s="60"/>
      <c r="BM10" s="60"/>
    </row>
    <row r="11" spans="1:65" s="51" customFormat="1" ht="30" customHeight="1" thickBot="1" x14ac:dyDescent="0.35">
      <c r="A11" s="59" t="s">
        <v>309</v>
      </c>
      <c r="B11" s="99" t="s">
        <v>410</v>
      </c>
      <c r="C11" s="98" t="s">
        <v>407</v>
      </c>
      <c r="D11" s="97"/>
      <c r="E11" s="96">
        <v>43647</v>
      </c>
      <c r="F11" s="96">
        <f>E11+2</f>
        <v>43649</v>
      </c>
      <c r="G11" s="61"/>
      <c r="H11" s="61">
        <f t="shared" si="2"/>
        <v>3</v>
      </c>
      <c r="I11" s="66"/>
      <c r="J11" s="60"/>
      <c r="K11" s="60"/>
      <c r="L11" s="60"/>
      <c r="M11" s="60"/>
      <c r="N11" s="60"/>
      <c r="O11" s="60"/>
      <c r="P11" s="60"/>
      <c r="Q11" s="60"/>
      <c r="R11" s="60"/>
      <c r="S11" s="60"/>
      <c r="T11" s="60"/>
      <c r="U11" s="60"/>
      <c r="V11" s="90"/>
      <c r="W11" s="90"/>
      <c r="X11" s="60"/>
      <c r="Y11" s="60"/>
      <c r="Z11" s="60"/>
      <c r="AA11" s="60"/>
      <c r="AB11" s="60"/>
      <c r="AC11" s="60"/>
      <c r="AD11" s="60"/>
      <c r="AE11" s="60"/>
      <c r="AF11" s="60"/>
      <c r="AG11" s="60"/>
      <c r="AH11" s="60"/>
      <c r="AI11" s="60"/>
      <c r="AJ11" s="60"/>
      <c r="AK11" s="60"/>
      <c r="AL11" s="60"/>
      <c r="AM11" s="60"/>
      <c r="AN11" s="60"/>
      <c r="AO11" s="60"/>
      <c r="AP11" s="60"/>
      <c r="AQ11" s="60"/>
      <c r="AR11" s="60"/>
      <c r="AS11" s="60"/>
      <c r="AT11" s="60"/>
      <c r="AU11" s="60"/>
      <c r="AV11" s="60"/>
      <c r="AW11" s="60"/>
      <c r="AX11" s="60"/>
      <c r="AY11" s="60"/>
      <c r="AZ11" s="60"/>
      <c r="BA11" s="60"/>
      <c r="BB11" s="60"/>
      <c r="BC11" s="60"/>
      <c r="BD11" s="60"/>
      <c r="BE11" s="60"/>
      <c r="BF11" s="60"/>
      <c r="BG11" s="60"/>
      <c r="BH11" s="60"/>
      <c r="BI11" s="60"/>
      <c r="BJ11" s="60"/>
      <c r="BK11" s="60"/>
      <c r="BL11" s="60"/>
      <c r="BM11" s="60"/>
    </row>
    <row r="12" spans="1:65" s="51" customFormat="1" ht="30" customHeight="1" thickBot="1" x14ac:dyDescent="0.35">
      <c r="A12" s="46"/>
      <c r="B12" s="99" t="s">
        <v>411</v>
      </c>
      <c r="C12" s="98" t="s">
        <v>407</v>
      </c>
      <c r="D12" s="97"/>
      <c r="E12" s="96">
        <v>43650</v>
      </c>
      <c r="F12" s="96">
        <f>E12+6</f>
        <v>43656</v>
      </c>
      <c r="G12" s="61"/>
      <c r="H12" s="61">
        <f t="shared" si="2"/>
        <v>7</v>
      </c>
      <c r="I12" s="66"/>
      <c r="J12" s="60"/>
      <c r="K12" s="60"/>
      <c r="L12" s="60"/>
      <c r="M12" s="60"/>
      <c r="N12" s="60"/>
      <c r="O12" s="60"/>
      <c r="P12" s="60"/>
      <c r="Q12" s="60"/>
      <c r="R12" s="60"/>
      <c r="S12" s="60"/>
      <c r="T12" s="60"/>
      <c r="U12" s="60"/>
      <c r="V12" s="60"/>
      <c r="W12" s="60"/>
      <c r="X12" s="60"/>
      <c r="Y12" s="60"/>
      <c r="Z12" s="60"/>
      <c r="AA12" s="60"/>
      <c r="AB12" s="60"/>
      <c r="AC12" s="60"/>
      <c r="AD12" s="60"/>
      <c r="AE12" s="60"/>
      <c r="AF12" s="60"/>
      <c r="AG12" s="60"/>
      <c r="AH12" s="60"/>
      <c r="AI12" s="60"/>
      <c r="AJ12" s="60"/>
      <c r="AK12" s="60"/>
      <c r="AL12" s="60"/>
      <c r="AM12" s="60"/>
      <c r="AN12" s="60"/>
      <c r="AO12" s="60"/>
      <c r="AP12" s="60"/>
      <c r="AQ12" s="60"/>
      <c r="AR12" s="60"/>
      <c r="AS12" s="60"/>
      <c r="AT12" s="60"/>
      <c r="AU12" s="60"/>
      <c r="AV12" s="60"/>
      <c r="AW12" s="60"/>
      <c r="AX12" s="60"/>
      <c r="AY12" s="60"/>
      <c r="AZ12" s="60"/>
      <c r="BA12" s="60"/>
      <c r="BB12" s="60"/>
      <c r="BC12" s="60"/>
      <c r="BD12" s="60"/>
      <c r="BE12" s="60"/>
      <c r="BF12" s="60"/>
      <c r="BG12" s="60"/>
      <c r="BH12" s="60"/>
      <c r="BI12" s="60"/>
      <c r="BJ12" s="60"/>
      <c r="BK12" s="60"/>
      <c r="BL12" s="60"/>
      <c r="BM12" s="60"/>
    </row>
    <row r="13" spans="1:65" s="51" customFormat="1" ht="30" customHeight="1" thickBot="1" x14ac:dyDescent="0.35">
      <c r="A13" s="46"/>
      <c r="B13" s="99" t="s">
        <v>412</v>
      </c>
      <c r="C13" s="98" t="s">
        <v>407</v>
      </c>
      <c r="D13" s="97"/>
      <c r="E13" s="96">
        <v>43658</v>
      </c>
      <c r="F13" s="96">
        <f>E13+14</f>
        <v>43672</v>
      </c>
      <c r="G13" s="61"/>
      <c r="H13" s="61">
        <f t="shared" si="2"/>
        <v>15</v>
      </c>
      <c r="I13" s="89"/>
      <c r="J13" s="60"/>
      <c r="K13" s="60"/>
      <c r="L13" s="60"/>
      <c r="M13" s="60"/>
      <c r="N13" s="60"/>
      <c r="O13" s="60"/>
      <c r="P13" s="60"/>
      <c r="Q13" s="60"/>
      <c r="R13" s="60"/>
      <c r="S13" s="60"/>
      <c r="T13" s="60"/>
      <c r="U13" s="60"/>
      <c r="V13" s="60"/>
      <c r="W13" s="60"/>
      <c r="X13" s="60"/>
      <c r="Y13" s="60"/>
      <c r="Z13" s="90"/>
      <c r="AA13" s="60"/>
      <c r="AB13" s="60"/>
      <c r="AC13" s="60"/>
      <c r="AD13" s="60"/>
      <c r="AE13" s="60"/>
      <c r="AF13" s="60"/>
      <c r="AG13" s="60"/>
      <c r="AH13" s="60"/>
      <c r="AI13" s="60"/>
      <c r="AJ13" s="60"/>
      <c r="AK13" s="60"/>
      <c r="AL13" s="60"/>
      <c r="AM13" s="60"/>
      <c r="AN13" s="60"/>
      <c r="AO13" s="60"/>
      <c r="AP13" s="60"/>
      <c r="AQ13" s="60"/>
      <c r="AR13" s="60"/>
      <c r="AS13" s="60"/>
      <c r="AT13" s="60"/>
      <c r="AU13" s="60"/>
      <c r="AV13" s="60"/>
      <c r="AW13" s="60"/>
      <c r="AX13" s="60"/>
      <c r="AY13" s="60"/>
      <c r="AZ13" s="60"/>
      <c r="BA13" s="60"/>
      <c r="BB13" s="60"/>
      <c r="BC13" s="60"/>
      <c r="BD13" s="60"/>
      <c r="BE13" s="60"/>
      <c r="BF13" s="60"/>
      <c r="BG13" s="60"/>
      <c r="BH13" s="60"/>
      <c r="BI13" s="60"/>
      <c r="BJ13" s="60"/>
      <c r="BK13" s="60"/>
      <c r="BL13" s="60"/>
      <c r="BM13" s="60"/>
    </row>
    <row r="14" spans="1:65" s="51" customFormat="1" ht="30" customHeight="1" thickBot="1" x14ac:dyDescent="0.35">
      <c r="A14" s="46"/>
      <c r="B14" s="99" t="s">
        <v>414</v>
      </c>
      <c r="C14" s="98" t="s">
        <v>407</v>
      </c>
      <c r="D14" s="97"/>
      <c r="E14" s="96">
        <v>43661</v>
      </c>
      <c r="F14" s="96">
        <f>E14+10</f>
        <v>43671</v>
      </c>
      <c r="G14" s="61"/>
      <c r="H14" s="61">
        <f t="shared" si="2"/>
        <v>11</v>
      </c>
      <c r="I14" s="66"/>
      <c r="J14" s="60"/>
      <c r="K14" s="60"/>
      <c r="L14" s="60"/>
      <c r="M14" s="60"/>
      <c r="N14" s="60"/>
      <c r="O14" s="60"/>
      <c r="P14" s="60"/>
      <c r="Q14" s="60"/>
      <c r="R14" s="60"/>
      <c r="S14" s="60"/>
      <c r="T14" s="60"/>
      <c r="U14" s="60"/>
      <c r="V14" s="60"/>
      <c r="W14" s="60"/>
      <c r="X14" s="60"/>
      <c r="Y14" s="60"/>
      <c r="Z14" s="60"/>
      <c r="AA14" s="60"/>
      <c r="AB14" s="60"/>
      <c r="AC14" s="60"/>
      <c r="AD14" s="60"/>
      <c r="AE14" s="60"/>
      <c r="AF14" s="60"/>
      <c r="AG14" s="60"/>
      <c r="AH14" s="60"/>
      <c r="AI14" s="60"/>
      <c r="AJ14" s="60"/>
      <c r="AK14" s="60"/>
      <c r="AL14" s="60"/>
      <c r="AM14" s="60"/>
      <c r="AN14" s="60"/>
      <c r="AO14" s="60"/>
      <c r="AP14" s="60"/>
      <c r="AQ14" s="60"/>
      <c r="AR14" s="60"/>
      <c r="AS14" s="60"/>
      <c r="AT14" s="60"/>
      <c r="AU14" s="60"/>
      <c r="AV14" s="60"/>
      <c r="AW14" s="60"/>
      <c r="AX14" s="60"/>
      <c r="AY14" s="60"/>
      <c r="AZ14" s="60"/>
      <c r="BA14" s="60"/>
      <c r="BB14" s="60"/>
      <c r="BC14" s="60"/>
      <c r="BD14" s="60"/>
      <c r="BE14" s="60"/>
      <c r="BF14" s="60"/>
      <c r="BG14" s="60"/>
      <c r="BH14" s="60"/>
      <c r="BI14" s="60"/>
      <c r="BJ14" s="60"/>
      <c r="BK14" s="60"/>
      <c r="BL14" s="60"/>
      <c r="BM14" s="60"/>
    </row>
    <row r="15" spans="1:65" s="51" customFormat="1" ht="30" customHeight="1" thickBot="1" x14ac:dyDescent="0.35">
      <c r="A15" s="46"/>
      <c r="B15" s="99" t="s">
        <v>415</v>
      </c>
      <c r="C15" s="98" t="s">
        <v>407</v>
      </c>
      <c r="D15" s="97"/>
      <c r="E15" s="96">
        <v>43674</v>
      </c>
      <c r="F15" s="96">
        <f>E15+5</f>
        <v>43679</v>
      </c>
      <c r="G15" s="61"/>
      <c r="H15" s="61">
        <f t="shared" si="2"/>
        <v>6</v>
      </c>
      <c r="I15" s="66"/>
      <c r="J15" s="60"/>
      <c r="K15" s="60"/>
      <c r="L15" s="60"/>
      <c r="M15" s="60"/>
      <c r="N15" s="60"/>
      <c r="O15" s="60"/>
      <c r="P15" s="60"/>
      <c r="Q15" s="60"/>
      <c r="R15" s="60"/>
      <c r="S15" s="60"/>
      <c r="T15" s="60"/>
      <c r="U15" s="60"/>
      <c r="V15" s="60"/>
      <c r="W15" s="60"/>
      <c r="X15" s="60"/>
      <c r="Y15" s="60"/>
      <c r="Z15" s="90"/>
      <c r="AA15" s="60"/>
      <c r="AB15" s="60"/>
      <c r="AC15" s="60"/>
      <c r="AD15" s="60"/>
      <c r="AE15" s="60"/>
      <c r="AF15" s="60"/>
      <c r="AG15" s="60"/>
      <c r="AH15" s="60"/>
      <c r="AI15" s="60"/>
      <c r="AJ15" s="60"/>
      <c r="AK15" s="60"/>
      <c r="AL15" s="60"/>
      <c r="AM15" s="60"/>
      <c r="AN15" s="60"/>
      <c r="AO15" s="60"/>
      <c r="AP15" s="60"/>
      <c r="AQ15" s="60"/>
      <c r="AR15" s="60"/>
      <c r="AS15" s="60"/>
      <c r="AT15" s="60"/>
      <c r="AU15" s="60"/>
      <c r="AV15" s="60"/>
      <c r="AW15" s="60"/>
      <c r="AX15" s="60"/>
      <c r="AY15" s="60"/>
      <c r="AZ15" s="60"/>
      <c r="BA15" s="60"/>
      <c r="BB15" s="60"/>
      <c r="BC15" s="60"/>
      <c r="BD15" s="60"/>
      <c r="BE15" s="60"/>
      <c r="BF15" s="60"/>
      <c r="BG15" s="60"/>
      <c r="BH15" s="60"/>
      <c r="BI15" s="60"/>
      <c r="BJ15" s="60"/>
      <c r="BK15" s="60"/>
      <c r="BL15" s="60"/>
      <c r="BM15" s="60"/>
    </row>
    <row r="16" spans="1:65" s="51" customFormat="1" ht="30" customHeight="1" thickBot="1" x14ac:dyDescent="0.35">
      <c r="A16" s="46"/>
      <c r="B16" s="99"/>
      <c r="C16" s="98"/>
      <c r="D16" s="97"/>
      <c r="E16" s="96"/>
      <c r="F16" s="96"/>
      <c r="G16" s="61"/>
      <c r="H16" s="61" t="str">
        <f t="shared" si="2"/>
        <v/>
      </c>
      <c r="I16" s="66"/>
      <c r="J16" s="60"/>
      <c r="K16" s="60"/>
      <c r="L16" s="60"/>
      <c r="M16" s="60"/>
      <c r="N16" s="60"/>
      <c r="O16" s="60"/>
      <c r="P16" s="60"/>
      <c r="Q16" s="60"/>
      <c r="R16" s="60"/>
      <c r="S16" s="60"/>
      <c r="T16" s="60"/>
      <c r="U16" s="60"/>
      <c r="V16" s="60"/>
      <c r="W16" s="60"/>
      <c r="X16" s="60"/>
      <c r="Y16" s="60"/>
      <c r="Z16" s="90"/>
      <c r="AA16" s="60"/>
      <c r="AB16" s="60"/>
      <c r="AC16" s="60"/>
      <c r="AD16" s="60"/>
      <c r="AE16" s="60"/>
      <c r="AF16" s="60"/>
      <c r="AG16" s="60"/>
      <c r="AH16" s="60"/>
      <c r="AI16" s="60"/>
      <c r="AJ16" s="60"/>
      <c r="AK16" s="60"/>
      <c r="AL16" s="60"/>
      <c r="AM16" s="60"/>
      <c r="AN16" s="60"/>
      <c r="AO16" s="60"/>
      <c r="AP16" s="60"/>
      <c r="AQ16" s="60"/>
      <c r="AR16" s="60"/>
      <c r="AS16" s="60"/>
      <c r="AT16" s="60"/>
      <c r="AU16" s="60"/>
      <c r="AV16" s="60"/>
      <c r="AW16" s="60"/>
      <c r="AX16" s="60"/>
      <c r="AY16" s="60"/>
      <c r="AZ16" s="60"/>
      <c r="BA16" s="60"/>
      <c r="BB16" s="60"/>
      <c r="BC16" s="60"/>
      <c r="BD16" s="60"/>
      <c r="BE16" s="60"/>
      <c r="BF16" s="60"/>
      <c r="BG16" s="60"/>
      <c r="BH16" s="60"/>
      <c r="BI16" s="60"/>
      <c r="BJ16" s="60"/>
      <c r="BK16" s="60"/>
      <c r="BL16" s="60"/>
      <c r="BM16" s="60"/>
    </row>
    <row r="17" spans="1:65" s="51" customFormat="1" ht="30" customHeight="1" thickBot="1" x14ac:dyDescent="0.35">
      <c r="A17" s="46"/>
      <c r="B17" s="99"/>
      <c r="C17" s="98"/>
      <c r="D17" s="97"/>
      <c r="E17" s="96"/>
      <c r="F17" s="96"/>
      <c r="G17" s="61"/>
      <c r="H17" s="61" t="str">
        <f t="shared" si="2"/>
        <v/>
      </c>
      <c r="I17" s="66"/>
      <c r="J17" s="60"/>
      <c r="K17" s="60"/>
      <c r="L17" s="60"/>
      <c r="M17" s="60"/>
      <c r="N17" s="60"/>
      <c r="O17" s="60"/>
      <c r="P17" s="60"/>
      <c r="Q17" s="60"/>
      <c r="R17" s="60"/>
      <c r="S17" s="60"/>
      <c r="T17" s="60"/>
      <c r="U17" s="60"/>
      <c r="V17" s="60"/>
      <c r="W17" s="60"/>
      <c r="X17" s="60"/>
      <c r="Y17" s="60"/>
      <c r="Z17" s="90"/>
      <c r="AA17" s="60"/>
      <c r="AB17" s="60"/>
      <c r="AC17" s="60"/>
      <c r="AD17" s="60"/>
      <c r="AE17" s="60"/>
      <c r="AF17" s="60"/>
      <c r="AG17" s="60"/>
      <c r="AH17" s="60"/>
      <c r="AI17" s="60"/>
      <c r="AJ17" s="60"/>
      <c r="AK17" s="60"/>
      <c r="AL17" s="60"/>
      <c r="AM17" s="60"/>
      <c r="AN17" s="60"/>
      <c r="AO17" s="60"/>
      <c r="AP17" s="60"/>
      <c r="AQ17" s="60"/>
      <c r="AR17" s="60"/>
      <c r="AS17" s="60"/>
      <c r="AT17" s="60"/>
      <c r="AU17" s="60"/>
      <c r="AV17" s="60"/>
      <c r="AW17" s="60"/>
      <c r="AX17" s="60"/>
      <c r="AY17" s="60"/>
      <c r="AZ17" s="60"/>
      <c r="BA17" s="60"/>
      <c r="BB17" s="60"/>
      <c r="BC17" s="60"/>
      <c r="BD17" s="60"/>
      <c r="BE17" s="60"/>
      <c r="BF17" s="60"/>
      <c r="BG17" s="60"/>
      <c r="BH17" s="60"/>
      <c r="BI17" s="60"/>
      <c r="BJ17" s="60"/>
      <c r="BK17" s="60"/>
      <c r="BL17" s="60"/>
      <c r="BM17" s="60"/>
    </row>
    <row r="18" spans="1:65" s="51" customFormat="1" ht="30" customHeight="1" thickBot="1" x14ac:dyDescent="0.35">
      <c r="A18" s="46"/>
      <c r="B18" s="99"/>
      <c r="C18" s="98"/>
      <c r="D18" s="97"/>
      <c r="E18" s="96"/>
      <c r="F18" s="96"/>
      <c r="G18" s="61"/>
      <c r="H18" s="61" t="str">
        <f t="shared" si="2"/>
        <v/>
      </c>
      <c r="I18" s="89"/>
      <c r="J18" s="60"/>
      <c r="K18" s="60"/>
      <c r="L18" s="60"/>
      <c r="M18" s="60"/>
      <c r="N18" s="60"/>
      <c r="O18" s="60"/>
      <c r="P18" s="60"/>
      <c r="Q18" s="60"/>
      <c r="R18" s="60"/>
      <c r="S18" s="60"/>
      <c r="T18" s="60"/>
      <c r="U18" s="60"/>
      <c r="V18" s="60"/>
      <c r="W18" s="60"/>
      <c r="X18" s="60"/>
      <c r="Y18" s="60"/>
      <c r="Z18" s="90"/>
      <c r="AA18" s="60"/>
      <c r="AB18" s="60"/>
      <c r="AC18" s="60"/>
      <c r="AD18" s="60"/>
      <c r="AE18" s="60"/>
      <c r="AF18" s="60"/>
      <c r="AG18" s="60"/>
      <c r="AH18" s="60"/>
      <c r="AI18" s="60"/>
      <c r="AJ18" s="60"/>
      <c r="AK18" s="60"/>
      <c r="AL18" s="60"/>
      <c r="AM18" s="60"/>
      <c r="AN18" s="60"/>
      <c r="AO18" s="60"/>
      <c r="AP18" s="60"/>
      <c r="AQ18" s="60"/>
      <c r="AR18" s="60"/>
      <c r="AS18" s="60"/>
      <c r="AT18" s="60"/>
      <c r="AU18" s="60"/>
      <c r="AV18" s="60"/>
      <c r="AW18" s="60"/>
      <c r="AX18" s="60"/>
      <c r="AY18" s="60"/>
      <c r="AZ18" s="60"/>
      <c r="BA18" s="60"/>
      <c r="BB18" s="60"/>
      <c r="BC18" s="60"/>
      <c r="BD18" s="60"/>
      <c r="BE18" s="60"/>
      <c r="BF18" s="60"/>
      <c r="BG18" s="60"/>
      <c r="BH18" s="60"/>
      <c r="BI18" s="60"/>
      <c r="BJ18" s="60"/>
      <c r="BK18" s="60"/>
      <c r="BL18" s="60"/>
      <c r="BM18" s="60"/>
    </row>
    <row r="19" spans="1:65" s="51" customFormat="1" ht="30" customHeight="1" thickBot="1" x14ac:dyDescent="0.35">
      <c r="A19" s="46"/>
      <c r="B19" s="99"/>
      <c r="C19" s="98"/>
      <c r="D19" s="97"/>
      <c r="E19" s="96"/>
      <c r="F19" s="96"/>
      <c r="G19" s="61"/>
      <c r="H19" s="61" t="str">
        <f t="shared" si="2"/>
        <v/>
      </c>
      <c r="I19" s="89"/>
      <c r="J19" s="60"/>
      <c r="K19" s="60"/>
      <c r="L19" s="60"/>
      <c r="M19" s="60"/>
      <c r="N19" s="60"/>
      <c r="O19" s="60"/>
      <c r="P19" s="60"/>
      <c r="Q19" s="60"/>
      <c r="R19" s="60"/>
      <c r="S19" s="60"/>
      <c r="T19" s="60"/>
      <c r="U19" s="60"/>
      <c r="V19" s="60"/>
      <c r="W19" s="60"/>
      <c r="X19" s="60"/>
      <c r="Y19" s="60"/>
      <c r="Z19" s="90"/>
      <c r="AA19" s="60"/>
      <c r="AB19" s="60"/>
      <c r="AC19" s="60"/>
      <c r="AD19" s="60"/>
      <c r="AE19" s="60"/>
      <c r="AF19" s="60"/>
      <c r="AG19" s="60"/>
      <c r="AH19" s="60"/>
      <c r="AI19" s="60"/>
      <c r="AJ19" s="60"/>
      <c r="AK19" s="60"/>
      <c r="AL19" s="60"/>
      <c r="AM19" s="60"/>
      <c r="AN19" s="60"/>
      <c r="AO19" s="60"/>
      <c r="AP19" s="60"/>
      <c r="AQ19" s="60"/>
      <c r="AR19" s="60"/>
      <c r="AS19" s="60"/>
      <c r="AT19" s="60"/>
      <c r="AU19" s="60"/>
      <c r="AV19" s="60"/>
      <c r="AW19" s="60"/>
      <c r="AX19" s="60"/>
      <c r="AY19" s="60"/>
      <c r="AZ19" s="60"/>
      <c r="BA19" s="60"/>
      <c r="BB19" s="60"/>
      <c r="BC19" s="60"/>
      <c r="BD19" s="60"/>
      <c r="BE19" s="60"/>
      <c r="BF19" s="60"/>
      <c r="BG19" s="60"/>
      <c r="BH19" s="60"/>
      <c r="BI19" s="60"/>
      <c r="BJ19" s="60"/>
      <c r="BK19" s="60"/>
      <c r="BL19" s="60"/>
      <c r="BM19" s="60"/>
    </row>
    <row r="20" spans="1:65" s="51" customFormat="1" ht="30" customHeight="1" thickBot="1" x14ac:dyDescent="0.35">
      <c r="A20" s="46"/>
      <c r="B20" s="99"/>
      <c r="C20" s="98"/>
      <c r="D20" s="97"/>
      <c r="E20" s="96"/>
      <c r="F20" s="96"/>
      <c r="G20" s="61"/>
      <c r="H20" s="61" t="str">
        <f t="shared" si="2"/>
        <v/>
      </c>
      <c r="I20" s="66"/>
      <c r="J20" s="60"/>
      <c r="K20" s="60"/>
      <c r="L20" s="60"/>
      <c r="M20" s="60"/>
      <c r="N20" s="60"/>
      <c r="O20" s="60"/>
      <c r="P20" s="60"/>
      <c r="Q20" s="60"/>
      <c r="R20" s="60"/>
      <c r="S20" s="60"/>
      <c r="T20" s="60"/>
      <c r="U20" s="60"/>
      <c r="V20" s="60"/>
      <c r="W20" s="60"/>
      <c r="X20" s="60"/>
      <c r="Y20" s="60"/>
      <c r="Z20" s="90"/>
      <c r="AA20" s="60"/>
      <c r="AB20" s="60"/>
      <c r="AC20" s="60"/>
      <c r="AD20" s="60"/>
      <c r="AE20" s="60"/>
      <c r="AF20" s="60"/>
      <c r="AG20" s="60"/>
      <c r="AH20" s="60"/>
      <c r="AI20" s="60"/>
      <c r="AJ20" s="60"/>
      <c r="AK20" s="60"/>
      <c r="AL20" s="60"/>
      <c r="AM20" s="60"/>
      <c r="AN20" s="60"/>
      <c r="AO20" s="60"/>
      <c r="AP20" s="60"/>
      <c r="AQ20" s="60"/>
      <c r="AR20" s="60"/>
      <c r="AS20" s="60"/>
      <c r="AT20" s="60"/>
      <c r="AU20" s="60"/>
      <c r="AV20" s="60"/>
      <c r="AW20" s="60"/>
      <c r="AX20" s="60"/>
      <c r="AY20" s="60"/>
      <c r="AZ20" s="60"/>
      <c r="BA20" s="60"/>
      <c r="BB20" s="60"/>
      <c r="BC20" s="60"/>
      <c r="BD20" s="60"/>
      <c r="BE20" s="60"/>
      <c r="BF20" s="60"/>
      <c r="BG20" s="60"/>
      <c r="BH20" s="60"/>
      <c r="BI20" s="60"/>
      <c r="BJ20" s="60"/>
      <c r="BK20" s="60"/>
      <c r="BL20" s="60"/>
      <c r="BM20" s="60"/>
    </row>
    <row r="21" spans="1:65" s="51" customFormat="1" ht="30" customHeight="1" thickBot="1" x14ac:dyDescent="0.35">
      <c r="A21" s="46"/>
      <c r="B21" s="99"/>
      <c r="C21" s="98"/>
      <c r="D21" s="97"/>
      <c r="E21" s="96"/>
      <c r="F21" s="96"/>
      <c r="G21" s="61"/>
      <c r="H21" s="61" t="str">
        <f t="shared" si="2"/>
        <v/>
      </c>
      <c r="I21" s="66"/>
      <c r="J21" s="60"/>
      <c r="K21" s="60"/>
      <c r="L21" s="60"/>
      <c r="M21" s="60"/>
      <c r="N21" s="60"/>
      <c r="O21" s="60"/>
      <c r="P21" s="60"/>
      <c r="Q21" s="60"/>
      <c r="R21" s="60"/>
      <c r="S21" s="60"/>
      <c r="T21" s="60"/>
      <c r="U21" s="60"/>
      <c r="V21" s="60"/>
      <c r="W21" s="60"/>
      <c r="X21" s="60"/>
      <c r="Y21" s="60"/>
      <c r="Z21" s="90"/>
      <c r="AA21" s="60"/>
      <c r="AB21" s="60"/>
      <c r="AC21" s="60"/>
      <c r="AD21" s="60"/>
      <c r="AE21" s="60"/>
      <c r="AF21" s="60"/>
      <c r="AG21" s="60"/>
      <c r="AH21" s="60"/>
      <c r="AI21" s="60"/>
      <c r="AJ21" s="60"/>
      <c r="AK21" s="60"/>
      <c r="AL21" s="60"/>
      <c r="AM21" s="60"/>
      <c r="AN21" s="60"/>
      <c r="AO21" s="60"/>
      <c r="AP21" s="60"/>
      <c r="AQ21" s="60"/>
      <c r="AR21" s="60"/>
      <c r="AS21" s="60"/>
      <c r="AT21" s="60"/>
      <c r="AU21" s="60"/>
      <c r="AV21" s="60"/>
      <c r="AW21" s="60"/>
      <c r="AX21" s="60"/>
      <c r="AY21" s="60"/>
      <c r="AZ21" s="60"/>
      <c r="BA21" s="60"/>
      <c r="BB21" s="60"/>
      <c r="BC21" s="60"/>
      <c r="BD21" s="60"/>
      <c r="BE21" s="60"/>
      <c r="BF21" s="60"/>
      <c r="BG21" s="60"/>
      <c r="BH21" s="60"/>
      <c r="BI21" s="60"/>
      <c r="BJ21" s="60"/>
      <c r="BK21" s="60"/>
      <c r="BL21" s="60"/>
      <c r="BM21" s="60"/>
    </row>
    <row r="22" spans="1:65" s="51" customFormat="1" ht="30" customHeight="1" thickBot="1" x14ac:dyDescent="0.35">
      <c r="A22" s="46"/>
      <c r="B22" s="99"/>
      <c r="C22" s="98"/>
      <c r="D22" s="97"/>
      <c r="E22" s="96"/>
      <c r="F22" s="96"/>
      <c r="G22" s="61"/>
      <c r="H22" s="61" t="str">
        <f t="shared" si="2"/>
        <v/>
      </c>
      <c r="I22" s="89"/>
      <c r="J22" s="60"/>
      <c r="K22" s="60"/>
      <c r="L22" s="60"/>
      <c r="M22" s="60"/>
      <c r="N22" s="60"/>
      <c r="O22" s="60"/>
      <c r="P22" s="60"/>
      <c r="Q22" s="60"/>
      <c r="R22" s="60"/>
      <c r="S22" s="60"/>
      <c r="T22" s="60"/>
      <c r="U22" s="60"/>
      <c r="V22" s="60"/>
      <c r="W22" s="60"/>
      <c r="X22" s="60"/>
      <c r="Y22" s="60"/>
      <c r="Z22" s="90"/>
      <c r="AA22" s="60"/>
      <c r="AB22" s="60"/>
      <c r="AC22" s="60"/>
      <c r="AD22" s="60"/>
      <c r="AE22" s="60"/>
      <c r="AF22" s="60"/>
      <c r="AG22" s="60"/>
      <c r="AH22" s="60"/>
      <c r="AI22" s="60"/>
      <c r="AJ22" s="60"/>
      <c r="AK22" s="60"/>
      <c r="AL22" s="60"/>
      <c r="AM22" s="60"/>
      <c r="AN22" s="60"/>
      <c r="AO22" s="60"/>
      <c r="AP22" s="60"/>
      <c r="AQ22" s="60"/>
      <c r="AR22" s="60"/>
      <c r="AS22" s="60"/>
      <c r="AT22" s="60"/>
      <c r="AU22" s="60"/>
      <c r="AV22" s="60"/>
      <c r="AW22" s="60"/>
      <c r="AX22" s="60"/>
      <c r="AY22" s="60"/>
      <c r="AZ22" s="60"/>
      <c r="BA22" s="60"/>
      <c r="BB22" s="60"/>
      <c r="BC22" s="60"/>
      <c r="BD22" s="60"/>
      <c r="BE22" s="60"/>
      <c r="BF22" s="60"/>
      <c r="BG22" s="60"/>
      <c r="BH22" s="60"/>
      <c r="BI22" s="60"/>
      <c r="BJ22" s="60"/>
      <c r="BK22" s="60"/>
      <c r="BL22" s="60"/>
      <c r="BM22" s="60"/>
    </row>
    <row r="23" spans="1:65" s="51" customFormat="1" ht="30" customHeight="1" thickBot="1" x14ac:dyDescent="0.35">
      <c r="A23" s="46"/>
      <c r="B23" s="99"/>
      <c r="C23" s="98"/>
      <c r="D23" s="97"/>
      <c r="E23" s="96"/>
      <c r="F23" s="96"/>
      <c r="G23" s="61"/>
      <c r="H23" s="61" t="str">
        <f t="shared" si="2"/>
        <v/>
      </c>
      <c r="I23" s="89"/>
      <c r="J23" s="60"/>
      <c r="K23" s="60"/>
      <c r="L23" s="60"/>
      <c r="M23" s="60"/>
      <c r="N23" s="60"/>
      <c r="O23" s="60"/>
      <c r="P23" s="60"/>
      <c r="Q23" s="60"/>
      <c r="R23" s="60"/>
      <c r="S23" s="60"/>
      <c r="T23" s="60"/>
      <c r="U23" s="60"/>
      <c r="V23" s="60"/>
      <c r="W23" s="60"/>
      <c r="X23" s="60"/>
      <c r="Y23" s="60"/>
      <c r="Z23" s="90"/>
      <c r="AA23" s="60"/>
      <c r="AB23" s="60"/>
      <c r="AC23" s="60"/>
      <c r="AD23" s="60"/>
      <c r="AE23" s="60"/>
      <c r="AF23" s="60"/>
      <c r="AG23" s="60"/>
      <c r="AH23" s="60"/>
      <c r="AI23" s="60"/>
      <c r="AJ23" s="60"/>
      <c r="AK23" s="60"/>
      <c r="AL23" s="60"/>
      <c r="AM23" s="60"/>
      <c r="AN23" s="60"/>
      <c r="AO23" s="60"/>
      <c r="AP23" s="60"/>
      <c r="AQ23" s="60"/>
      <c r="AR23" s="60"/>
      <c r="AS23" s="60"/>
      <c r="AT23" s="60"/>
      <c r="AU23" s="60"/>
      <c r="AV23" s="60"/>
      <c r="AW23" s="60"/>
      <c r="AX23" s="60"/>
      <c r="AY23" s="60"/>
      <c r="AZ23" s="60"/>
      <c r="BA23" s="60"/>
      <c r="BB23" s="60"/>
      <c r="BC23" s="60"/>
      <c r="BD23" s="60"/>
      <c r="BE23" s="60"/>
      <c r="BF23" s="60"/>
      <c r="BG23" s="60"/>
      <c r="BH23" s="60"/>
      <c r="BI23" s="60"/>
      <c r="BJ23" s="60"/>
      <c r="BK23" s="60"/>
      <c r="BL23" s="60"/>
      <c r="BM23" s="60"/>
    </row>
    <row r="24" spans="1:65" s="51" customFormat="1" ht="30" customHeight="1" thickBot="1" x14ac:dyDescent="0.35">
      <c r="A24" s="46"/>
      <c r="B24" s="99"/>
      <c r="C24" s="98"/>
      <c r="D24" s="97"/>
      <c r="E24" s="96"/>
      <c r="F24" s="96"/>
      <c r="G24" s="61"/>
      <c r="H24" s="61" t="str">
        <f t="shared" si="2"/>
        <v/>
      </c>
      <c r="I24" s="66"/>
      <c r="J24" s="60"/>
      <c r="K24" s="60"/>
      <c r="L24" s="60"/>
      <c r="M24" s="60"/>
      <c r="N24" s="60"/>
      <c r="O24" s="60"/>
      <c r="P24" s="60"/>
      <c r="Q24" s="60"/>
      <c r="R24" s="60"/>
      <c r="S24" s="60"/>
      <c r="T24" s="60"/>
      <c r="U24" s="60"/>
      <c r="V24" s="60"/>
      <c r="W24" s="60"/>
      <c r="X24" s="60"/>
      <c r="Y24" s="60"/>
      <c r="Z24" s="90"/>
      <c r="AA24" s="60"/>
      <c r="AB24" s="60"/>
      <c r="AC24" s="60"/>
      <c r="AD24" s="60"/>
      <c r="AE24" s="60"/>
      <c r="AF24" s="60"/>
      <c r="AG24" s="60"/>
      <c r="AH24" s="60"/>
      <c r="AI24" s="60"/>
      <c r="AJ24" s="60"/>
      <c r="AK24" s="60"/>
      <c r="AL24" s="60"/>
      <c r="AM24" s="60"/>
      <c r="AN24" s="60"/>
      <c r="AO24" s="60"/>
      <c r="AP24" s="60"/>
      <c r="AQ24" s="60"/>
      <c r="AR24" s="60"/>
      <c r="AS24" s="60"/>
      <c r="AT24" s="60"/>
      <c r="AU24" s="60"/>
      <c r="AV24" s="60"/>
      <c r="AW24" s="60"/>
      <c r="AX24" s="60"/>
      <c r="AY24" s="60"/>
      <c r="AZ24" s="60"/>
      <c r="BA24" s="60"/>
      <c r="BB24" s="60"/>
      <c r="BC24" s="60"/>
      <c r="BD24" s="60"/>
      <c r="BE24" s="60"/>
      <c r="BF24" s="60"/>
      <c r="BG24" s="60"/>
      <c r="BH24" s="60"/>
      <c r="BI24" s="60"/>
      <c r="BJ24" s="60"/>
      <c r="BK24" s="60"/>
      <c r="BL24" s="60"/>
      <c r="BM24" s="60"/>
    </row>
    <row r="25" spans="1:65" s="51" customFormat="1" ht="30" customHeight="1" thickBot="1" x14ac:dyDescent="0.35">
      <c r="A25" s="46"/>
      <c r="B25" s="99"/>
      <c r="C25" s="98"/>
      <c r="D25" s="97"/>
      <c r="E25" s="96"/>
      <c r="F25" s="96"/>
      <c r="G25" s="61"/>
      <c r="H25" s="61" t="str">
        <f t="shared" si="2"/>
        <v/>
      </c>
      <c r="I25" s="66"/>
      <c r="J25" s="60"/>
      <c r="K25" s="60"/>
      <c r="L25" s="60"/>
      <c r="M25" s="60"/>
      <c r="N25" s="60"/>
      <c r="O25" s="60"/>
      <c r="P25" s="60"/>
      <c r="Q25" s="60"/>
      <c r="R25" s="60"/>
      <c r="S25" s="60"/>
      <c r="T25" s="60"/>
      <c r="U25" s="60"/>
      <c r="V25" s="60"/>
      <c r="W25" s="60"/>
      <c r="X25" s="60"/>
      <c r="Y25" s="60"/>
      <c r="Z25" s="90"/>
      <c r="AA25" s="60"/>
      <c r="AB25" s="60"/>
      <c r="AC25" s="60"/>
      <c r="AD25" s="60"/>
      <c r="AE25" s="60"/>
      <c r="AF25" s="60"/>
      <c r="AG25" s="60"/>
      <c r="AH25" s="60"/>
      <c r="AI25" s="60"/>
      <c r="AJ25" s="60"/>
      <c r="AK25" s="60"/>
      <c r="AL25" s="60"/>
      <c r="AM25" s="60"/>
      <c r="AN25" s="60"/>
      <c r="AO25" s="60"/>
      <c r="AP25" s="60"/>
      <c r="AQ25" s="60"/>
      <c r="AR25" s="60"/>
      <c r="AS25" s="60"/>
      <c r="AT25" s="60"/>
      <c r="AU25" s="60"/>
      <c r="AV25" s="60"/>
      <c r="AW25" s="60"/>
      <c r="AX25" s="60"/>
      <c r="AY25" s="60"/>
      <c r="AZ25" s="60"/>
      <c r="BA25" s="60"/>
      <c r="BB25" s="60"/>
      <c r="BC25" s="60"/>
      <c r="BD25" s="60"/>
      <c r="BE25" s="60"/>
      <c r="BF25" s="60"/>
      <c r="BG25" s="60"/>
      <c r="BH25" s="60"/>
      <c r="BI25" s="60"/>
      <c r="BJ25" s="60"/>
      <c r="BK25" s="60"/>
      <c r="BL25" s="60"/>
      <c r="BM25" s="60"/>
    </row>
    <row r="26" spans="1:65" s="51" customFormat="1" ht="30" customHeight="1" thickBot="1" x14ac:dyDescent="0.35">
      <c r="A26" s="46"/>
      <c r="B26" s="99"/>
      <c r="C26" s="98"/>
      <c r="D26" s="97"/>
      <c r="E26" s="96"/>
      <c r="F26" s="96"/>
      <c r="G26" s="61"/>
      <c r="H26" s="61" t="str">
        <f t="shared" si="2"/>
        <v/>
      </c>
      <c r="I26" s="66"/>
      <c r="J26" s="60"/>
      <c r="K26" s="60"/>
      <c r="L26" s="60"/>
      <c r="M26" s="60"/>
      <c r="N26" s="60"/>
      <c r="O26" s="60"/>
      <c r="P26" s="60"/>
      <c r="Q26" s="60"/>
      <c r="R26" s="60"/>
      <c r="S26" s="60"/>
      <c r="T26" s="60"/>
      <c r="U26" s="60"/>
      <c r="V26" s="60"/>
      <c r="W26" s="60"/>
      <c r="X26" s="60"/>
      <c r="Y26" s="60"/>
      <c r="Z26" s="90"/>
      <c r="AA26" s="60"/>
      <c r="AB26" s="60"/>
      <c r="AC26" s="60"/>
      <c r="AD26" s="60"/>
      <c r="AE26" s="60"/>
      <c r="AF26" s="60"/>
      <c r="AG26" s="60"/>
      <c r="AH26" s="60"/>
      <c r="AI26" s="60"/>
      <c r="AJ26" s="60"/>
      <c r="AK26" s="60"/>
      <c r="AL26" s="60"/>
      <c r="AM26" s="60"/>
      <c r="AN26" s="60"/>
      <c r="AO26" s="60"/>
      <c r="AP26" s="60"/>
      <c r="AQ26" s="60"/>
      <c r="AR26" s="60"/>
      <c r="AS26" s="60"/>
      <c r="AT26" s="60"/>
      <c r="AU26" s="60"/>
      <c r="AV26" s="60"/>
      <c r="AW26" s="60"/>
      <c r="AX26" s="60"/>
      <c r="AY26" s="60"/>
      <c r="AZ26" s="60"/>
      <c r="BA26" s="60"/>
      <c r="BB26" s="60"/>
      <c r="BC26" s="60"/>
      <c r="BD26" s="60"/>
      <c r="BE26" s="60"/>
      <c r="BF26" s="60"/>
      <c r="BG26" s="60"/>
      <c r="BH26" s="60"/>
      <c r="BI26" s="60"/>
      <c r="BJ26" s="60"/>
      <c r="BK26" s="60"/>
      <c r="BL26" s="60"/>
      <c r="BM26" s="60"/>
    </row>
    <row r="27" spans="1:65" s="51" customFormat="1" ht="30" customHeight="1" thickBot="1" x14ac:dyDescent="0.35">
      <c r="A27" s="46"/>
      <c r="B27" s="99"/>
      <c r="C27" s="98"/>
      <c r="D27" s="97"/>
      <c r="E27" s="96"/>
      <c r="F27" s="96"/>
      <c r="G27" s="61"/>
      <c r="H27" s="61" t="str">
        <f t="shared" si="2"/>
        <v/>
      </c>
      <c r="I27" s="89"/>
      <c r="J27" s="60"/>
      <c r="K27" s="60"/>
      <c r="L27" s="60"/>
      <c r="M27" s="60"/>
      <c r="N27" s="60"/>
      <c r="O27" s="60"/>
      <c r="P27" s="60"/>
      <c r="Q27" s="60"/>
      <c r="R27" s="60"/>
      <c r="S27" s="60"/>
      <c r="T27" s="60"/>
      <c r="U27" s="60"/>
      <c r="V27" s="60"/>
      <c r="W27" s="60"/>
      <c r="X27" s="60"/>
      <c r="Y27" s="60"/>
      <c r="Z27" s="90"/>
      <c r="AA27" s="60"/>
      <c r="AB27" s="60"/>
      <c r="AC27" s="60"/>
      <c r="AD27" s="60"/>
      <c r="AE27" s="60"/>
      <c r="AF27" s="60"/>
      <c r="AG27" s="60"/>
      <c r="AH27" s="60"/>
      <c r="AI27" s="60"/>
      <c r="AJ27" s="60"/>
      <c r="AK27" s="60"/>
      <c r="AL27" s="60"/>
      <c r="AM27" s="60"/>
      <c r="AN27" s="60"/>
      <c r="AO27" s="60"/>
      <c r="AP27" s="60"/>
      <c r="AQ27" s="60"/>
      <c r="AR27" s="60"/>
      <c r="AS27" s="60"/>
      <c r="AT27" s="60"/>
      <c r="AU27" s="60"/>
      <c r="AV27" s="60"/>
      <c r="AW27" s="60"/>
      <c r="AX27" s="60"/>
      <c r="AY27" s="60"/>
      <c r="AZ27" s="60"/>
      <c r="BA27" s="60"/>
      <c r="BB27" s="60"/>
      <c r="BC27" s="60"/>
      <c r="BD27" s="60"/>
      <c r="BE27" s="60"/>
      <c r="BF27" s="60"/>
      <c r="BG27" s="60"/>
      <c r="BH27" s="60"/>
      <c r="BI27" s="60"/>
      <c r="BJ27" s="60"/>
      <c r="BK27" s="60"/>
      <c r="BL27" s="60"/>
      <c r="BM27" s="60"/>
    </row>
    <row r="28" spans="1:65" s="51" customFormat="1" ht="30" customHeight="1" thickBot="1" x14ac:dyDescent="0.35">
      <c r="A28" s="46"/>
      <c r="B28" s="99"/>
      <c r="C28" s="98"/>
      <c r="D28" s="97"/>
      <c r="E28" s="96"/>
      <c r="F28" s="96"/>
      <c r="G28" s="61"/>
      <c r="H28" s="61" t="str">
        <f t="shared" si="2"/>
        <v/>
      </c>
      <c r="I28" s="66"/>
      <c r="J28" s="60"/>
      <c r="K28" s="60"/>
      <c r="L28" s="60"/>
      <c r="M28" s="60"/>
      <c r="N28" s="60"/>
      <c r="O28" s="60"/>
      <c r="P28" s="60"/>
      <c r="Q28" s="60"/>
      <c r="R28" s="60"/>
      <c r="S28" s="60"/>
      <c r="T28" s="60"/>
      <c r="U28" s="60"/>
      <c r="V28" s="60"/>
      <c r="W28" s="60"/>
      <c r="X28" s="60"/>
      <c r="Y28" s="60"/>
      <c r="Z28" s="90"/>
      <c r="AA28" s="60"/>
      <c r="AB28" s="60"/>
      <c r="AC28" s="60"/>
      <c r="AD28" s="60"/>
      <c r="AE28" s="60"/>
      <c r="AF28" s="60"/>
      <c r="AG28" s="60"/>
      <c r="AH28" s="60"/>
      <c r="AI28" s="60"/>
      <c r="AJ28" s="60"/>
      <c r="AK28" s="60"/>
      <c r="AL28" s="60"/>
      <c r="AM28" s="60"/>
      <c r="AN28" s="60"/>
      <c r="AO28" s="60"/>
      <c r="AP28" s="60"/>
      <c r="AQ28" s="60"/>
      <c r="AR28" s="60"/>
      <c r="AS28" s="60"/>
      <c r="AT28" s="60"/>
      <c r="AU28" s="60"/>
      <c r="AV28" s="60"/>
      <c r="AW28" s="60"/>
      <c r="AX28" s="60"/>
      <c r="AY28" s="60"/>
      <c r="AZ28" s="60"/>
      <c r="BA28" s="60"/>
      <c r="BB28" s="60"/>
      <c r="BC28" s="60"/>
      <c r="BD28" s="60"/>
      <c r="BE28" s="60"/>
      <c r="BF28" s="60"/>
      <c r="BG28" s="60"/>
      <c r="BH28" s="60"/>
      <c r="BI28" s="60"/>
      <c r="BJ28" s="60"/>
      <c r="BK28" s="60"/>
      <c r="BL28" s="60"/>
      <c r="BM28" s="60"/>
    </row>
    <row r="29" spans="1:65" s="51" customFormat="1" ht="30" customHeight="1" thickBot="1" x14ac:dyDescent="0.35">
      <c r="A29" s="46"/>
      <c r="B29" s="99"/>
      <c r="C29" s="98"/>
      <c r="D29" s="97"/>
      <c r="E29" s="96"/>
      <c r="F29" s="96"/>
      <c r="G29" s="61"/>
      <c r="H29" s="61" t="str">
        <f t="shared" si="2"/>
        <v/>
      </c>
      <c r="I29" s="66"/>
      <c r="J29" s="60"/>
      <c r="K29" s="60"/>
      <c r="L29" s="60"/>
      <c r="M29" s="60"/>
      <c r="N29" s="60"/>
      <c r="O29" s="60"/>
      <c r="P29" s="60"/>
      <c r="Q29" s="60"/>
      <c r="R29" s="60"/>
      <c r="S29" s="60"/>
      <c r="T29" s="60"/>
      <c r="U29" s="60"/>
      <c r="V29" s="60"/>
      <c r="W29" s="60"/>
      <c r="X29" s="60"/>
      <c r="Y29" s="60"/>
      <c r="Z29" s="90"/>
      <c r="AA29" s="60"/>
      <c r="AB29" s="60"/>
      <c r="AC29" s="60"/>
      <c r="AD29" s="60"/>
      <c r="AE29" s="60"/>
      <c r="AF29" s="60"/>
      <c r="AG29" s="60"/>
      <c r="AH29" s="60"/>
      <c r="AI29" s="60"/>
      <c r="AJ29" s="60"/>
      <c r="AK29" s="60"/>
      <c r="AL29" s="60"/>
      <c r="AM29" s="60"/>
      <c r="AN29" s="60"/>
      <c r="AO29" s="60"/>
      <c r="AP29" s="60"/>
      <c r="AQ29" s="60"/>
      <c r="AR29" s="60"/>
      <c r="AS29" s="60"/>
      <c r="AT29" s="60"/>
      <c r="AU29" s="60"/>
      <c r="AV29" s="60"/>
      <c r="AW29" s="60"/>
      <c r="AX29" s="60"/>
      <c r="AY29" s="60"/>
      <c r="AZ29" s="60"/>
      <c r="BA29" s="60"/>
      <c r="BB29" s="60"/>
      <c r="BC29" s="60"/>
      <c r="BD29" s="60"/>
      <c r="BE29" s="60"/>
      <c r="BF29" s="60"/>
      <c r="BG29" s="60"/>
      <c r="BH29" s="60"/>
      <c r="BI29" s="60"/>
      <c r="BJ29" s="60"/>
      <c r="BK29" s="60"/>
      <c r="BL29" s="60"/>
      <c r="BM29" s="60"/>
    </row>
    <row r="30" spans="1:65" s="51" customFormat="1" ht="30" customHeight="1" thickBot="1" x14ac:dyDescent="0.35">
      <c r="A30" s="46"/>
      <c r="B30" s="99"/>
      <c r="C30" s="98"/>
      <c r="D30" s="97"/>
      <c r="E30" s="96"/>
      <c r="F30" s="96"/>
      <c r="G30" s="61"/>
      <c r="H30" s="61" t="str">
        <f t="shared" si="2"/>
        <v/>
      </c>
      <c r="I30" s="89"/>
      <c r="J30" s="60"/>
      <c r="K30" s="60"/>
      <c r="L30" s="60"/>
      <c r="M30" s="60"/>
      <c r="N30" s="60"/>
      <c r="O30" s="60"/>
      <c r="P30" s="60"/>
      <c r="Q30" s="60"/>
      <c r="R30" s="60"/>
      <c r="S30" s="60"/>
      <c r="T30" s="60"/>
      <c r="U30" s="60"/>
      <c r="V30" s="60"/>
      <c r="W30" s="60"/>
      <c r="X30" s="60"/>
      <c r="Y30" s="60"/>
      <c r="Z30" s="90"/>
      <c r="AA30" s="60"/>
      <c r="AB30" s="60"/>
      <c r="AC30" s="60"/>
      <c r="AD30" s="60"/>
      <c r="AE30" s="60"/>
      <c r="AF30" s="60"/>
      <c r="AG30" s="60"/>
      <c r="AH30" s="60"/>
      <c r="AI30" s="60"/>
      <c r="AJ30" s="60"/>
      <c r="AK30" s="60"/>
      <c r="AL30" s="60"/>
      <c r="AM30" s="60"/>
      <c r="AN30" s="60"/>
      <c r="AO30" s="60"/>
      <c r="AP30" s="60"/>
      <c r="AQ30" s="60"/>
      <c r="AR30" s="60"/>
      <c r="AS30" s="60"/>
      <c r="AT30" s="60"/>
      <c r="AU30" s="60"/>
      <c r="AV30" s="60"/>
      <c r="AW30" s="60"/>
      <c r="AX30" s="60"/>
      <c r="AY30" s="60"/>
      <c r="AZ30" s="60"/>
      <c r="BA30" s="60"/>
      <c r="BB30" s="60"/>
      <c r="BC30" s="60"/>
      <c r="BD30" s="60"/>
      <c r="BE30" s="60"/>
      <c r="BF30" s="60"/>
      <c r="BG30" s="60"/>
      <c r="BH30" s="60"/>
      <c r="BI30" s="60"/>
      <c r="BJ30" s="60"/>
      <c r="BK30" s="60"/>
      <c r="BL30" s="60"/>
      <c r="BM30" s="60"/>
    </row>
    <row r="31" spans="1:65" s="51" customFormat="1" ht="30" customHeight="1" thickBot="1" x14ac:dyDescent="0.35">
      <c r="A31" s="46"/>
      <c r="B31" s="99"/>
      <c r="C31" s="98"/>
      <c r="D31" s="97"/>
      <c r="E31" s="96"/>
      <c r="F31" s="96"/>
      <c r="G31" s="61"/>
      <c r="H31" s="61" t="str">
        <f t="shared" si="2"/>
        <v/>
      </c>
      <c r="I31" s="66"/>
      <c r="J31" s="60"/>
      <c r="K31" s="60"/>
      <c r="L31" s="60"/>
      <c r="M31" s="60"/>
      <c r="N31" s="60"/>
      <c r="O31" s="60"/>
      <c r="P31" s="60"/>
      <c r="Q31" s="60"/>
      <c r="R31" s="60"/>
      <c r="S31" s="60"/>
      <c r="T31" s="60"/>
      <c r="U31" s="60"/>
      <c r="V31" s="60"/>
      <c r="W31" s="60"/>
      <c r="X31" s="60"/>
      <c r="Y31" s="60"/>
      <c r="Z31" s="90"/>
      <c r="AA31" s="60"/>
      <c r="AB31" s="60"/>
      <c r="AC31" s="60"/>
      <c r="AD31" s="60"/>
      <c r="AE31" s="60"/>
      <c r="AF31" s="60"/>
      <c r="AG31" s="60"/>
      <c r="AH31" s="60"/>
      <c r="AI31" s="60"/>
      <c r="AJ31" s="60"/>
      <c r="AK31" s="60"/>
      <c r="AL31" s="60"/>
      <c r="AM31" s="60"/>
      <c r="AN31" s="60"/>
      <c r="AO31" s="60"/>
      <c r="AP31" s="60"/>
      <c r="AQ31" s="60"/>
      <c r="AR31" s="60"/>
      <c r="AS31" s="60"/>
      <c r="AT31" s="60"/>
      <c r="AU31" s="60"/>
      <c r="AV31" s="60"/>
      <c r="AW31" s="60"/>
      <c r="AX31" s="60"/>
      <c r="AY31" s="60"/>
      <c r="AZ31" s="60"/>
      <c r="BA31" s="60"/>
      <c r="BB31" s="60"/>
      <c r="BC31" s="60"/>
      <c r="BD31" s="60"/>
      <c r="BE31" s="60"/>
      <c r="BF31" s="60"/>
      <c r="BG31" s="60"/>
      <c r="BH31" s="60"/>
      <c r="BI31" s="60"/>
      <c r="BJ31" s="60"/>
      <c r="BK31" s="60"/>
      <c r="BL31" s="60"/>
      <c r="BM31" s="60"/>
    </row>
    <row r="32" spans="1:65" s="51" customFormat="1" ht="30" customHeight="1" thickBot="1" x14ac:dyDescent="0.35">
      <c r="A32" s="46"/>
      <c r="B32" s="99"/>
      <c r="C32" s="98"/>
      <c r="D32" s="97"/>
      <c r="E32" s="96"/>
      <c r="F32" s="96"/>
      <c r="G32" s="61"/>
      <c r="H32" s="61" t="str">
        <f t="shared" si="2"/>
        <v/>
      </c>
      <c r="I32" s="66"/>
      <c r="J32" s="60"/>
      <c r="K32" s="60"/>
      <c r="L32" s="60"/>
      <c r="M32" s="60"/>
      <c r="N32" s="60"/>
      <c r="O32" s="60"/>
      <c r="P32" s="60"/>
      <c r="Q32" s="60"/>
      <c r="R32" s="60"/>
      <c r="S32" s="60"/>
      <c r="T32" s="60"/>
      <c r="U32" s="60"/>
      <c r="V32" s="60"/>
      <c r="W32" s="60"/>
      <c r="X32" s="60"/>
      <c r="Y32" s="60"/>
      <c r="Z32" s="90"/>
      <c r="AA32" s="60"/>
      <c r="AB32" s="60"/>
      <c r="AC32" s="60"/>
      <c r="AD32" s="60"/>
      <c r="AE32" s="60"/>
      <c r="AF32" s="60"/>
      <c r="AG32" s="60"/>
      <c r="AH32" s="60"/>
      <c r="AI32" s="60"/>
      <c r="AJ32" s="60"/>
      <c r="AK32" s="60"/>
      <c r="AL32" s="60"/>
      <c r="AM32" s="60"/>
      <c r="AN32" s="60"/>
      <c r="AO32" s="60"/>
      <c r="AP32" s="60"/>
      <c r="AQ32" s="60"/>
      <c r="AR32" s="60"/>
      <c r="AS32" s="60"/>
      <c r="AT32" s="60"/>
      <c r="AU32" s="60"/>
      <c r="AV32" s="60"/>
      <c r="AW32" s="60"/>
      <c r="AX32" s="60"/>
      <c r="AY32" s="60"/>
      <c r="AZ32" s="60"/>
      <c r="BA32" s="60"/>
      <c r="BB32" s="60"/>
      <c r="BC32" s="60"/>
      <c r="BD32" s="60"/>
      <c r="BE32" s="60"/>
      <c r="BF32" s="60"/>
      <c r="BG32" s="60"/>
      <c r="BH32" s="60"/>
      <c r="BI32" s="60"/>
      <c r="BJ32" s="60"/>
      <c r="BK32" s="60"/>
      <c r="BL32" s="60"/>
      <c r="BM32" s="60"/>
    </row>
    <row r="33" spans="1:65" s="51" customFormat="1" ht="30" customHeight="1" thickBot="1" x14ac:dyDescent="0.35">
      <c r="A33" s="46"/>
      <c r="B33" s="99"/>
      <c r="C33" s="98"/>
      <c r="D33" s="97"/>
      <c r="E33" s="96"/>
      <c r="F33" s="96"/>
      <c r="G33" s="61"/>
      <c r="H33" s="61" t="str">
        <f t="shared" si="2"/>
        <v/>
      </c>
      <c r="I33" s="66"/>
      <c r="J33" s="60"/>
      <c r="K33" s="60"/>
      <c r="L33" s="60"/>
      <c r="M33" s="60"/>
      <c r="N33" s="60"/>
      <c r="O33" s="60"/>
      <c r="P33" s="60"/>
      <c r="Q33" s="60"/>
      <c r="R33" s="60"/>
      <c r="S33" s="60"/>
      <c r="T33" s="60"/>
      <c r="U33" s="60"/>
      <c r="V33" s="60"/>
      <c r="W33" s="60"/>
      <c r="X33" s="60"/>
      <c r="Y33" s="60"/>
      <c r="Z33" s="90"/>
      <c r="AA33" s="60"/>
      <c r="AB33" s="60"/>
      <c r="AC33" s="60"/>
      <c r="AD33" s="60"/>
      <c r="AE33" s="60"/>
      <c r="AF33" s="60"/>
      <c r="AG33" s="60"/>
      <c r="AH33" s="60"/>
      <c r="AI33" s="60"/>
      <c r="AJ33" s="60"/>
      <c r="AK33" s="60"/>
      <c r="AL33" s="60"/>
      <c r="AM33" s="60"/>
      <c r="AN33" s="60"/>
      <c r="AO33" s="60"/>
      <c r="AP33" s="60"/>
      <c r="AQ33" s="60"/>
      <c r="AR33" s="60"/>
      <c r="AS33" s="60"/>
      <c r="AT33" s="60"/>
      <c r="AU33" s="60"/>
      <c r="AV33" s="60"/>
      <c r="AW33" s="60"/>
      <c r="AX33" s="60"/>
      <c r="AY33" s="60"/>
      <c r="AZ33" s="60"/>
      <c r="BA33" s="60"/>
      <c r="BB33" s="60"/>
      <c r="BC33" s="60"/>
      <c r="BD33" s="60"/>
      <c r="BE33" s="60"/>
      <c r="BF33" s="60"/>
      <c r="BG33" s="60"/>
      <c r="BH33" s="60"/>
      <c r="BI33" s="60"/>
      <c r="BJ33" s="60"/>
      <c r="BK33" s="60"/>
      <c r="BL33" s="60"/>
      <c r="BM33" s="60"/>
    </row>
    <row r="34" spans="1:65" s="51" customFormat="1" ht="30" customHeight="1" thickBot="1" x14ac:dyDescent="0.35">
      <c r="A34" s="59" t="s">
        <v>273</v>
      </c>
      <c r="B34" s="95" t="s">
        <v>416</v>
      </c>
      <c r="C34" s="94"/>
      <c r="D34" s="93"/>
      <c r="E34" s="92"/>
      <c r="F34" s="91"/>
      <c r="G34" s="61"/>
      <c r="H34" s="61" t="str">
        <f t="shared" si="2"/>
        <v/>
      </c>
      <c r="I34" s="66"/>
      <c r="J34" s="60"/>
      <c r="K34" s="60"/>
      <c r="L34" s="60"/>
      <c r="M34" s="60"/>
      <c r="N34" s="60"/>
      <c r="O34" s="60"/>
      <c r="P34" s="60"/>
      <c r="Q34" s="60"/>
      <c r="R34" s="60"/>
      <c r="S34" s="60"/>
      <c r="T34" s="60"/>
      <c r="U34" s="60"/>
      <c r="V34" s="60"/>
      <c r="W34" s="60"/>
      <c r="X34" s="60"/>
      <c r="Y34" s="60"/>
      <c r="Z34" s="60"/>
      <c r="AA34" s="60"/>
      <c r="AB34" s="60"/>
      <c r="AC34" s="60"/>
      <c r="AD34" s="60"/>
      <c r="AE34" s="60"/>
      <c r="AF34" s="60"/>
      <c r="AG34" s="60"/>
      <c r="AH34" s="60"/>
      <c r="AI34" s="60"/>
      <c r="AJ34" s="60"/>
      <c r="AK34" s="60"/>
      <c r="AL34" s="60"/>
      <c r="AM34" s="60"/>
      <c r="AN34" s="60"/>
      <c r="AO34" s="60"/>
      <c r="AP34" s="60"/>
      <c r="AQ34" s="60"/>
      <c r="AR34" s="60"/>
      <c r="AS34" s="60"/>
      <c r="AT34" s="60"/>
      <c r="AU34" s="60"/>
      <c r="AV34" s="60"/>
      <c r="AW34" s="60"/>
      <c r="AX34" s="60"/>
      <c r="AY34" s="60"/>
      <c r="AZ34" s="60"/>
      <c r="BA34" s="60"/>
      <c r="BB34" s="60"/>
      <c r="BC34" s="60"/>
      <c r="BD34" s="60"/>
      <c r="BE34" s="60"/>
      <c r="BF34" s="60"/>
      <c r="BG34" s="60"/>
      <c r="BH34" s="60"/>
      <c r="BI34" s="60"/>
      <c r="BJ34" s="60"/>
      <c r="BK34" s="60"/>
      <c r="BL34" s="60"/>
      <c r="BM34" s="60"/>
    </row>
    <row r="35" spans="1:65" s="51" customFormat="1" ht="30" customHeight="1" thickBot="1" x14ac:dyDescent="0.35">
      <c r="A35" s="59"/>
      <c r="B35" s="88" t="s">
        <v>417</v>
      </c>
      <c r="C35" s="87" t="s">
        <v>198</v>
      </c>
      <c r="D35" s="87"/>
      <c r="E35" s="86"/>
      <c r="F35" s="86"/>
      <c r="G35" s="61"/>
      <c r="H35" s="61" t="str">
        <f t="shared" si="2"/>
        <v/>
      </c>
      <c r="I35" s="66"/>
      <c r="J35" s="60"/>
      <c r="K35" s="60"/>
      <c r="L35" s="60"/>
      <c r="M35" s="60"/>
      <c r="N35" s="60"/>
      <c r="O35" s="60"/>
      <c r="P35" s="60"/>
      <c r="Q35" s="60"/>
      <c r="R35" s="60"/>
      <c r="S35" s="60"/>
      <c r="T35" s="60"/>
      <c r="U35" s="60"/>
      <c r="V35" s="60"/>
      <c r="W35" s="60"/>
      <c r="X35" s="60"/>
      <c r="Y35" s="60"/>
      <c r="Z35" s="60"/>
      <c r="AA35" s="60"/>
      <c r="AB35" s="60"/>
      <c r="AC35" s="60"/>
      <c r="AD35" s="60"/>
      <c r="AE35" s="60"/>
      <c r="AF35" s="60"/>
      <c r="AG35" s="60"/>
      <c r="AH35" s="60"/>
      <c r="AI35" s="60"/>
      <c r="AJ35" s="60"/>
      <c r="AK35" s="60"/>
      <c r="AL35" s="60"/>
      <c r="AM35" s="60"/>
      <c r="AN35" s="60"/>
      <c r="AO35" s="60"/>
      <c r="AP35" s="60"/>
      <c r="AQ35" s="60"/>
      <c r="AR35" s="60"/>
      <c r="AS35" s="60"/>
      <c r="AT35" s="60"/>
      <c r="AU35" s="60"/>
      <c r="AV35" s="60"/>
      <c r="AW35" s="60"/>
      <c r="AX35" s="60"/>
      <c r="AY35" s="60"/>
      <c r="AZ35" s="60"/>
      <c r="BA35" s="60"/>
      <c r="BB35" s="60"/>
      <c r="BC35" s="60"/>
      <c r="BD35" s="60"/>
      <c r="BE35" s="60"/>
      <c r="BF35" s="60"/>
      <c r="BG35" s="60"/>
      <c r="BH35" s="60"/>
      <c r="BI35" s="60"/>
      <c r="BJ35" s="60"/>
      <c r="BK35" s="60"/>
      <c r="BL35" s="60"/>
      <c r="BM35" s="60"/>
    </row>
    <row r="36" spans="1:65" s="51" customFormat="1" ht="30" customHeight="1" thickBot="1" x14ac:dyDescent="0.35">
      <c r="A36" s="59"/>
      <c r="B36" s="88" t="s">
        <v>418</v>
      </c>
      <c r="C36" s="87" t="s">
        <v>419</v>
      </c>
      <c r="D36" s="87"/>
      <c r="E36" s="86"/>
      <c r="F36" s="86"/>
      <c r="G36" s="61"/>
      <c r="H36" s="61" t="str">
        <f t="shared" si="2"/>
        <v/>
      </c>
      <c r="I36" s="89"/>
      <c r="J36" s="60"/>
      <c r="K36" s="60"/>
      <c r="L36" s="60"/>
      <c r="M36" s="60"/>
      <c r="N36" s="60"/>
      <c r="O36" s="60"/>
      <c r="P36" s="60"/>
      <c r="Q36" s="60"/>
      <c r="R36" s="60"/>
      <c r="S36" s="60"/>
      <c r="T36" s="60"/>
      <c r="U36" s="60"/>
      <c r="V36" s="60"/>
      <c r="W36" s="60"/>
      <c r="X36" s="60"/>
      <c r="Y36" s="60"/>
      <c r="Z36" s="60"/>
      <c r="AA36" s="60"/>
      <c r="AB36" s="60"/>
      <c r="AC36" s="60"/>
      <c r="AD36" s="60"/>
      <c r="AE36" s="60"/>
      <c r="AF36" s="60"/>
      <c r="AG36" s="60"/>
      <c r="AH36" s="60"/>
      <c r="AI36" s="60"/>
      <c r="AJ36" s="60"/>
      <c r="AK36" s="60"/>
      <c r="AL36" s="60"/>
      <c r="AM36" s="60"/>
      <c r="AN36" s="60"/>
      <c r="AO36" s="60"/>
      <c r="AP36" s="60"/>
      <c r="AQ36" s="60"/>
      <c r="AR36" s="60"/>
      <c r="AS36" s="60"/>
      <c r="AT36" s="60"/>
      <c r="AU36" s="60"/>
      <c r="AV36" s="60"/>
      <c r="AW36" s="60"/>
      <c r="AX36" s="60"/>
      <c r="AY36" s="60"/>
      <c r="AZ36" s="60"/>
      <c r="BA36" s="60"/>
      <c r="BB36" s="60"/>
      <c r="BC36" s="60"/>
      <c r="BD36" s="60"/>
      <c r="BE36" s="60"/>
      <c r="BF36" s="60"/>
      <c r="BG36" s="60"/>
      <c r="BH36" s="60"/>
      <c r="BI36" s="60"/>
      <c r="BJ36" s="60"/>
      <c r="BK36" s="60"/>
      <c r="BL36" s="60"/>
      <c r="BM36" s="60"/>
    </row>
    <row r="37" spans="1:65" s="51" customFormat="1" ht="30" customHeight="1" thickBot="1" x14ac:dyDescent="0.35">
      <c r="A37" s="46"/>
      <c r="B37" s="88" t="s">
        <v>421</v>
      </c>
      <c r="C37" s="87" t="s">
        <v>119</v>
      </c>
      <c r="D37" s="87"/>
      <c r="E37" s="86"/>
      <c r="F37" s="86"/>
      <c r="G37" s="61"/>
      <c r="H37" s="61" t="str">
        <f t="shared" si="2"/>
        <v/>
      </c>
      <c r="I37" s="66"/>
      <c r="J37" s="60"/>
      <c r="K37" s="60"/>
      <c r="L37" s="60"/>
      <c r="M37" s="60"/>
      <c r="N37" s="60"/>
      <c r="O37" s="60"/>
      <c r="P37" s="60"/>
      <c r="Q37" s="60"/>
      <c r="R37" s="60"/>
      <c r="S37" s="60"/>
      <c r="T37" s="60"/>
      <c r="U37" s="60"/>
      <c r="V37" s="90"/>
      <c r="W37" s="90"/>
      <c r="X37" s="60"/>
      <c r="Y37" s="60"/>
      <c r="Z37" s="60"/>
      <c r="AA37" s="60"/>
      <c r="AB37" s="60"/>
      <c r="AC37" s="60"/>
      <c r="AD37" s="60"/>
      <c r="AE37" s="60"/>
      <c r="AF37" s="60"/>
      <c r="AG37" s="60"/>
      <c r="AH37" s="60"/>
      <c r="AI37" s="60"/>
      <c r="AJ37" s="60"/>
      <c r="AK37" s="60"/>
      <c r="AL37" s="60"/>
      <c r="AM37" s="60"/>
      <c r="AN37" s="60"/>
      <c r="AO37" s="60"/>
      <c r="AP37" s="60"/>
      <c r="AQ37" s="60"/>
      <c r="AR37" s="60"/>
      <c r="AS37" s="60"/>
      <c r="AT37" s="60"/>
      <c r="AU37" s="60"/>
      <c r="AV37" s="60"/>
      <c r="AW37" s="60"/>
      <c r="AX37" s="60"/>
      <c r="AY37" s="60"/>
      <c r="AZ37" s="60"/>
      <c r="BA37" s="60"/>
      <c r="BB37" s="60"/>
      <c r="BC37" s="60"/>
      <c r="BD37" s="60"/>
      <c r="BE37" s="60"/>
      <c r="BF37" s="60"/>
      <c r="BG37" s="60"/>
      <c r="BH37" s="60"/>
      <c r="BI37" s="60"/>
      <c r="BJ37" s="60"/>
      <c r="BK37" s="60"/>
      <c r="BL37" s="60"/>
      <c r="BM37" s="60"/>
    </row>
    <row r="38" spans="1:65" s="51" customFormat="1" ht="30" customHeight="1" thickBot="1" x14ac:dyDescent="0.35">
      <c r="A38" s="46"/>
      <c r="B38" s="88" t="s">
        <v>420</v>
      </c>
      <c r="C38" s="87" t="s">
        <v>119</v>
      </c>
      <c r="D38" s="87"/>
      <c r="E38" s="86"/>
      <c r="F38" s="86"/>
      <c r="G38" s="61"/>
      <c r="H38" s="61" t="str">
        <f t="shared" si="2"/>
        <v/>
      </c>
      <c r="I38" s="89"/>
      <c r="J38" s="60"/>
      <c r="K38" s="60"/>
      <c r="L38" s="60"/>
      <c r="M38" s="60"/>
      <c r="N38" s="60"/>
      <c r="O38" s="60"/>
      <c r="P38" s="60"/>
      <c r="Q38" s="60"/>
      <c r="R38" s="60"/>
      <c r="S38" s="60"/>
      <c r="T38" s="60"/>
      <c r="U38" s="60"/>
      <c r="V38" s="60"/>
      <c r="W38" s="60"/>
      <c r="X38" s="60"/>
      <c r="Y38" s="60"/>
      <c r="Z38" s="60"/>
      <c r="AA38" s="60"/>
      <c r="AB38" s="60"/>
      <c r="AC38" s="60"/>
      <c r="AD38" s="60"/>
      <c r="AE38" s="60"/>
      <c r="AF38" s="60"/>
      <c r="AG38" s="60"/>
      <c r="AH38" s="60"/>
      <c r="AI38" s="60"/>
      <c r="AJ38" s="60"/>
      <c r="AK38" s="60"/>
      <c r="AL38" s="60"/>
      <c r="AM38" s="60"/>
      <c r="AN38" s="60"/>
      <c r="AO38" s="60"/>
      <c r="AP38" s="60"/>
      <c r="AQ38" s="60"/>
      <c r="AR38" s="60"/>
      <c r="AS38" s="60"/>
      <c r="AT38" s="60"/>
      <c r="AU38" s="60"/>
      <c r="AV38" s="60"/>
      <c r="AW38" s="60"/>
      <c r="AX38" s="60"/>
      <c r="AY38" s="60"/>
      <c r="AZ38" s="60"/>
      <c r="BA38" s="60"/>
      <c r="BB38" s="60"/>
      <c r="BC38" s="60"/>
      <c r="BD38" s="60"/>
      <c r="BE38" s="60"/>
      <c r="BF38" s="60"/>
      <c r="BG38" s="60"/>
      <c r="BH38" s="60"/>
      <c r="BI38" s="60"/>
      <c r="BJ38" s="60"/>
      <c r="BK38" s="60"/>
      <c r="BL38" s="60"/>
      <c r="BM38" s="60"/>
    </row>
    <row r="39" spans="1:65" s="51" customFormat="1" ht="30" customHeight="1" thickBot="1" x14ac:dyDescent="0.35">
      <c r="A39" s="46"/>
      <c r="B39" s="88" t="s">
        <v>423</v>
      </c>
      <c r="C39" s="87" t="s">
        <v>119</v>
      </c>
      <c r="D39" s="87"/>
      <c r="E39" s="86"/>
      <c r="F39" s="86"/>
      <c r="G39" s="61"/>
      <c r="H39" s="61" t="str">
        <f t="shared" ref="H39:H70" si="3">IF(OR(ISBLANK(task_start),ISBLANK(task_end)),"",task_end-task_start+1)</f>
        <v/>
      </c>
      <c r="I39" s="66"/>
      <c r="J39" s="60"/>
      <c r="K39" s="60"/>
      <c r="L39" s="60"/>
      <c r="M39" s="60"/>
      <c r="N39" s="60"/>
      <c r="O39" s="60"/>
      <c r="P39" s="60"/>
      <c r="Q39" s="60"/>
      <c r="R39" s="60"/>
      <c r="S39" s="60"/>
      <c r="T39" s="60"/>
      <c r="U39" s="60"/>
      <c r="V39" s="60"/>
      <c r="W39" s="60"/>
      <c r="X39" s="60"/>
      <c r="Y39" s="60"/>
      <c r="Z39" s="90"/>
      <c r="AA39" s="60"/>
      <c r="AB39" s="60"/>
      <c r="AC39" s="60"/>
      <c r="AD39" s="60"/>
      <c r="AE39" s="60"/>
      <c r="AF39" s="60"/>
      <c r="AG39" s="60"/>
      <c r="AH39" s="60"/>
      <c r="AI39" s="60"/>
      <c r="AJ39" s="60"/>
      <c r="AK39" s="60"/>
      <c r="AL39" s="60"/>
      <c r="AM39" s="60"/>
      <c r="AN39" s="60"/>
      <c r="AO39" s="60"/>
      <c r="AP39" s="60"/>
      <c r="AQ39" s="60"/>
      <c r="AR39" s="60"/>
      <c r="AS39" s="60"/>
      <c r="AT39" s="60"/>
      <c r="AU39" s="60"/>
      <c r="AV39" s="60"/>
      <c r="AW39" s="60"/>
      <c r="AX39" s="60"/>
      <c r="AY39" s="60"/>
      <c r="AZ39" s="60"/>
      <c r="BA39" s="60"/>
      <c r="BB39" s="60"/>
      <c r="BC39" s="60"/>
      <c r="BD39" s="60"/>
      <c r="BE39" s="60"/>
      <c r="BF39" s="60"/>
      <c r="BG39" s="60"/>
      <c r="BH39" s="60"/>
      <c r="BI39" s="60"/>
      <c r="BJ39" s="60"/>
      <c r="BK39" s="60"/>
      <c r="BL39" s="60"/>
      <c r="BM39" s="60"/>
    </row>
    <row r="40" spans="1:65" s="51" customFormat="1" ht="30" customHeight="1" thickBot="1" x14ac:dyDescent="0.35">
      <c r="A40" s="46"/>
      <c r="B40" s="88" t="s">
        <v>422</v>
      </c>
      <c r="C40" s="87" t="s">
        <v>424</v>
      </c>
      <c r="D40" s="87"/>
      <c r="E40" s="86"/>
      <c r="F40" s="86"/>
      <c r="G40" s="61"/>
      <c r="H40" s="61" t="str">
        <f t="shared" si="3"/>
        <v/>
      </c>
      <c r="I40" s="89"/>
      <c r="J40" s="60"/>
      <c r="K40" s="60"/>
      <c r="L40" s="60"/>
      <c r="M40" s="60"/>
      <c r="N40" s="60"/>
      <c r="O40" s="60"/>
      <c r="P40" s="60"/>
      <c r="Q40" s="60"/>
      <c r="R40" s="60"/>
      <c r="S40" s="60"/>
      <c r="T40" s="60"/>
      <c r="U40" s="60"/>
      <c r="V40" s="60"/>
      <c r="W40" s="60"/>
      <c r="X40" s="60"/>
      <c r="Y40" s="60"/>
      <c r="Z40" s="90"/>
      <c r="AA40" s="60"/>
      <c r="AB40" s="60"/>
      <c r="AC40" s="60"/>
      <c r="AD40" s="60"/>
      <c r="AE40" s="60"/>
      <c r="AF40" s="60"/>
      <c r="AG40" s="60"/>
      <c r="AH40" s="60"/>
      <c r="AI40" s="60"/>
      <c r="AJ40" s="60"/>
      <c r="AK40" s="60"/>
      <c r="AL40" s="60"/>
      <c r="AM40" s="60"/>
      <c r="AN40" s="60"/>
      <c r="AO40" s="60"/>
      <c r="AP40" s="60"/>
      <c r="AQ40" s="60"/>
      <c r="AR40" s="60"/>
      <c r="AS40" s="60"/>
      <c r="AT40" s="60"/>
      <c r="AU40" s="60"/>
      <c r="AV40" s="60"/>
      <c r="AW40" s="60"/>
      <c r="AX40" s="60"/>
      <c r="AY40" s="60"/>
      <c r="AZ40" s="60"/>
      <c r="BA40" s="60"/>
      <c r="BB40" s="60"/>
      <c r="BC40" s="60"/>
      <c r="BD40" s="60"/>
      <c r="BE40" s="60"/>
      <c r="BF40" s="60"/>
      <c r="BG40" s="60"/>
      <c r="BH40" s="60"/>
      <c r="BI40" s="60"/>
      <c r="BJ40" s="60"/>
      <c r="BK40" s="60"/>
      <c r="BL40" s="60"/>
      <c r="BM40" s="60"/>
    </row>
    <row r="41" spans="1:65" s="51" customFormat="1" ht="30" customHeight="1" thickBot="1" x14ac:dyDescent="0.35">
      <c r="A41" s="46"/>
      <c r="B41" s="88" t="s">
        <v>425</v>
      </c>
      <c r="C41" s="87" t="s">
        <v>119</v>
      </c>
      <c r="D41" s="87"/>
      <c r="E41" s="86"/>
      <c r="F41" s="86"/>
      <c r="G41" s="61"/>
      <c r="H41" s="61" t="str">
        <f t="shared" si="3"/>
        <v/>
      </c>
      <c r="I41" s="66"/>
      <c r="J41" s="60"/>
      <c r="K41" s="60"/>
      <c r="L41" s="60"/>
      <c r="M41" s="60"/>
      <c r="N41" s="60"/>
      <c r="O41" s="60"/>
      <c r="P41" s="60"/>
      <c r="Q41" s="60"/>
      <c r="R41" s="60"/>
      <c r="S41" s="60"/>
      <c r="T41" s="60"/>
      <c r="U41" s="60"/>
      <c r="V41" s="60"/>
      <c r="W41" s="60"/>
      <c r="X41" s="60"/>
      <c r="Y41" s="60"/>
      <c r="Z41" s="90"/>
      <c r="AA41" s="60"/>
      <c r="AB41" s="60"/>
      <c r="AC41" s="60"/>
      <c r="AD41" s="60"/>
      <c r="AE41" s="60"/>
      <c r="AF41" s="60"/>
      <c r="AG41" s="60"/>
      <c r="AH41" s="60"/>
      <c r="AI41" s="60"/>
      <c r="AJ41" s="60"/>
      <c r="AK41" s="60"/>
      <c r="AL41" s="60"/>
      <c r="AM41" s="60"/>
      <c r="AN41" s="60"/>
      <c r="AO41" s="60"/>
      <c r="AP41" s="60"/>
      <c r="AQ41" s="60"/>
      <c r="AR41" s="60"/>
      <c r="AS41" s="60"/>
      <c r="AT41" s="60"/>
      <c r="AU41" s="60"/>
      <c r="AV41" s="60"/>
      <c r="AW41" s="60"/>
      <c r="AX41" s="60"/>
      <c r="AY41" s="60"/>
      <c r="AZ41" s="60"/>
      <c r="BA41" s="60"/>
      <c r="BB41" s="60"/>
      <c r="BC41" s="60"/>
      <c r="BD41" s="60"/>
      <c r="BE41" s="60"/>
      <c r="BF41" s="60"/>
      <c r="BG41" s="60"/>
      <c r="BH41" s="60"/>
      <c r="BI41" s="60"/>
      <c r="BJ41" s="60"/>
      <c r="BK41" s="60"/>
      <c r="BL41" s="60"/>
      <c r="BM41" s="60"/>
    </row>
    <row r="42" spans="1:65" s="51" customFormat="1" ht="30" customHeight="1" thickBot="1" x14ac:dyDescent="0.35">
      <c r="A42" s="46"/>
      <c r="B42" s="88" t="s">
        <v>426</v>
      </c>
      <c r="C42" s="87"/>
      <c r="D42" s="87"/>
      <c r="E42" s="86"/>
      <c r="F42" s="86"/>
      <c r="G42" s="61"/>
      <c r="H42" s="61" t="str">
        <f t="shared" si="3"/>
        <v/>
      </c>
      <c r="I42" s="66"/>
      <c r="J42" s="60"/>
      <c r="K42" s="60"/>
      <c r="L42" s="60"/>
      <c r="M42" s="60"/>
      <c r="N42" s="60"/>
      <c r="O42" s="60"/>
      <c r="P42" s="60"/>
      <c r="Q42" s="60"/>
      <c r="R42" s="60"/>
      <c r="S42" s="60"/>
      <c r="T42" s="60"/>
      <c r="U42" s="60"/>
      <c r="V42" s="60"/>
      <c r="W42" s="60"/>
      <c r="X42" s="60"/>
      <c r="Y42" s="60"/>
      <c r="Z42" s="90"/>
      <c r="AA42" s="60"/>
      <c r="AB42" s="60"/>
      <c r="AC42" s="60"/>
      <c r="AD42" s="60"/>
      <c r="AE42" s="60"/>
      <c r="AF42" s="60"/>
      <c r="AG42" s="60"/>
      <c r="AH42" s="60"/>
      <c r="AI42" s="60"/>
      <c r="AJ42" s="60"/>
      <c r="AK42" s="60"/>
      <c r="AL42" s="60"/>
      <c r="AM42" s="60"/>
      <c r="AN42" s="60"/>
      <c r="AO42" s="60"/>
      <c r="AP42" s="60"/>
      <c r="AQ42" s="60"/>
      <c r="AR42" s="60"/>
      <c r="AS42" s="60"/>
      <c r="AT42" s="60"/>
      <c r="AU42" s="60"/>
      <c r="AV42" s="60"/>
      <c r="AW42" s="60"/>
      <c r="AX42" s="60"/>
      <c r="AY42" s="60"/>
      <c r="AZ42" s="60"/>
      <c r="BA42" s="60"/>
      <c r="BB42" s="60"/>
      <c r="BC42" s="60"/>
      <c r="BD42" s="60"/>
      <c r="BE42" s="60"/>
      <c r="BF42" s="60"/>
      <c r="BG42" s="60"/>
      <c r="BH42" s="60"/>
      <c r="BI42" s="60"/>
      <c r="BJ42" s="60"/>
      <c r="BK42" s="60"/>
      <c r="BL42" s="60"/>
      <c r="BM42" s="60"/>
    </row>
    <row r="43" spans="1:65" s="51" customFormat="1" ht="30" customHeight="1" thickBot="1" x14ac:dyDescent="0.35">
      <c r="A43" s="46"/>
      <c r="B43" s="88" t="s">
        <v>428</v>
      </c>
      <c r="C43" s="87" t="s">
        <v>119</v>
      </c>
      <c r="D43" s="87"/>
      <c r="E43" s="86"/>
      <c r="F43" s="86"/>
      <c r="G43" s="61"/>
      <c r="H43" s="61" t="str">
        <f t="shared" si="3"/>
        <v/>
      </c>
      <c r="I43" s="66"/>
      <c r="J43" s="60"/>
      <c r="K43" s="60"/>
      <c r="L43" s="60"/>
      <c r="M43" s="60"/>
      <c r="N43" s="60"/>
      <c r="O43" s="60"/>
      <c r="P43" s="60"/>
      <c r="Q43" s="60"/>
      <c r="R43" s="60"/>
      <c r="S43" s="60"/>
      <c r="T43" s="60"/>
      <c r="U43" s="60"/>
      <c r="V43" s="60"/>
      <c r="W43" s="60"/>
      <c r="X43" s="60"/>
      <c r="Y43" s="60"/>
      <c r="Z43" s="60"/>
      <c r="AA43" s="60"/>
      <c r="AB43" s="60"/>
      <c r="AC43" s="60"/>
      <c r="AD43" s="60"/>
      <c r="AE43" s="60"/>
      <c r="AF43" s="60"/>
      <c r="AG43" s="60"/>
      <c r="AH43" s="60"/>
      <c r="AI43" s="60"/>
      <c r="AJ43" s="60"/>
      <c r="AK43" s="60"/>
      <c r="AL43" s="60"/>
      <c r="AM43" s="60"/>
      <c r="AN43" s="60"/>
      <c r="AO43" s="60"/>
      <c r="AP43" s="60"/>
      <c r="AQ43" s="60"/>
      <c r="AR43" s="60"/>
      <c r="AS43" s="60"/>
      <c r="AT43" s="60"/>
      <c r="AU43" s="60"/>
      <c r="AV43" s="60"/>
      <c r="AW43" s="60"/>
      <c r="AX43" s="60"/>
      <c r="AY43" s="60"/>
      <c r="AZ43" s="60"/>
      <c r="BA43" s="60"/>
      <c r="BB43" s="60"/>
      <c r="BC43" s="60"/>
      <c r="BD43" s="60"/>
      <c r="BE43" s="60"/>
      <c r="BF43" s="60"/>
      <c r="BG43" s="60"/>
      <c r="BH43" s="60"/>
      <c r="BI43" s="60"/>
      <c r="BJ43" s="60"/>
      <c r="BK43" s="60"/>
      <c r="BL43" s="60"/>
      <c r="BM43" s="60"/>
    </row>
    <row r="44" spans="1:65" s="51" customFormat="1" ht="30" customHeight="1" thickBot="1" x14ac:dyDescent="0.35">
      <c r="A44" s="46"/>
      <c r="B44" s="88" t="s">
        <v>427</v>
      </c>
      <c r="C44" s="87" t="s">
        <v>119</v>
      </c>
      <c r="D44" s="87"/>
      <c r="E44" s="86"/>
      <c r="F44" s="86"/>
      <c r="G44" s="61"/>
      <c r="H44" s="61" t="str">
        <f t="shared" si="3"/>
        <v/>
      </c>
      <c r="I44" s="89"/>
      <c r="J44" s="60"/>
      <c r="K44" s="60"/>
      <c r="L44" s="60"/>
      <c r="M44" s="60"/>
      <c r="N44" s="60"/>
      <c r="O44" s="60"/>
      <c r="P44" s="60"/>
      <c r="Q44" s="60"/>
      <c r="R44" s="60"/>
      <c r="S44" s="60"/>
      <c r="T44" s="60"/>
      <c r="U44" s="60"/>
      <c r="V44" s="60"/>
      <c r="W44" s="60"/>
      <c r="X44" s="60"/>
      <c r="Y44" s="60"/>
      <c r="Z44" s="60"/>
      <c r="AA44" s="60"/>
      <c r="AB44" s="60"/>
      <c r="AC44" s="60"/>
      <c r="AD44" s="60"/>
      <c r="AE44" s="60"/>
      <c r="AF44" s="60"/>
      <c r="AG44" s="60"/>
      <c r="AH44" s="60"/>
      <c r="AI44" s="60"/>
      <c r="AJ44" s="60"/>
      <c r="AK44" s="60"/>
      <c r="AL44" s="60"/>
      <c r="AM44" s="60"/>
      <c r="AN44" s="60"/>
      <c r="AO44" s="60"/>
      <c r="AP44" s="60"/>
      <c r="AQ44" s="60"/>
      <c r="AR44" s="60"/>
      <c r="AS44" s="60"/>
      <c r="AT44" s="60"/>
      <c r="AU44" s="60"/>
      <c r="AV44" s="60"/>
      <c r="AW44" s="60"/>
      <c r="AX44" s="60"/>
      <c r="AY44" s="60"/>
      <c r="AZ44" s="60"/>
      <c r="BA44" s="60"/>
      <c r="BB44" s="60"/>
      <c r="BC44" s="60"/>
      <c r="BD44" s="60"/>
      <c r="BE44" s="60"/>
      <c r="BF44" s="60"/>
      <c r="BG44" s="60"/>
      <c r="BH44" s="60"/>
      <c r="BI44" s="60"/>
      <c r="BJ44" s="60"/>
      <c r="BK44" s="60"/>
      <c r="BL44" s="60"/>
      <c r="BM44" s="60"/>
    </row>
    <row r="45" spans="1:65" s="51" customFormat="1" ht="30" customHeight="1" thickBot="1" x14ac:dyDescent="0.35">
      <c r="A45" s="46"/>
      <c r="B45" s="88" t="s">
        <v>429</v>
      </c>
      <c r="C45" s="87" t="s">
        <v>119</v>
      </c>
      <c r="D45" s="87"/>
      <c r="E45" s="86"/>
      <c r="F45" s="86"/>
      <c r="G45" s="61"/>
      <c r="H45" s="61" t="str">
        <f t="shared" si="3"/>
        <v/>
      </c>
      <c r="I45" s="89"/>
      <c r="J45" s="60"/>
      <c r="K45" s="60"/>
      <c r="L45" s="60"/>
      <c r="M45" s="60"/>
      <c r="N45" s="60"/>
      <c r="O45" s="60"/>
      <c r="P45" s="60"/>
      <c r="Q45" s="60"/>
      <c r="R45" s="60"/>
      <c r="S45" s="60"/>
      <c r="T45" s="60"/>
      <c r="U45" s="60"/>
      <c r="V45" s="60"/>
      <c r="W45" s="60"/>
      <c r="X45" s="60"/>
      <c r="Y45" s="60"/>
      <c r="Z45" s="60"/>
      <c r="AA45" s="60"/>
      <c r="AB45" s="60"/>
      <c r="AC45" s="60"/>
      <c r="AD45" s="60"/>
      <c r="AE45" s="60"/>
      <c r="AF45" s="60"/>
      <c r="AG45" s="60"/>
      <c r="AH45" s="60"/>
      <c r="AI45" s="60"/>
      <c r="AJ45" s="60"/>
      <c r="AK45" s="60"/>
      <c r="AL45" s="60"/>
      <c r="AM45" s="60"/>
      <c r="AN45" s="60"/>
      <c r="AO45" s="60"/>
      <c r="AP45" s="60"/>
      <c r="AQ45" s="60"/>
      <c r="AR45" s="60"/>
      <c r="AS45" s="60"/>
      <c r="AT45" s="60"/>
      <c r="AU45" s="60"/>
      <c r="AV45" s="60"/>
      <c r="AW45" s="60"/>
      <c r="AX45" s="60"/>
      <c r="AY45" s="60"/>
      <c r="AZ45" s="60"/>
      <c r="BA45" s="60"/>
      <c r="BB45" s="60"/>
      <c r="BC45" s="60"/>
      <c r="BD45" s="60"/>
      <c r="BE45" s="60"/>
      <c r="BF45" s="60"/>
      <c r="BG45" s="60"/>
      <c r="BH45" s="60"/>
      <c r="BI45" s="60"/>
      <c r="BJ45" s="60"/>
      <c r="BK45" s="60"/>
      <c r="BL45" s="60"/>
      <c r="BM45" s="60"/>
    </row>
    <row r="46" spans="1:65" s="51" customFormat="1" ht="30" customHeight="1" thickBot="1" x14ac:dyDescent="0.35">
      <c r="A46" s="46"/>
      <c r="B46" s="88" t="s">
        <v>430</v>
      </c>
      <c r="C46" s="87" t="s">
        <v>119</v>
      </c>
      <c r="D46" s="87"/>
      <c r="E46" s="86"/>
      <c r="F46" s="86"/>
      <c r="G46" s="61"/>
      <c r="H46" s="61" t="str">
        <f t="shared" si="3"/>
        <v/>
      </c>
      <c r="I46" s="66"/>
      <c r="J46" s="60"/>
      <c r="K46" s="60"/>
      <c r="L46" s="60"/>
      <c r="M46" s="60"/>
      <c r="N46" s="60"/>
      <c r="O46" s="60"/>
      <c r="P46" s="60"/>
      <c r="Q46" s="60"/>
      <c r="R46" s="60"/>
      <c r="S46" s="60"/>
      <c r="T46" s="60"/>
      <c r="U46" s="60"/>
      <c r="V46" s="60"/>
      <c r="W46" s="60"/>
      <c r="X46" s="60"/>
      <c r="Y46" s="60"/>
      <c r="Z46" s="60"/>
      <c r="AA46" s="60"/>
      <c r="AB46" s="60"/>
      <c r="AC46" s="60"/>
      <c r="AD46" s="60"/>
      <c r="AE46" s="60"/>
      <c r="AF46" s="60"/>
      <c r="AG46" s="60"/>
      <c r="AH46" s="60"/>
      <c r="AI46" s="60"/>
      <c r="AJ46" s="60"/>
      <c r="AK46" s="60"/>
      <c r="AL46" s="60"/>
      <c r="AM46" s="60"/>
      <c r="AN46" s="60"/>
      <c r="AO46" s="60"/>
      <c r="AP46" s="60"/>
      <c r="AQ46" s="60"/>
      <c r="AR46" s="60"/>
      <c r="AS46" s="60"/>
      <c r="AT46" s="60"/>
      <c r="AU46" s="60"/>
      <c r="AV46" s="60"/>
      <c r="AW46" s="60"/>
      <c r="AX46" s="60"/>
      <c r="AY46" s="60"/>
      <c r="AZ46" s="60"/>
      <c r="BA46" s="60"/>
      <c r="BB46" s="60"/>
      <c r="BC46" s="60"/>
      <c r="BD46" s="60"/>
      <c r="BE46" s="60"/>
      <c r="BF46" s="60"/>
      <c r="BG46" s="60"/>
      <c r="BH46" s="60"/>
      <c r="BI46" s="60"/>
      <c r="BJ46" s="60"/>
      <c r="BK46" s="60"/>
      <c r="BL46" s="60"/>
      <c r="BM46" s="60"/>
    </row>
    <row r="47" spans="1:65" s="51" customFormat="1" ht="30" customHeight="1" thickBot="1" x14ac:dyDescent="0.35">
      <c r="A47" s="46"/>
      <c r="B47" s="88" t="s">
        <v>431</v>
      </c>
      <c r="C47" s="87" t="s">
        <v>119</v>
      </c>
      <c r="D47" s="87"/>
      <c r="E47" s="86"/>
      <c r="F47" s="86"/>
      <c r="G47" s="61"/>
      <c r="H47" s="61" t="str">
        <f t="shared" si="3"/>
        <v/>
      </c>
      <c r="I47" s="66"/>
      <c r="J47" s="60"/>
      <c r="K47" s="60"/>
      <c r="L47" s="60"/>
      <c r="M47" s="60"/>
      <c r="N47" s="60"/>
      <c r="O47" s="60"/>
      <c r="P47" s="60"/>
      <c r="Q47" s="60"/>
      <c r="R47" s="60"/>
      <c r="S47" s="60"/>
      <c r="T47" s="60"/>
      <c r="U47" s="60"/>
      <c r="V47" s="60"/>
      <c r="W47" s="60"/>
      <c r="X47" s="60"/>
      <c r="Y47" s="60"/>
      <c r="Z47" s="60"/>
      <c r="AA47" s="60"/>
      <c r="AB47" s="60"/>
      <c r="AC47" s="60"/>
      <c r="AD47" s="60"/>
      <c r="AE47" s="60"/>
      <c r="AF47" s="60"/>
      <c r="AG47" s="60"/>
      <c r="AH47" s="60"/>
      <c r="AI47" s="60"/>
      <c r="AJ47" s="60"/>
      <c r="AK47" s="60"/>
      <c r="AL47" s="60"/>
      <c r="AM47" s="60"/>
      <c r="AN47" s="60"/>
      <c r="AO47" s="60"/>
      <c r="AP47" s="60"/>
      <c r="AQ47" s="60"/>
      <c r="AR47" s="60"/>
      <c r="AS47" s="60"/>
      <c r="AT47" s="60"/>
      <c r="AU47" s="60"/>
      <c r="AV47" s="60"/>
      <c r="AW47" s="60"/>
      <c r="AX47" s="60"/>
      <c r="AY47" s="60"/>
      <c r="AZ47" s="60"/>
      <c r="BA47" s="60"/>
      <c r="BB47" s="60"/>
      <c r="BC47" s="60"/>
      <c r="BD47" s="60"/>
      <c r="BE47" s="60"/>
      <c r="BF47" s="60"/>
      <c r="BG47" s="60"/>
      <c r="BH47" s="60"/>
      <c r="BI47" s="60"/>
      <c r="BJ47" s="60"/>
      <c r="BK47" s="60"/>
      <c r="BL47" s="60"/>
      <c r="BM47" s="60"/>
    </row>
    <row r="48" spans="1:65" s="51" customFormat="1" ht="30" customHeight="1" thickBot="1" x14ac:dyDescent="0.35">
      <c r="A48" s="46"/>
      <c r="B48" s="88" t="s">
        <v>432</v>
      </c>
      <c r="C48" s="87" t="s">
        <v>119</v>
      </c>
      <c r="D48" s="87"/>
      <c r="E48" s="86"/>
      <c r="F48" s="86"/>
      <c r="G48" s="61"/>
      <c r="H48" s="61" t="str">
        <f t="shared" si="3"/>
        <v/>
      </c>
      <c r="I48" s="66"/>
      <c r="J48" s="60"/>
      <c r="K48" s="60"/>
      <c r="L48" s="60"/>
      <c r="M48" s="60"/>
      <c r="N48" s="60"/>
      <c r="O48" s="60"/>
      <c r="P48" s="60"/>
      <c r="Q48" s="60"/>
      <c r="R48" s="60"/>
      <c r="S48" s="60"/>
      <c r="T48" s="60"/>
      <c r="U48" s="60"/>
      <c r="V48" s="60"/>
      <c r="W48" s="60"/>
      <c r="X48" s="60"/>
      <c r="Y48" s="60"/>
      <c r="Z48" s="60"/>
      <c r="AA48" s="60"/>
      <c r="AB48" s="60"/>
      <c r="AC48" s="60"/>
      <c r="AD48" s="60"/>
      <c r="AE48" s="60"/>
      <c r="AF48" s="60"/>
      <c r="AG48" s="60"/>
      <c r="AH48" s="60"/>
      <c r="AI48" s="60"/>
      <c r="AJ48" s="60"/>
      <c r="AK48" s="60"/>
      <c r="AL48" s="60"/>
      <c r="AM48" s="60"/>
      <c r="AN48" s="60"/>
      <c r="AO48" s="60"/>
      <c r="AP48" s="60"/>
      <c r="AQ48" s="60"/>
      <c r="AR48" s="60"/>
      <c r="AS48" s="60"/>
      <c r="AT48" s="60"/>
      <c r="AU48" s="60"/>
      <c r="AV48" s="60"/>
      <c r="AW48" s="60"/>
      <c r="AX48" s="60"/>
      <c r="AY48" s="60"/>
      <c r="AZ48" s="60"/>
      <c r="BA48" s="60"/>
      <c r="BB48" s="60"/>
      <c r="BC48" s="60"/>
      <c r="BD48" s="60"/>
      <c r="BE48" s="60"/>
      <c r="BF48" s="60"/>
      <c r="BG48" s="60"/>
      <c r="BH48" s="60"/>
      <c r="BI48" s="60"/>
      <c r="BJ48" s="60"/>
      <c r="BK48" s="60"/>
      <c r="BL48" s="60"/>
      <c r="BM48" s="60"/>
    </row>
    <row r="49" spans="1:65" s="51" customFormat="1" ht="30" customHeight="1" thickBot="1" x14ac:dyDescent="0.35">
      <c r="A49" s="46"/>
      <c r="B49" s="88" t="s">
        <v>433</v>
      </c>
      <c r="C49" s="87" t="s">
        <v>119</v>
      </c>
      <c r="D49" s="87"/>
      <c r="E49" s="86"/>
      <c r="F49" s="86"/>
      <c r="G49" s="61"/>
      <c r="H49" s="61" t="str">
        <f t="shared" si="3"/>
        <v/>
      </c>
      <c r="I49" s="66"/>
      <c r="J49" s="60"/>
      <c r="K49" s="60"/>
      <c r="L49" s="60"/>
      <c r="M49" s="60"/>
      <c r="N49" s="60"/>
      <c r="O49" s="60"/>
      <c r="P49" s="60"/>
      <c r="Q49" s="60"/>
      <c r="R49" s="60"/>
      <c r="S49" s="60"/>
      <c r="T49" s="60"/>
      <c r="U49" s="60"/>
      <c r="V49" s="60"/>
      <c r="W49" s="60"/>
      <c r="X49" s="60"/>
      <c r="Y49" s="60"/>
      <c r="Z49" s="60"/>
      <c r="AA49" s="60"/>
      <c r="AB49" s="60"/>
      <c r="AC49" s="60"/>
      <c r="AD49" s="60"/>
      <c r="AE49" s="60"/>
      <c r="AF49" s="60"/>
      <c r="AG49" s="60"/>
      <c r="AH49" s="60"/>
      <c r="AI49" s="60"/>
      <c r="AJ49" s="60"/>
      <c r="AK49" s="60"/>
      <c r="AL49" s="60"/>
      <c r="AM49" s="60"/>
      <c r="AN49" s="60"/>
      <c r="AO49" s="60"/>
      <c r="AP49" s="60"/>
      <c r="AQ49" s="60"/>
      <c r="AR49" s="60"/>
      <c r="AS49" s="60"/>
      <c r="AT49" s="60"/>
      <c r="AU49" s="60"/>
      <c r="AV49" s="60"/>
      <c r="AW49" s="60"/>
      <c r="AX49" s="60"/>
      <c r="AY49" s="60"/>
      <c r="AZ49" s="60"/>
      <c r="BA49" s="60"/>
      <c r="BB49" s="60"/>
      <c r="BC49" s="60"/>
      <c r="BD49" s="60"/>
      <c r="BE49" s="60"/>
      <c r="BF49" s="60"/>
      <c r="BG49" s="60"/>
      <c r="BH49" s="60"/>
      <c r="BI49" s="60"/>
      <c r="BJ49" s="60"/>
      <c r="BK49" s="60"/>
      <c r="BL49" s="60"/>
      <c r="BM49" s="60"/>
    </row>
    <row r="50" spans="1:65" s="51" customFormat="1" ht="30" customHeight="1" thickBot="1" x14ac:dyDescent="0.35">
      <c r="A50" s="46"/>
      <c r="B50" s="88" t="s">
        <v>434</v>
      </c>
      <c r="C50" s="87" t="s">
        <v>119</v>
      </c>
      <c r="D50" s="87"/>
      <c r="E50" s="86"/>
      <c r="F50" s="86"/>
      <c r="G50" s="61"/>
      <c r="H50" s="61" t="str">
        <f t="shared" si="3"/>
        <v/>
      </c>
      <c r="I50" s="66"/>
      <c r="J50" s="60"/>
      <c r="K50" s="60"/>
      <c r="L50" s="60"/>
      <c r="M50" s="60"/>
      <c r="N50" s="60"/>
      <c r="O50" s="60"/>
      <c r="P50" s="60"/>
      <c r="Q50" s="60"/>
      <c r="R50" s="60"/>
      <c r="S50" s="60"/>
      <c r="T50" s="60"/>
      <c r="U50" s="60"/>
      <c r="V50" s="60"/>
      <c r="W50" s="60"/>
      <c r="X50" s="60"/>
      <c r="Y50" s="60"/>
      <c r="Z50" s="60"/>
      <c r="AA50" s="60"/>
      <c r="AB50" s="60"/>
      <c r="AC50" s="60"/>
      <c r="AD50" s="60"/>
      <c r="AE50" s="60"/>
      <c r="AF50" s="60"/>
      <c r="AG50" s="60"/>
      <c r="AH50" s="60"/>
      <c r="AI50" s="60"/>
      <c r="AJ50" s="60"/>
      <c r="AK50" s="60"/>
      <c r="AL50" s="60"/>
      <c r="AM50" s="60"/>
      <c r="AN50" s="60"/>
      <c r="AO50" s="60"/>
      <c r="AP50" s="60"/>
      <c r="AQ50" s="60"/>
      <c r="AR50" s="60"/>
      <c r="AS50" s="60"/>
      <c r="AT50" s="60"/>
      <c r="AU50" s="60"/>
      <c r="AV50" s="60"/>
      <c r="AW50" s="60"/>
      <c r="AX50" s="60"/>
      <c r="AY50" s="60"/>
      <c r="AZ50" s="60"/>
      <c r="BA50" s="60"/>
      <c r="BB50" s="60"/>
      <c r="BC50" s="60"/>
      <c r="BD50" s="60"/>
      <c r="BE50" s="60"/>
      <c r="BF50" s="60"/>
      <c r="BG50" s="60"/>
      <c r="BH50" s="60"/>
      <c r="BI50" s="60"/>
      <c r="BJ50" s="60"/>
      <c r="BK50" s="60"/>
      <c r="BL50" s="60"/>
      <c r="BM50" s="60"/>
    </row>
    <row r="51" spans="1:65" s="51" customFormat="1" ht="30" customHeight="1" thickBot="1" x14ac:dyDescent="0.35">
      <c r="A51" s="46"/>
      <c r="B51" s="88" t="s">
        <v>435</v>
      </c>
      <c r="C51" s="87" t="s">
        <v>119</v>
      </c>
      <c r="D51" s="87"/>
      <c r="E51" s="86"/>
      <c r="F51" s="86"/>
      <c r="G51" s="61"/>
      <c r="H51" s="61" t="str">
        <f t="shared" si="3"/>
        <v/>
      </c>
      <c r="I51" s="66"/>
      <c r="J51" s="60"/>
      <c r="K51" s="60"/>
      <c r="L51" s="60"/>
      <c r="M51" s="60"/>
      <c r="N51" s="60"/>
      <c r="O51" s="60"/>
      <c r="P51" s="60"/>
      <c r="Q51" s="60"/>
      <c r="R51" s="60"/>
      <c r="S51" s="60"/>
      <c r="T51" s="60"/>
      <c r="U51" s="60"/>
      <c r="V51" s="60"/>
      <c r="W51" s="60"/>
      <c r="X51" s="60"/>
      <c r="Y51" s="60"/>
      <c r="Z51" s="60"/>
      <c r="AA51" s="60"/>
      <c r="AB51" s="60"/>
      <c r="AC51" s="60"/>
      <c r="AD51" s="60"/>
      <c r="AE51" s="60"/>
      <c r="AF51" s="60"/>
      <c r="AG51" s="60"/>
      <c r="AH51" s="60"/>
      <c r="AI51" s="60"/>
      <c r="AJ51" s="60"/>
      <c r="AK51" s="60"/>
      <c r="AL51" s="60"/>
      <c r="AM51" s="60"/>
      <c r="AN51" s="60"/>
      <c r="AO51" s="60"/>
      <c r="AP51" s="60"/>
      <c r="AQ51" s="60"/>
      <c r="AR51" s="60"/>
      <c r="AS51" s="60"/>
      <c r="AT51" s="60"/>
      <c r="AU51" s="60"/>
      <c r="AV51" s="60"/>
      <c r="AW51" s="60"/>
      <c r="AX51" s="60"/>
      <c r="AY51" s="60"/>
      <c r="AZ51" s="60"/>
      <c r="BA51" s="60"/>
      <c r="BB51" s="60"/>
      <c r="BC51" s="60"/>
      <c r="BD51" s="60"/>
      <c r="BE51" s="60"/>
      <c r="BF51" s="60"/>
      <c r="BG51" s="60"/>
      <c r="BH51" s="60"/>
      <c r="BI51" s="60"/>
      <c r="BJ51" s="60"/>
      <c r="BK51" s="60"/>
      <c r="BL51" s="60"/>
      <c r="BM51" s="60"/>
    </row>
    <row r="52" spans="1:65" s="51" customFormat="1" ht="30" customHeight="1" thickBot="1" x14ac:dyDescent="0.35">
      <c r="A52" s="46"/>
      <c r="B52" s="88" t="s">
        <v>436</v>
      </c>
      <c r="C52" s="87" t="s">
        <v>119</v>
      </c>
      <c r="D52" s="87"/>
      <c r="E52" s="86"/>
      <c r="F52" s="86"/>
      <c r="G52" s="61"/>
      <c r="H52" s="61" t="str">
        <f t="shared" si="3"/>
        <v/>
      </c>
      <c r="I52" s="66"/>
      <c r="J52" s="60"/>
      <c r="K52" s="60"/>
      <c r="L52" s="60"/>
      <c r="M52" s="60"/>
      <c r="N52" s="60"/>
      <c r="O52" s="60"/>
      <c r="P52" s="60"/>
      <c r="Q52" s="60"/>
      <c r="R52" s="60"/>
      <c r="S52" s="60"/>
      <c r="T52" s="60"/>
      <c r="U52" s="60"/>
      <c r="V52" s="60"/>
      <c r="W52" s="60"/>
      <c r="X52" s="60"/>
      <c r="Y52" s="60"/>
      <c r="Z52" s="60"/>
      <c r="AA52" s="60"/>
      <c r="AB52" s="60"/>
      <c r="AC52" s="60"/>
      <c r="AD52" s="60"/>
      <c r="AE52" s="60"/>
      <c r="AF52" s="60"/>
      <c r="AG52" s="60"/>
      <c r="AH52" s="60"/>
      <c r="AI52" s="60"/>
      <c r="AJ52" s="60"/>
      <c r="AK52" s="60"/>
      <c r="AL52" s="60"/>
      <c r="AM52" s="60"/>
      <c r="AN52" s="60"/>
      <c r="AO52" s="60"/>
      <c r="AP52" s="60"/>
      <c r="AQ52" s="60"/>
      <c r="AR52" s="60"/>
      <c r="AS52" s="60"/>
      <c r="AT52" s="60"/>
      <c r="AU52" s="60"/>
      <c r="AV52" s="60"/>
      <c r="AW52" s="60"/>
      <c r="AX52" s="60"/>
      <c r="AY52" s="60"/>
      <c r="AZ52" s="60"/>
      <c r="BA52" s="60"/>
      <c r="BB52" s="60"/>
      <c r="BC52" s="60"/>
      <c r="BD52" s="60"/>
      <c r="BE52" s="60"/>
      <c r="BF52" s="60"/>
      <c r="BG52" s="60"/>
      <c r="BH52" s="60"/>
      <c r="BI52" s="60"/>
      <c r="BJ52" s="60"/>
      <c r="BK52" s="60"/>
      <c r="BL52" s="60"/>
      <c r="BM52" s="60"/>
    </row>
    <row r="53" spans="1:65" s="51" customFormat="1" ht="30" customHeight="1" thickBot="1" x14ac:dyDescent="0.35">
      <c r="A53" s="46"/>
      <c r="B53" s="88" t="s">
        <v>464</v>
      </c>
      <c r="C53" s="87" t="s">
        <v>119</v>
      </c>
      <c r="D53" s="87"/>
      <c r="E53" s="86"/>
      <c r="F53" s="86"/>
      <c r="G53" s="61"/>
      <c r="H53" s="61" t="str">
        <f t="shared" si="3"/>
        <v/>
      </c>
      <c r="I53" s="66"/>
      <c r="J53" s="60"/>
      <c r="K53" s="60"/>
      <c r="L53" s="60"/>
      <c r="M53" s="60"/>
      <c r="N53" s="60"/>
      <c r="O53" s="60"/>
      <c r="P53" s="60"/>
      <c r="Q53" s="60"/>
      <c r="R53" s="60"/>
      <c r="S53" s="60"/>
      <c r="T53" s="60"/>
      <c r="U53" s="60"/>
      <c r="V53" s="60"/>
      <c r="W53" s="60"/>
      <c r="X53" s="60"/>
      <c r="Y53" s="60"/>
      <c r="Z53" s="60"/>
      <c r="AA53" s="60"/>
      <c r="AB53" s="60"/>
      <c r="AC53" s="60"/>
      <c r="AD53" s="60"/>
      <c r="AE53" s="60"/>
      <c r="AF53" s="60"/>
      <c r="AG53" s="60"/>
      <c r="AH53" s="60"/>
      <c r="AI53" s="60"/>
      <c r="AJ53" s="60"/>
      <c r="AK53" s="60"/>
      <c r="AL53" s="60"/>
      <c r="AM53" s="60"/>
      <c r="AN53" s="60"/>
      <c r="AO53" s="60"/>
      <c r="AP53" s="60"/>
      <c r="AQ53" s="60"/>
      <c r="AR53" s="60"/>
      <c r="AS53" s="60"/>
      <c r="AT53" s="60"/>
      <c r="AU53" s="60"/>
      <c r="AV53" s="60"/>
      <c r="AW53" s="60"/>
      <c r="AX53" s="60"/>
      <c r="AY53" s="60"/>
      <c r="AZ53" s="60"/>
      <c r="BA53" s="60"/>
      <c r="BB53" s="60"/>
      <c r="BC53" s="60"/>
      <c r="BD53" s="60"/>
      <c r="BE53" s="60"/>
      <c r="BF53" s="60"/>
      <c r="BG53" s="60"/>
      <c r="BH53" s="60"/>
      <c r="BI53" s="60"/>
      <c r="BJ53" s="60"/>
      <c r="BK53" s="60"/>
      <c r="BL53" s="60"/>
      <c r="BM53" s="60"/>
    </row>
    <row r="54" spans="1:65" s="51" customFormat="1" ht="30" customHeight="1" thickBot="1" x14ac:dyDescent="0.35">
      <c r="A54" s="46"/>
      <c r="B54" s="88"/>
      <c r="C54" s="87" t="s">
        <v>119</v>
      </c>
      <c r="D54" s="87"/>
      <c r="E54" s="86"/>
      <c r="F54" s="86"/>
      <c r="G54" s="61"/>
      <c r="H54" s="61" t="str">
        <f t="shared" si="3"/>
        <v/>
      </c>
      <c r="I54" s="66"/>
      <c r="J54" s="60"/>
      <c r="K54" s="60"/>
      <c r="L54" s="60"/>
      <c r="M54" s="60"/>
      <c r="N54" s="60"/>
      <c r="O54" s="60"/>
      <c r="P54" s="60"/>
      <c r="Q54" s="60"/>
      <c r="R54" s="60"/>
      <c r="S54" s="60"/>
      <c r="T54" s="60"/>
      <c r="U54" s="60"/>
      <c r="V54" s="60"/>
      <c r="W54" s="60"/>
      <c r="X54" s="60"/>
      <c r="Y54" s="60"/>
      <c r="Z54" s="60"/>
      <c r="AA54" s="60"/>
      <c r="AB54" s="60"/>
      <c r="AC54" s="60"/>
      <c r="AD54" s="60"/>
      <c r="AE54" s="60"/>
      <c r="AF54" s="60"/>
      <c r="AG54" s="60"/>
      <c r="AH54" s="60"/>
      <c r="AI54" s="60"/>
      <c r="AJ54" s="60"/>
      <c r="AK54" s="60"/>
      <c r="AL54" s="60"/>
      <c r="AM54" s="60"/>
      <c r="AN54" s="60"/>
      <c r="AO54" s="60"/>
      <c r="AP54" s="60"/>
      <c r="AQ54" s="60"/>
      <c r="AR54" s="60"/>
      <c r="AS54" s="60"/>
      <c r="AT54" s="60"/>
      <c r="AU54" s="60"/>
      <c r="AV54" s="60"/>
      <c r="AW54" s="60"/>
      <c r="AX54" s="60"/>
      <c r="AY54" s="60"/>
      <c r="AZ54" s="60"/>
      <c r="BA54" s="60"/>
      <c r="BB54" s="60"/>
      <c r="BC54" s="60"/>
      <c r="BD54" s="60"/>
      <c r="BE54" s="60"/>
      <c r="BF54" s="60"/>
      <c r="BG54" s="60"/>
      <c r="BH54" s="60"/>
      <c r="BI54" s="60"/>
      <c r="BJ54" s="60"/>
      <c r="BK54" s="60"/>
      <c r="BL54" s="60"/>
      <c r="BM54" s="60"/>
    </row>
    <row r="55" spans="1:65" s="51" customFormat="1" ht="30" customHeight="1" thickBot="1" x14ac:dyDescent="0.35">
      <c r="A55" s="46"/>
      <c r="B55" s="88"/>
      <c r="C55" s="87" t="s">
        <v>119</v>
      </c>
      <c r="D55" s="87"/>
      <c r="E55" s="86"/>
      <c r="F55" s="86"/>
      <c r="G55" s="61"/>
      <c r="H55" s="61" t="str">
        <f t="shared" si="3"/>
        <v/>
      </c>
      <c r="I55" s="66"/>
      <c r="J55" s="60"/>
      <c r="K55" s="60"/>
      <c r="L55" s="60"/>
      <c r="M55" s="60"/>
      <c r="N55" s="60"/>
      <c r="O55" s="60"/>
      <c r="P55" s="60"/>
      <c r="Q55" s="60"/>
      <c r="R55" s="60"/>
      <c r="S55" s="60"/>
      <c r="T55" s="60"/>
      <c r="U55" s="60"/>
      <c r="V55" s="60"/>
      <c r="W55" s="60"/>
      <c r="X55" s="60"/>
      <c r="Y55" s="60"/>
      <c r="Z55" s="60"/>
      <c r="AA55" s="60"/>
      <c r="AB55" s="60"/>
      <c r="AC55" s="60"/>
      <c r="AD55" s="60"/>
      <c r="AE55" s="60"/>
      <c r="AF55" s="60"/>
      <c r="AG55" s="60"/>
      <c r="AH55" s="60"/>
      <c r="AI55" s="60"/>
      <c r="AJ55" s="60"/>
      <c r="AK55" s="60"/>
      <c r="AL55" s="60"/>
      <c r="AM55" s="60"/>
      <c r="AN55" s="60"/>
      <c r="AO55" s="60"/>
      <c r="AP55" s="60"/>
      <c r="AQ55" s="60"/>
      <c r="AR55" s="60"/>
      <c r="AS55" s="60"/>
      <c r="AT55" s="60"/>
      <c r="AU55" s="60"/>
      <c r="AV55" s="60"/>
      <c r="AW55" s="60"/>
      <c r="AX55" s="60"/>
      <c r="AY55" s="60"/>
      <c r="AZ55" s="60"/>
      <c r="BA55" s="60"/>
      <c r="BB55" s="60"/>
      <c r="BC55" s="60"/>
      <c r="BD55" s="60"/>
      <c r="BE55" s="60"/>
      <c r="BF55" s="60"/>
      <c r="BG55" s="60"/>
      <c r="BH55" s="60"/>
      <c r="BI55" s="60"/>
      <c r="BJ55" s="60"/>
      <c r="BK55" s="60"/>
      <c r="BL55" s="60"/>
      <c r="BM55" s="60"/>
    </row>
    <row r="56" spans="1:65" s="51" customFormat="1" ht="30" customHeight="1" thickBot="1" x14ac:dyDescent="0.35">
      <c r="A56" s="46"/>
      <c r="B56" s="88"/>
      <c r="C56" s="87" t="s">
        <v>119</v>
      </c>
      <c r="D56" s="87"/>
      <c r="E56" s="86"/>
      <c r="F56" s="86"/>
      <c r="G56" s="61"/>
      <c r="H56" s="61" t="str">
        <f t="shared" si="3"/>
        <v/>
      </c>
      <c r="I56" s="66"/>
      <c r="J56" s="60"/>
      <c r="K56" s="60"/>
      <c r="L56" s="60"/>
      <c r="M56" s="60"/>
      <c r="N56" s="60"/>
      <c r="O56" s="60"/>
      <c r="P56" s="60"/>
      <c r="Q56" s="60"/>
      <c r="R56" s="60"/>
      <c r="S56" s="60"/>
      <c r="T56" s="60"/>
      <c r="U56" s="60"/>
      <c r="V56" s="60"/>
      <c r="W56" s="60"/>
      <c r="X56" s="60"/>
      <c r="Y56" s="60"/>
      <c r="Z56" s="60"/>
      <c r="AA56" s="60"/>
      <c r="AB56" s="60"/>
      <c r="AC56" s="60"/>
      <c r="AD56" s="60"/>
      <c r="AE56" s="60"/>
      <c r="AF56" s="60"/>
      <c r="AG56" s="60"/>
      <c r="AH56" s="60"/>
      <c r="AI56" s="60"/>
      <c r="AJ56" s="60"/>
      <c r="AK56" s="60"/>
      <c r="AL56" s="60"/>
      <c r="AM56" s="60"/>
      <c r="AN56" s="60"/>
      <c r="AO56" s="60"/>
      <c r="AP56" s="60"/>
      <c r="AQ56" s="60"/>
      <c r="AR56" s="60"/>
      <c r="AS56" s="60"/>
      <c r="AT56" s="60"/>
      <c r="AU56" s="60"/>
      <c r="AV56" s="60"/>
      <c r="AW56" s="60"/>
      <c r="AX56" s="60"/>
      <c r="AY56" s="60"/>
      <c r="AZ56" s="60"/>
      <c r="BA56" s="60"/>
      <c r="BB56" s="60"/>
      <c r="BC56" s="60"/>
      <c r="BD56" s="60"/>
      <c r="BE56" s="60"/>
      <c r="BF56" s="60"/>
      <c r="BG56" s="60"/>
      <c r="BH56" s="60"/>
      <c r="BI56" s="60"/>
      <c r="BJ56" s="60"/>
      <c r="BK56" s="60"/>
      <c r="BL56" s="60"/>
      <c r="BM56" s="60"/>
    </row>
    <row r="57" spans="1:65" s="51" customFormat="1" ht="30" customHeight="1" thickBot="1" x14ac:dyDescent="0.35">
      <c r="A57" s="46"/>
      <c r="B57" s="88"/>
      <c r="C57" s="87" t="s">
        <v>119</v>
      </c>
      <c r="D57" s="87"/>
      <c r="E57" s="86"/>
      <c r="F57" s="86"/>
      <c r="G57" s="61"/>
      <c r="H57" s="61" t="str">
        <f t="shared" si="3"/>
        <v/>
      </c>
      <c r="I57" s="66"/>
      <c r="J57" s="60"/>
      <c r="K57" s="60"/>
      <c r="L57" s="60"/>
      <c r="M57" s="60"/>
      <c r="N57" s="60"/>
      <c r="O57" s="60"/>
      <c r="P57" s="60"/>
      <c r="Q57" s="60"/>
      <c r="R57" s="60"/>
      <c r="S57" s="60"/>
      <c r="T57" s="60"/>
      <c r="U57" s="60"/>
      <c r="V57" s="60"/>
      <c r="W57" s="60"/>
      <c r="X57" s="60"/>
      <c r="Y57" s="60"/>
      <c r="Z57" s="60"/>
      <c r="AA57" s="60"/>
      <c r="AB57" s="60"/>
      <c r="AC57" s="60"/>
      <c r="AD57" s="60"/>
      <c r="AE57" s="60"/>
      <c r="AF57" s="60"/>
      <c r="AG57" s="60"/>
      <c r="AH57" s="60"/>
      <c r="AI57" s="60"/>
      <c r="AJ57" s="60"/>
      <c r="AK57" s="60"/>
      <c r="AL57" s="60"/>
      <c r="AM57" s="60"/>
      <c r="AN57" s="60"/>
      <c r="AO57" s="60"/>
      <c r="AP57" s="60"/>
      <c r="AQ57" s="60"/>
      <c r="AR57" s="60"/>
      <c r="AS57" s="60"/>
      <c r="AT57" s="60"/>
      <c r="AU57" s="60"/>
      <c r="AV57" s="60"/>
      <c r="AW57" s="60"/>
      <c r="AX57" s="60"/>
      <c r="AY57" s="60"/>
      <c r="AZ57" s="60"/>
      <c r="BA57" s="60"/>
      <c r="BB57" s="60"/>
      <c r="BC57" s="60"/>
      <c r="BD57" s="60"/>
      <c r="BE57" s="60"/>
      <c r="BF57" s="60"/>
      <c r="BG57" s="60"/>
      <c r="BH57" s="60"/>
      <c r="BI57" s="60"/>
      <c r="BJ57" s="60"/>
      <c r="BK57" s="60"/>
      <c r="BL57" s="60"/>
      <c r="BM57" s="60"/>
    </row>
    <row r="58" spans="1:65" s="51" customFormat="1" ht="30" customHeight="1" thickBot="1" x14ac:dyDescent="0.35">
      <c r="A58" s="46"/>
      <c r="B58" s="88"/>
      <c r="C58" s="87" t="s">
        <v>119</v>
      </c>
      <c r="D58" s="87"/>
      <c r="E58" s="86"/>
      <c r="F58" s="86"/>
      <c r="G58" s="61"/>
      <c r="H58" s="61" t="str">
        <f t="shared" si="3"/>
        <v/>
      </c>
      <c r="I58" s="66"/>
      <c r="J58" s="60"/>
      <c r="K58" s="60"/>
      <c r="L58" s="60"/>
      <c r="M58" s="60"/>
      <c r="N58" s="60"/>
      <c r="O58" s="60"/>
      <c r="P58" s="60"/>
      <c r="Q58" s="60"/>
      <c r="R58" s="60"/>
      <c r="S58" s="60"/>
      <c r="T58" s="60"/>
      <c r="U58" s="60"/>
      <c r="V58" s="60"/>
      <c r="W58" s="60"/>
      <c r="X58" s="60"/>
      <c r="Y58" s="60"/>
      <c r="Z58" s="60"/>
      <c r="AA58" s="60"/>
      <c r="AB58" s="60"/>
      <c r="AC58" s="60"/>
      <c r="AD58" s="60"/>
      <c r="AE58" s="60"/>
      <c r="AF58" s="60"/>
      <c r="AG58" s="60"/>
      <c r="AH58" s="60"/>
      <c r="AI58" s="60"/>
      <c r="AJ58" s="60"/>
      <c r="AK58" s="60"/>
      <c r="AL58" s="60"/>
      <c r="AM58" s="60"/>
      <c r="AN58" s="60"/>
      <c r="AO58" s="60"/>
      <c r="AP58" s="60"/>
      <c r="AQ58" s="60"/>
      <c r="AR58" s="60"/>
      <c r="AS58" s="60"/>
      <c r="AT58" s="60"/>
      <c r="AU58" s="60"/>
      <c r="AV58" s="60"/>
      <c r="AW58" s="60"/>
      <c r="AX58" s="60"/>
      <c r="AY58" s="60"/>
      <c r="AZ58" s="60"/>
      <c r="BA58" s="60"/>
      <c r="BB58" s="60"/>
      <c r="BC58" s="60"/>
      <c r="BD58" s="60"/>
      <c r="BE58" s="60"/>
      <c r="BF58" s="60"/>
      <c r="BG58" s="60"/>
      <c r="BH58" s="60"/>
      <c r="BI58" s="60"/>
      <c r="BJ58" s="60"/>
      <c r="BK58" s="60"/>
      <c r="BL58" s="60"/>
      <c r="BM58" s="60"/>
    </row>
    <row r="59" spans="1:65" s="51" customFormat="1" ht="30" customHeight="1" thickBot="1" x14ac:dyDescent="0.35">
      <c r="A59" s="46"/>
      <c r="B59" s="88"/>
      <c r="C59" s="87" t="s">
        <v>119</v>
      </c>
      <c r="D59" s="87"/>
      <c r="E59" s="86"/>
      <c r="F59" s="86"/>
      <c r="G59" s="61"/>
      <c r="H59" s="61" t="str">
        <f t="shared" si="3"/>
        <v/>
      </c>
      <c r="I59" s="66"/>
      <c r="J59" s="60"/>
      <c r="K59" s="60"/>
      <c r="L59" s="60"/>
      <c r="M59" s="60"/>
      <c r="N59" s="60"/>
      <c r="O59" s="60"/>
      <c r="P59" s="60"/>
      <c r="Q59" s="60"/>
      <c r="R59" s="60"/>
      <c r="S59" s="60"/>
      <c r="T59" s="60"/>
      <c r="U59" s="60"/>
      <c r="V59" s="60"/>
      <c r="W59" s="60"/>
      <c r="X59" s="60"/>
      <c r="Y59" s="60"/>
      <c r="Z59" s="60"/>
      <c r="AA59" s="60"/>
      <c r="AB59" s="60"/>
      <c r="AC59" s="60"/>
      <c r="AD59" s="60"/>
      <c r="AE59" s="60"/>
      <c r="AF59" s="60"/>
      <c r="AG59" s="60"/>
      <c r="AH59" s="60"/>
      <c r="AI59" s="60"/>
      <c r="AJ59" s="60"/>
      <c r="AK59" s="60"/>
      <c r="AL59" s="60"/>
      <c r="AM59" s="60"/>
      <c r="AN59" s="60"/>
      <c r="AO59" s="60"/>
      <c r="AP59" s="60"/>
      <c r="AQ59" s="60"/>
      <c r="AR59" s="60"/>
      <c r="AS59" s="60"/>
      <c r="AT59" s="60"/>
      <c r="AU59" s="60"/>
      <c r="AV59" s="60"/>
      <c r="AW59" s="60"/>
      <c r="AX59" s="60"/>
      <c r="AY59" s="60"/>
      <c r="AZ59" s="60"/>
      <c r="BA59" s="60"/>
      <c r="BB59" s="60"/>
      <c r="BC59" s="60"/>
      <c r="BD59" s="60"/>
      <c r="BE59" s="60"/>
      <c r="BF59" s="60"/>
      <c r="BG59" s="60"/>
      <c r="BH59" s="60"/>
      <c r="BI59" s="60"/>
      <c r="BJ59" s="60"/>
      <c r="BK59" s="60"/>
      <c r="BL59" s="60"/>
      <c r="BM59" s="60"/>
    </row>
    <row r="60" spans="1:65" s="51" customFormat="1" ht="30" customHeight="1" thickBot="1" x14ac:dyDescent="0.35">
      <c r="A60" s="46"/>
      <c r="B60" s="88"/>
      <c r="C60" s="87" t="s">
        <v>119</v>
      </c>
      <c r="D60" s="87"/>
      <c r="E60" s="86"/>
      <c r="F60" s="86"/>
      <c r="G60" s="61"/>
      <c r="H60" s="61" t="str">
        <f t="shared" si="3"/>
        <v/>
      </c>
      <c r="I60" s="66"/>
      <c r="J60" s="60"/>
      <c r="K60" s="60"/>
      <c r="L60" s="60"/>
      <c r="M60" s="60"/>
      <c r="N60" s="60"/>
      <c r="O60" s="60"/>
      <c r="P60" s="60"/>
      <c r="Q60" s="60"/>
      <c r="R60" s="60"/>
      <c r="S60" s="60"/>
      <c r="T60" s="60"/>
      <c r="U60" s="60"/>
      <c r="V60" s="60"/>
      <c r="W60" s="60"/>
      <c r="X60" s="60"/>
      <c r="Y60" s="60"/>
      <c r="Z60" s="60"/>
      <c r="AA60" s="60"/>
      <c r="AB60" s="60"/>
      <c r="AC60" s="60"/>
      <c r="AD60" s="60"/>
      <c r="AE60" s="60"/>
      <c r="AF60" s="60"/>
      <c r="AG60" s="60"/>
      <c r="AH60" s="60"/>
      <c r="AI60" s="60"/>
      <c r="AJ60" s="60"/>
      <c r="AK60" s="60"/>
      <c r="AL60" s="60"/>
      <c r="AM60" s="60"/>
      <c r="AN60" s="60"/>
      <c r="AO60" s="60"/>
      <c r="AP60" s="60"/>
      <c r="AQ60" s="60"/>
      <c r="AR60" s="60"/>
      <c r="AS60" s="60"/>
      <c r="AT60" s="60"/>
      <c r="AU60" s="60"/>
      <c r="AV60" s="60"/>
      <c r="AW60" s="60"/>
      <c r="AX60" s="60"/>
      <c r="AY60" s="60"/>
      <c r="AZ60" s="60"/>
      <c r="BA60" s="60"/>
      <c r="BB60" s="60"/>
      <c r="BC60" s="60"/>
      <c r="BD60" s="60"/>
      <c r="BE60" s="60"/>
      <c r="BF60" s="60"/>
      <c r="BG60" s="60"/>
      <c r="BH60" s="60"/>
      <c r="BI60" s="60"/>
      <c r="BJ60" s="60"/>
      <c r="BK60" s="60"/>
      <c r="BL60" s="60"/>
      <c r="BM60" s="60"/>
    </row>
    <row r="61" spans="1:65" s="51" customFormat="1" ht="30" customHeight="1" thickBot="1" x14ac:dyDescent="0.35">
      <c r="A61" s="46"/>
      <c r="B61" s="88"/>
      <c r="C61" s="87" t="s">
        <v>119</v>
      </c>
      <c r="D61" s="87"/>
      <c r="E61" s="86"/>
      <c r="F61" s="86"/>
      <c r="G61" s="61"/>
      <c r="H61" s="61" t="str">
        <f t="shared" si="3"/>
        <v/>
      </c>
      <c r="I61" s="66"/>
      <c r="J61" s="60"/>
      <c r="K61" s="60"/>
      <c r="L61" s="60"/>
      <c r="M61" s="60"/>
      <c r="N61" s="60"/>
      <c r="O61" s="60"/>
      <c r="P61" s="60"/>
      <c r="Q61" s="60"/>
      <c r="R61" s="60"/>
      <c r="S61" s="60"/>
      <c r="T61" s="60"/>
      <c r="U61" s="60"/>
      <c r="V61" s="60"/>
      <c r="W61" s="60"/>
      <c r="X61" s="60"/>
      <c r="Y61" s="60"/>
      <c r="Z61" s="60"/>
      <c r="AA61" s="60"/>
      <c r="AB61" s="60"/>
      <c r="AC61" s="60"/>
      <c r="AD61" s="60"/>
      <c r="AE61" s="60"/>
      <c r="AF61" s="60"/>
      <c r="AG61" s="60"/>
      <c r="AH61" s="60"/>
      <c r="AI61" s="60"/>
      <c r="AJ61" s="60"/>
      <c r="AK61" s="60"/>
      <c r="AL61" s="60"/>
      <c r="AM61" s="60"/>
      <c r="AN61" s="60"/>
      <c r="AO61" s="60"/>
      <c r="AP61" s="60"/>
      <c r="AQ61" s="60"/>
      <c r="AR61" s="60"/>
      <c r="AS61" s="60"/>
      <c r="AT61" s="60"/>
      <c r="AU61" s="60"/>
      <c r="AV61" s="60"/>
      <c r="AW61" s="60"/>
      <c r="AX61" s="60"/>
      <c r="AY61" s="60"/>
      <c r="AZ61" s="60"/>
      <c r="BA61" s="60"/>
      <c r="BB61" s="60"/>
      <c r="BC61" s="60"/>
      <c r="BD61" s="60"/>
      <c r="BE61" s="60"/>
      <c r="BF61" s="60"/>
      <c r="BG61" s="60"/>
      <c r="BH61" s="60"/>
      <c r="BI61" s="60"/>
      <c r="BJ61" s="60"/>
      <c r="BK61" s="60"/>
      <c r="BL61" s="60"/>
      <c r="BM61" s="60"/>
    </row>
    <row r="62" spans="1:65" s="51" customFormat="1" ht="30" customHeight="1" thickBot="1" x14ac:dyDescent="0.35">
      <c r="A62" s="46"/>
      <c r="B62" s="88"/>
      <c r="C62" s="87" t="s">
        <v>119</v>
      </c>
      <c r="D62" s="87"/>
      <c r="E62" s="86"/>
      <c r="F62" s="86"/>
      <c r="G62" s="61"/>
      <c r="H62" s="61" t="str">
        <f t="shared" si="3"/>
        <v/>
      </c>
      <c r="I62" s="66"/>
      <c r="J62" s="60"/>
      <c r="K62" s="60"/>
      <c r="L62" s="60"/>
      <c r="M62" s="60"/>
      <c r="N62" s="60"/>
      <c r="O62" s="60"/>
      <c r="P62" s="60"/>
      <c r="Q62" s="60"/>
      <c r="R62" s="60"/>
      <c r="S62" s="60"/>
      <c r="T62" s="60"/>
      <c r="U62" s="60"/>
      <c r="V62" s="60"/>
      <c r="W62" s="60"/>
      <c r="X62" s="60"/>
      <c r="Y62" s="60"/>
      <c r="Z62" s="60"/>
      <c r="AA62" s="60"/>
      <c r="AB62" s="60"/>
      <c r="AC62" s="60"/>
      <c r="AD62" s="60"/>
      <c r="AE62" s="60"/>
      <c r="AF62" s="60"/>
      <c r="AG62" s="60"/>
      <c r="AH62" s="60"/>
      <c r="AI62" s="60"/>
      <c r="AJ62" s="60"/>
      <c r="AK62" s="60"/>
      <c r="AL62" s="60"/>
      <c r="AM62" s="60"/>
      <c r="AN62" s="60"/>
      <c r="AO62" s="60"/>
      <c r="AP62" s="60"/>
      <c r="AQ62" s="60"/>
      <c r="AR62" s="60"/>
      <c r="AS62" s="60"/>
      <c r="AT62" s="60"/>
      <c r="AU62" s="60"/>
      <c r="AV62" s="60"/>
      <c r="AW62" s="60"/>
      <c r="AX62" s="60"/>
      <c r="AY62" s="60"/>
      <c r="AZ62" s="60"/>
      <c r="BA62" s="60"/>
      <c r="BB62" s="60"/>
      <c r="BC62" s="60"/>
      <c r="BD62" s="60"/>
      <c r="BE62" s="60"/>
      <c r="BF62" s="60"/>
      <c r="BG62" s="60"/>
      <c r="BH62" s="60"/>
      <c r="BI62" s="60"/>
      <c r="BJ62" s="60"/>
      <c r="BK62" s="60"/>
      <c r="BL62" s="60"/>
      <c r="BM62" s="60"/>
    </row>
    <row r="63" spans="1:65" s="51" customFormat="1" ht="30" customHeight="1" thickBot="1" x14ac:dyDescent="0.35">
      <c r="A63" s="46"/>
      <c r="B63" s="88"/>
      <c r="C63" s="87" t="s">
        <v>119</v>
      </c>
      <c r="D63" s="87"/>
      <c r="E63" s="86"/>
      <c r="F63" s="86"/>
      <c r="G63" s="61"/>
      <c r="H63" s="61" t="str">
        <f t="shared" si="3"/>
        <v/>
      </c>
      <c r="I63" s="66"/>
      <c r="J63" s="60"/>
      <c r="K63" s="60"/>
      <c r="L63" s="60"/>
      <c r="M63" s="60"/>
      <c r="N63" s="60"/>
      <c r="O63" s="60"/>
      <c r="P63" s="60"/>
      <c r="Q63" s="60"/>
      <c r="R63" s="60"/>
      <c r="S63" s="60"/>
      <c r="T63" s="60"/>
      <c r="U63" s="60"/>
      <c r="V63" s="60"/>
      <c r="W63" s="60"/>
      <c r="X63" s="60"/>
      <c r="Y63" s="60"/>
      <c r="Z63" s="60"/>
      <c r="AA63" s="60"/>
      <c r="AB63" s="60"/>
      <c r="AC63" s="60"/>
      <c r="AD63" s="60"/>
      <c r="AE63" s="60"/>
      <c r="AF63" s="60"/>
      <c r="AG63" s="60"/>
      <c r="AH63" s="60"/>
      <c r="AI63" s="60"/>
      <c r="AJ63" s="60"/>
      <c r="AK63" s="60"/>
      <c r="AL63" s="60"/>
      <c r="AM63" s="60"/>
      <c r="AN63" s="60"/>
      <c r="AO63" s="60"/>
      <c r="AP63" s="60"/>
      <c r="AQ63" s="60"/>
      <c r="AR63" s="60"/>
      <c r="AS63" s="60"/>
      <c r="AT63" s="60"/>
      <c r="AU63" s="60"/>
      <c r="AV63" s="60"/>
      <c r="AW63" s="60"/>
      <c r="AX63" s="60"/>
      <c r="AY63" s="60"/>
      <c r="AZ63" s="60"/>
      <c r="BA63" s="60"/>
      <c r="BB63" s="60"/>
      <c r="BC63" s="60"/>
      <c r="BD63" s="60"/>
      <c r="BE63" s="60"/>
      <c r="BF63" s="60"/>
      <c r="BG63" s="60"/>
      <c r="BH63" s="60"/>
      <c r="BI63" s="60"/>
      <c r="BJ63" s="60"/>
      <c r="BK63" s="60"/>
      <c r="BL63" s="60"/>
      <c r="BM63" s="60"/>
    </row>
    <row r="64" spans="1:65" s="51" customFormat="1" ht="30" customHeight="1" thickBot="1" x14ac:dyDescent="0.35">
      <c r="A64" s="46"/>
      <c r="B64" s="88"/>
      <c r="C64" s="87" t="s">
        <v>119</v>
      </c>
      <c r="D64" s="87"/>
      <c r="E64" s="86"/>
      <c r="F64" s="86"/>
      <c r="G64" s="61"/>
      <c r="H64" s="61" t="str">
        <f t="shared" si="3"/>
        <v/>
      </c>
      <c r="I64" s="66"/>
      <c r="J64" s="60"/>
      <c r="K64" s="60"/>
      <c r="L64" s="60"/>
      <c r="M64" s="60"/>
      <c r="N64" s="60"/>
      <c r="O64" s="60"/>
      <c r="P64" s="60"/>
      <c r="Q64" s="60"/>
      <c r="R64" s="60"/>
      <c r="S64" s="60"/>
      <c r="T64" s="60"/>
      <c r="U64" s="60"/>
      <c r="V64" s="60"/>
      <c r="W64" s="60"/>
      <c r="X64" s="60"/>
      <c r="Y64" s="60"/>
      <c r="Z64" s="60"/>
      <c r="AA64" s="60"/>
      <c r="AB64" s="60"/>
      <c r="AC64" s="60"/>
      <c r="AD64" s="60"/>
      <c r="AE64" s="60"/>
      <c r="AF64" s="60"/>
      <c r="AG64" s="60"/>
      <c r="AH64" s="60"/>
      <c r="AI64" s="60"/>
      <c r="AJ64" s="60"/>
      <c r="AK64" s="60"/>
      <c r="AL64" s="60"/>
      <c r="AM64" s="60"/>
      <c r="AN64" s="60"/>
      <c r="AO64" s="60"/>
      <c r="AP64" s="60"/>
      <c r="AQ64" s="60"/>
      <c r="AR64" s="60"/>
      <c r="AS64" s="60"/>
      <c r="AT64" s="60"/>
      <c r="AU64" s="60"/>
      <c r="AV64" s="60"/>
      <c r="AW64" s="60"/>
      <c r="AX64" s="60"/>
      <c r="AY64" s="60"/>
      <c r="AZ64" s="60"/>
      <c r="BA64" s="60"/>
      <c r="BB64" s="60"/>
      <c r="BC64" s="60"/>
      <c r="BD64" s="60"/>
      <c r="BE64" s="60"/>
      <c r="BF64" s="60"/>
      <c r="BG64" s="60"/>
      <c r="BH64" s="60"/>
      <c r="BI64" s="60"/>
      <c r="BJ64" s="60"/>
      <c r="BK64" s="60"/>
      <c r="BL64" s="60"/>
      <c r="BM64" s="60"/>
    </row>
    <row r="65" spans="1:65" s="51" customFormat="1" ht="30" customHeight="1" thickBot="1" x14ac:dyDescent="0.35">
      <c r="A65" s="46"/>
      <c r="B65" s="88"/>
      <c r="C65" s="87" t="s">
        <v>119</v>
      </c>
      <c r="D65" s="87"/>
      <c r="E65" s="86"/>
      <c r="F65" s="86"/>
      <c r="G65" s="61"/>
      <c r="H65" s="61" t="str">
        <f t="shared" si="3"/>
        <v/>
      </c>
      <c r="I65" s="66"/>
      <c r="J65" s="60"/>
      <c r="K65" s="60"/>
      <c r="L65" s="60"/>
      <c r="M65" s="60"/>
      <c r="N65" s="60"/>
      <c r="O65" s="60"/>
      <c r="P65" s="60"/>
      <c r="Q65" s="60"/>
      <c r="R65" s="60"/>
      <c r="S65" s="60"/>
      <c r="T65" s="60"/>
      <c r="U65" s="60"/>
      <c r="V65" s="60"/>
      <c r="W65" s="60"/>
      <c r="X65" s="60"/>
      <c r="Y65" s="60"/>
      <c r="Z65" s="60"/>
      <c r="AA65" s="60"/>
      <c r="AB65" s="60"/>
      <c r="AC65" s="60"/>
      <c r="AD65" s="60"/>
      <c r="AE65" s="60"/>
      <c r="AF65" s="60"/>
      <c r="AG65" s="60"/>
      <c r="AH65" s="60"/>
      <c r="AI65" s="60"/>
      <c r="AJ65" s="60"/>
      <c r="AK65" s="60"/>
      <c r="AL65" s="60"/>
      <c r="AM65" s="60"/>
      <c r="AN65" s="60"/>
      <c r="AO65" s="60"/>
      <c r="AP65" s="60"/>
      <c r="AQ65" s="60"/>
      <c r="AR65" s="60"/>
      <c r="AS65" s="60"/>
      <c r="AT65" s="60"/>
      <c r="AU65" s="60"/>
      <c r="AV65" s="60"/>
      <c r="AW65" s="60"/>
      <c r="AX65" s="60"/>
      <c r="AY65" s="60"/>
      <c r="AZ65" s="60"/>
      <c r="BA65" s="60"/>
      <c r="BB65" s="60"/>
      <c r="BC65" s="60"/>
      <c r="BD65" s="60"/>
      <c r="BE65" s="60"/>
      <c r="BF65" s="60"/>
      <c r="BG65" s="60"/>
      <c r="BH65" s="60"/>
      <c r="BI65" s="60"/>
      <c r="BJ65" s="60"/>
      <c r="BK65" s="60"/>
      <c r="BL65" s="60"/>
      <c r="BM65" s="60"/>
    </row>
    <row r="66" spans="1:65" s="51" customFormat="1" ht="30" customHeight="1" thickBot="1" x14ac:dyDescent="0.35">
      <c r="A66" s="46"/>
      <c r="B66" s="88"/>
      <c r="C66" s="87" t="s">
        <v>119</v>
      </c>
      <c r="D66" s="87"/>
      <c r="E66" s="86"/>
      <c r="F66" s="86"/>
      <c r="G66" s="61"/>
      <c r="H66" s="61" t="str">
        <f t="shared" si="3"/>
        <v/>
      </c>
      <c r="I66" s="66"/>
      <c r="J66" s="60"/>
      <c r="K66" s="60"/>
      <c r="L66" s="60"/>
      <c r="M66" s="60"/>
      <c r="N66" s="60"/>
      <c r="O66" s="60"/>
      <c r="P66" s="60"/>
      <c r="Q66" s="60"/>
      <c r="R66" s="60"/>
      <c r="S66" s="60"/>
      <c r="T66" s="60"/>
      <c r="U66" s="60"/>
      <c r="V66" s="60"/>
      <c r="W66" s="60"/>
      <c r="X66" s="60"/>
      <c r="Y66" s="60"/>
      <c r="Z66" s="60"/>
      <c r="AA66" s="60"/>
      <c r="AB66" s="60"/>
      <c r="AC66" s="60"/>
      <c r="AD66" s="60"/>
      <c r="AE66" s="60"/>
      <c r="AF66" s="60"/>
      <c r="AG66" s="60"/>
      <c r="AH66" s="60"/>
      <c r="AI66" s="60"/>
      <c r="AJ66" s="60"/>
      <c r="AK66" s="60"/>
      <c r="AL66" s="60"/>
      <c r="AM66" s="60"/>
      <c r="AN66" s="60"/>
      <c r="AO66" s="60"/>
      <c r="AP66" s="60"/>
      <c r="AQ66" s="60"/>
      <c r="AR66" s="60"/>
      <c r="AS66" s="60"/>
      <c r="AT66" s="60"/>
      <c r="AU66" s="60"/>
      <c r="AV66" s="60"/>
      <c r="AW66" s="60"/>
      <c r="AX66" s="60"/>
      <c r="AY66" s="60"/>
      <c r="AZ66" s="60"/>
      <c r="BA66" s="60"/>
      <c r="BB66" s="60"/>
      <c r="BC66" s="60"/>
      <c r="BD66" s="60"/>
      <c r="BE66" s="60"/>
      <c r="BF66" s="60"/>
      <c r="BG66" s="60"/>
      <c r="BH66" s="60"/>
      <c r="BI66" s="60"/>
      <c r="BJ66" s="60"/>
      <c r="BK66" s="60"/>
      <c r="BL66" s="60"/>
      <c r="BM66" s="60"/>
    </row>
    <row r="67" spans="1:65" s="51" customFormat="1" ht="30" customHeight="1" thickBot="1" x14ac:dyDescent="0.35">
      <c r="A67" s="46"/>
      <c r="B67" s="88"/>
      <c r="C67" s="87" t="s">
        <v>119</v>
      </c>
      <c r="D67" s="87"/>
      <c r="E67" s="86"/>
      <c r="F67" s="86"/>
      <c r="G67" s="61"/>
      <c r="H67" s="61" t="str">
        <f t="shared" si="3"/>
        <v/>
      </c>
      <c r="I67" s="66"/>
      <c r="J67" s="60"/>
      <c r="K67" s="60"/>
      <c r="L67" s="60"/>
      <c r="M67" s="60"/>
      <c r="N67" s="60"/>
      <c r="O67" s="60"/>
      <c r="P67" s="60"/>
      <c r="Q67" s="60"/>
      <c r="R67" s="60"/>
      <c r="S67" s="60"/>
      <c r="T67" s="60"/>
      <c r="U67" s="60"/>
      <c r="V67" s="60"/>
      <c r="W67" s="60"/>
      <c r="X67" s="60"/>
      <c r="Y67" s="60"/>
      <c r="Z67" s="60"/>
      <c r="AA67" s="60"/>
      <c r="AB67" s="60"/>
      <c r="AC67" s="60"/>
      <c r="AD67" s="60"/>
      <c r="AE67" s="60"/>
      <c r="AF67" s="60"/>
      <c r="AG67" s="60"/>
      <c r="AH67" s="60"/>
      <c r="AI67" s="60"/>
      <c r="AJ67" s="60"/>
      <c r="AK67" s="60"/>
      <c r="AL67" s="60"/>
      <c r="AM67" s="60"/>
      <c r="AN67" s="60"/>
      <c r="AO67" s="60"/>
      <c r="AP67" s="60"/>
      <c r="AQ67" s="60"/>
      <c r="AR67" s="60"/>
      <c r="AS67" s="60"/>
      <c r="AT67" s="60"/>
      <c r="AU67" s="60"/>
      <c r="AV67" s="60"/>
      <c r="AW67" s="60"/>
      <c r="AX67" s="60"/>
      <c r="AY67" s="60"/>
      <c r="AZ67" s="60"/>
      <c r="BA67" s="60"/>
      <c r="BB67" s="60"/>
      <c r="BC67" s="60"/>
      <c r="BD67" s="60"/>
      <c r="BE67" s="60"/>
      <c r="BF67" s="60"/>
      <c r="BG67" s="60"/>
      <c r="BH67" s="60"/>
      <c r="BI67" s="60"/>
      <c r="BJ67" s="60"/>
      <c r="BK67" s="60"/>
      <c r="BL67" s="60"/>
      <c r="BM67" s="60"/>
    </row>
    <row r="68" spans="1:65" s="51" customFormat="1" ht="30" customHeight="1" thickBot="1" x14ac:dyDescent="0.35">
      <c r="A68" s="46"/>
      <c r="B68" s="88"/>
      <c r="C68" s="87" t="s">
        <v>119</v>
      </c>
      <c r="D68" s="87"/>
      <c r="E68" s="86"/>
      <c r="F68" s="86"/>
      <c r="G68" s="61"/>
      <c r="H68" s="61" t="str">
        <f t="shared" si="3"/>
        <v/>
      </c>
      <c r="I68" s="66"/>
      <c r="J68" s="60"/>
      <c r="K68" s="60"/>
      <c r="L68" s="60"/>
      <c r="M68" s="60"/>
      <c r="N68" s="60"/>
      <c r="O68" s="60"/>
      <c r="P68" s="60"/>
      <c r="Q68" s="60"/>
      <c r="R68" s="60"/>
      <c r="S68" s="60"/>
      <c r="T68" s="60"/>
      <c r="U68" s="60"/>
      <c r="V68" s="60"/>
      <c r="W68" s="60"/>
      <c r="X68" s="60"/>
      <c r="Y68" s="60"/>
      <c r="Z68" s="60"/>
      <c r="AA68" s="60"/>
      <c r="AB68" s="60"/>
      <c r="AC68" s="60"/>
      <c r="AD68" s="60"/>
      <c r="AE68" s="60"/>
      <c r="AF68" s="60"/>
      <c r="AG68" s="60"/>
      <c r="AH68" s="60"/>
      <c r="AI68" s="60"/>
      <c r="AJ68" s="60"/>
      <c r="AK68" s="60"/>
      <c r="AL68" s="60"/>
      <c r="AM68" s="60"/>
      <c r="AN68" s="60"/>
      <c r="AO68" s="60"/>
      <c r="AP68" s="60"/>
      <c r="AQ68" s="60"/>
      <c r="AR68" s="60"/>
      <c r="AS68" s="60"/>
      <c r="AT68" s="60"/>
      <c r="AU68" s="60"/>
      <c r="AV68" s="60"/>
      <c r="AW68" s="60"/>
      <c r="AX68" s="60"/>
      <c r="AY68" s="60"/>
      <c r="AZ68" s="60"/>
      <c r="BA68" s="60"/>
      <c r="BB68" s="60"/>
      <c r="BC68" s="60"/>
      <c r="BD68" s="60"/>
      <c r="BE68" s="60"/>
      <c r="BF68" s="60"/>
      <c r="BG68" s="60"/>
      <c r="BH68" s="60"/>
      <c r="BI68" s="60"/>
      <c r="BJ68" s="60"/>
      <c r="BK68" s="60"/>
      <c r="BL68" s="60"/>
      <c r="BM68" s="60"/>
    </row>
    <row r="69" spans="1:65" s="51" customFormat="1" ht="30" customHeight="1" thickBot="1" x14ac:dyDescent="0.35">
      <c r="A69" s="46"/>
      <c r="B69" s="88"/>
      <c r="C69" s="87" t="s">
        <v>119</v>
      </c>
      <c r="D69" s="87"/>
      <c r="E69" s="86"/>
      <c r="F69" s="86"/>
      <c r="G69" s="61"/>
      <c r="H69" s="61" t="str">
        <f t="shared" si="3"/>
        <v/>
      </c>
      <c r="I69" s="66"/>
      <c r="J69" s="60"/>
      <c r="K69" s="60"/>
      <c r="L69" s="60"/>
      <c r="M69" s="60"/>
      <c r="N69" s="60"/>
      <c r="O69" s="60"/>
      <c r="P69" s="60"/>
      <c r="Q69" s="60"/>
      <c r="R69" s="60"/>
      <c r="S69" s="60"/>
      <c r="T69" s="60"/>
      <c r="U69" s="60"/>
      <c r="V69" s="60"/>
      <c r="W69" s="60"/>
      <c r="X69" s="60"/>
      <c r="Y69" s="60"/>
      <c r="Z69" s="60"/>
      <c r="AA69" s="60"/>
      <c r="AB69" s="60"/>
      <c r="AC69" s="60"/>
      <c r="AD69" s="60"/>
      <c r="AE69" s="60"/>
      <c r="AF69" s="60"/>
      <c r="AG69" s="60"/>
      <c r="AH69" s="60"/>
      <c r="AI69" s="60"/>
      <c r="AJ69" s="60"/>
      <c r="AK69" s="60"/>
      <c r="AL69" s="60"/>
      <c r="AM69" s="60"/>
      <c r="AN69" s="60"/>
      <c r="AO69" s="60"/>
      <c r="AP69" s="60"/>
      <c r="AQ69" s="60"/>
      <c r="AR69" s="60"/>
      <c r="AS69" s="60"/>
      <c r="AT69" s="60"/>
      <c r="AU69" s="60"/>
      <c r="AV69" s="60"/>
      <c r="AW69" s="60"/>
      <c r="AX69" s="60"/>
      <c r="AY69" s="60"/>
      <c r="AZ69" s="60"/>
      <c r="BA69" s="60"/>
      <c r="BB69" s="60"/>
      <c r="BC69" s="60"/>
      <c r="BD69" s="60"/>
      <c r="BE69" s="60"/>
      <c r="BF69" s="60"/>
      <c r="BG69" s="60"/>
      <c r="BH69" s="60"/>
      <c r="BI69" s="60"/>
      <c r="BJ69" s="60"/>
      <c r="BK69" s="60"/>
      <c r="BL69" s="60"/>
      <c r="BM69" s="60"/>
    </row>
    <row r="70" spans="1:65" s="51" customFormat="1" ht="30" customHeight="1" thickBot="1" x14ac:dyDescent="0.35">
      <c r="A70" s="46"/>
      <c r="B70" s="88"/>
      <c r="C70" s="87" t="s">
        <v>119</v>
      </c>
      <c r="D70" s="87"/>
      <c r="E70" s="86"/>
      <c r="F70" s="86"/>
      <c r="G70" s="61"/>
      <c r="H70" s="61" t="str">
        <f t="shared" si="3"/>
        <v/>
      </c>
      <c r="I70" s="66"/>
      <c r="J70" s="60"/>
      <c r="K70" s="60"/>
      <c r="L70" s="60"/>
      <c r="M70" s="60"/>
      <c r="N70" s="60"/>
      <c r="O70" s="60"/>
      <c r="P70" s="60"/>
      <c r="Q70" s="60"/>
      <c r="R70" s="60"/>
      <c r="S70" s="60"/>
      <c r="T70" s="60"/>
      <c r="U70" s="60"/>
      <c r="V70" s="60"/>
      <c r="W70" s="60"/>
      <c r="X70" s="60"/>
      <c r="Y70" s="60"/>
      <c r="Z70" s="60"/>
      <c r="AA70" s="60"/>
      <c r="AB70" s="60"/>
      <c r="AC70" s="60"/>
      <c r="AD70" s="60"/>
      <c r="AE70" s="60"/>
      <c r="AF70" s="60"/>
      <c r="AG70" s="60"/>
      <c r="AH70" s="60"/>
      <c r="AI70" s="60"/>
      <c r="AJ70" s="60"/>
      <c r="AK70" s="60"/>
      <c r="AL70" s="60"/>
      <c r="AM70" s="60"/>
      <c r="AN70" s="60"/>
      <c r="AO70" s="60"/>
      <c r="AP70" s="60"/>
      <c r="AQ70" s="60"/>
      <c r="AR70" s="60"/>
      <c r="AS70" s="60"/>
      <c r="AT70" s="60"/>
      <c r="AU70" s="60"/>
      <c r="AV70" s="60"/>
      <c r="AW70" s="60"/>
      <c r="AX70" s="60"/>
      <c r="AY70" s="60"/>
      <c r="AZ70" s="60"/>
      <c r="BA70" s="60"/>
      <c r="BB70" s="60"/>
      <c r="BC70" s="60"/>
      <c r="BD70" s="60"/>
      <c r="BE70" s="60"/>
      <c r="BF70" s="60"/>
      <c r="BG70" s="60"/>
      <c r="BH70" s="60"/>
      <c r="BI70" s="60"/>
      <c r="BJ70" s="60"/>
      <c r="BK70" s="60"/>
      <c r="BL70" s="60"/>
      <c r="BM70" s="60"/>
    </row>
    <row r="71" spans="1:65" s="51" customFormat="1" ht="30" customHeight="1" thickBot="1" x14ac:dyDescent="0.35">
      <c r="A71" s="46"/>
      <c r="B71" s="88"/>
      <c r="C71" s="87" t="s">
        <v>119</v>
      </c>
      <c r="D71" s="87"/>
      <c r="E71" s="86"/>
      <c r="F71" s="86"/>
      <c r="G71" s="61"/>
      <c r="H71" s="61" t="str">
        <f t="shared" ref="H71:H78" si="4">IF(OR(ISBLANK(task_start),ISBLANK(task_end)),"",task_end-task_start+1)</f>
        <v/>
      </c>
      <c r="I71" s="66"/>
      <c r="J71" s="60"/>
      <c r="K71" s="60"/>
      <c r="L71" s="60"/>
      <c r="M71" s="60"/>
      <c r="N71" s="60"/>
      <c r="O71" s="60"/>
      <c r="P71" s="60"/>
      <c r="Q71" s="60"/>
      <c r="R71" s="60"/>
      <c r="S71" s="60"/>
      <c r="T71" s="60"/>
      <c r="U71" s="60"/>
      <c r="V71" s="60"/>
      <c r="W71" s="60"/>
      <c r="X71" s="60"/>
      <c r="Y71" s="60"/>
      <c r="Z71" s="60"/>
      <c r="AA71" s="60"/>
      <c r="AB71" s="60"/>
      <c r="AC71" s="60"/>
      <c r="AD71" s="60"/>
      <c r="AE71" s="60"/>
      <c r="AF71" s="60"/>
      <c r="AG71" s="60"/>
      <c r="AH71" s="60"/>
      <c r="AI71" s="60"/>
      <c r="AJ71" s="60"/>
      <c r="AK71" s="60"/>
      <c r="AL71" s="60"/>
      <c r="AM71" s="60"/>
      <c r="AN71" s="60"/>
      <c r="AO71" s="60"/>
      <c r="AP71" s="60"/>
      <c r="AQ71" s="60"/>
      <c r="AR71" s="60"/>
      <c r="AS71" s="60"/>
      <c r="AT71" s="60"/>
      <c r="AU71" s="60"/>
      <c r="AV71" s="60"/>
      <c r="AW71" s="60"/>
      <c r="AX71" s="60"/>
      <c r="AY71" s="60"/>
      <c r="AZ71" s="60"/>
      <c r="BA71" s="60"/>
      <c r="BB71" s="60"/>
      <c r="BC71" s="60"/>
      <c r="BD71" s="60"/>
      <c r="BE71" s="60"/>
      <c r="BF71" s="60"/>
      <c r="BG71" s="60"/>
      <c r="BH71" s="60"/>
      <c r="BI71" s="60"/>
      <c r="BJ71" s="60"/>
      <c r="BK71" s="60"/>
      <c r="BL71" s="60"/>
      <c r="BM71" s="60"/>
    </row>
    <row r="72" spans="1:65" s="51" customFormat="1" ht="30" customHeight="1" thickBot="1" x14ac:dyDescent="0.35">
      <c r="A72" s="46"/>
      <c r="B72" s="88"/>
      <c r="C72" s="87" t="s">
        <v>119</v>
      </c>
      <c r="D72" s="87"/>
      <c r="E72" s="86"/>
      <c r="F72" s="86"/>
      <c r="G72" s="61"/>
      <c r="H72" s="61" t="str">
        <f t="shared" si="4"/>
        <v/>
      </c>
      <c r="I72" s="66"/>
      <c r="J72" s="60"/>
      <c r="K72" s="60"/>
      <c r="L72" s="60"/>
      <c r="M72" s="60"/>
      <c r="N72" s="60"/>
      <c r="O72" s="60"/>
      <c r="P72" s="60"/>
      <c r="Q72" s="60"/>
      <c r="R72" s="60"/>
      <c r="S72" s="60"/>
      <c r="T72" s="60"/>
      <c r="U72" s="60"/>
      <c r="V72" s="60"/>
      <c r="W72" s="60"/>
      <c r="X72" s="60"/>
      <c r="Y72" s="60"/>
      <c r="Z72" s="60"/>
      <c r="AA72" s="60"/>
      <c r="AB72" s="60"/>
      <c r="AC72" s="60"/>
      <c r="AD72" s="60"/>
      <c r="AE72" s="60"/>
      <c r="AF72" s="60"/>
      <c r="AG72" s="60"/>
      <c r="AH72" s="60"/>
      <c r="AI72" s="60"/>
      <c r="AJ72" s="60"/>
      <c r="AK72" s="60"/>
      <c r="AL72" s="60"/>
      <c r="AM72" s="60"/>
      <c r="AN72" s="60"/>
      <c r="AO72" s="60"/>
      <c r="AP72" s="60"/>
      <c r="AQ72" s="60"/>
      <c r="AR72" s="60"/>
      <c r="AS72" s="60"/>
      <c r="AT72" s="60"/>
      <c r="AU72" s="60"/>
      <c r="AV72" s="60"/>
      <c r="AW72" s="60"/>
      <c r="AX72" s="60"/>
      <c r="AY72" s="60"/>
      <c r="AZ72" s="60"/>
      <c r="BA72" s="60"/>
      <c r="BB72" s="60"/>
      <c r="BC72" s="60"/>
      <c r="BD72" s="60"/>
      <c r="BE72" s="60"/>
      <c r="BF72" s="60"/>
      <c r="BG72" s="60"/>
      <c r="BH72" s="60"/>
      <c r="BI72" s="60"/>
      <c r="BJ72" s="60"/>
      <c r="BK72" s="60"/>
      <c r="BL72" s="60"/>
      <c r="BM72" s="60"/>
    </row>
    <row r="73" spans="1:65" s="51" customFormat="1" ht="30" customHeight="1" thickBot="1" x14ac:dyDescent="0.35">
      <c r="A73" s="46"/>
      <c r="B73" s="88"/>
      <c r="C73" s="87" t="s">
        <v>119</v>
      </c>
      <c r="D73" s="87"/>
      <c r="E73" s="86"/>
      <c r="F73" s="86"/>
      <c r="G73" s="61"/>
      <c r="H73" s="61" t="str">
        <f t="shared" si="4"/>
        <v/>
      </c>
      <c r="I73" s="66"/>
      <c r="J73" s="60"/>
      <c r="K73" s="60"/>
      <c r="L73" s="60"/>
      <c r="M73" s="60"/>
      <c r="N73" s="60"/>
      <c r="O73" s="60"/>
      <c r="P73" s="60"/>
      <c r="Q73" s="60"/>
      <c r="R73" s="60"/>
      <c r="S73" s="60"/>
      <c r="T73" s="60"/>
      <c r="U73" s="60"/>
      <c r="V73" s="60"/>
      <c r="W73" s="60"/>
      <c r="X73" s="60"/>
      <c r="Y73" s="60"/>
      <c r="Z73" s="60"/>
      <c r="AA73" s="60"/>
      <c r="AB73" s="60"/>
      <c r="AC73" s="60"/>
      <c r="AD73" s="60"/>
      <c r="AE73" s="60"/>
      <c r="AF73" s="60"/>
      <c r="AG73" s="60"/>
      <c r="AH73" s="60"/>
      <c r="AI73" s="60"/>
      <c r="AJ73" s="60"/>
      <c r="AK73" s="60"/>
      <c r="AL73" s="60"/>
      <c r="AM73" s="60"/>
      <c r="AN73" s="60"/>
      <c r="AO73" s="60"/>
      <c r="AP73" s="60"/>
      <c r="AQ73" s="60"/>
      <c r="AR73" s="60"/>
      <c r="AS73" s="60"/>
      <c r="AT73" s="60"/>
      <c r="AU73" s="60"/>
      <c r="AV73" s="60"/>
      <c r="AW73" s="60"/>
      <c r="AX73" s="60"/>
      <c r="AY73" s="60"/>
      <c r="AZ73" s="60"/>
      <c r="BA73" s="60"/>
      <c r="BB73" s="60"/>
      <c r="BC73" s="60"/>
      <c r="BD73" s="60"/>
      <c r="BE73" s="60"/>
      <c r="BF73" s="60"/>
      <c r="BG73" s="60"/>
      <c r="BH73" s="60"/>
      <c r="BI73" s="60"/>
      <c r="BJ73" s="60"/>
      <c r="BK73" s="60"/>
      <c r="BL73" s="60"/>
      <c r="BM73" s="60"/>
    </row>
    <row r="74" spans="1:65" s="51" customFormat="1" ht="30" customHeight="1" thickBot="1" x14ac:dyDescent="0.35">
      <c r="A74" s="46"/>
      <c r="B74" s="88"/>
      <c r="C74" s="87" t="s">
        <v>119</v>
      </c>
      <c r="D74" s="87"/>
      <c r="E74" s="86"/>
      <c r="F74" s="86"/>
      <c r="G74" s="61"/>
      <c r="H74" s="61" t="str">
        <f t="shared" si="4"/>
        <v/>
      </c>
      <c r="I74" s="66"/>
      <c r="J74" s="60"/>
      <c r="K74" s="60"/>
      <c r="L74" s="60"/>
      <c r="M74" s="60"/>
      <c r="N74" s="60"/>
      <c r="O74" s="60"/>
      <c r="P74" s="60"/>
      <c r="Q74" s="60"/>
      <c r="R74" s="60"/>
      <c r="S74" s="60"/>
      <c r="T74" s="60"/>
      <c r="U74" s="60"/>
      <c r="V74" s="60"/>
      <c r="W74" s="60"/>
      <c r="X74" s="60"/>
      <c r="Y74" s="60"/>
      <c r="Z74" s="60"/>
      <c r="AA74" s="60"/>
      <c r="AB74" s="60"/>
      <c r="AC74" s="60"/>
      <c r="AD74" s="60"/>
      <c r="AE74" s="60"/>
      <c r="AF74" s="60"/>
      <c r="AG74" s="60"/>
      <c r="AH74" s="60"/>
      <c r="AI74" s="60"/>
      <c r="AJ74" s="60"/>
      <c r="AK74" s="60"/>
      <c r="AL74" s="60"/>
      <c r="AM74" s="60"/>
      <c r="AN74" s="60"/>
      <c r="AO74" s="60"/>
      <c r="AP74" s="60"/>
      <c r="AQ74" s="60"/>
      <c r="AR74" s="60"/>
      <c r="AS74" s="60"/>
      <c r="AT74" s="60"/>
      <c r="AU74" s="60"/>
      <c r="AV74" s="60"/>
      <c r="AW74" s="60"/>
      <c r="AX74" s="60"/>
      <c r="AY74" s="60"/>
      <c r="AZ74" s="60"/>
      <c r="BA74" s="60"/>
      <c r="BB74" s="60"/>
      <c r="BC74" s="60"/>
      <c r="BD74" s="60"/>
      <c r="BE74" s="60"/>
      <c r="BF74" s="60"/>
      <c r="BG74" s="60"/>
      <c r="BH74" s="60"/>
      <c r="BI74" s="60"/>
      <c r="BJ74" s="60"/>
      <c r="BK74" s="60"/>
      <c r="BL74" s="60"/>
      <c r="BM74" s="60"/>
    </row>
    <row r="75" spans="1:65" s="51" customFormat="1" ht="30" customHeight="1" thickBot="1" x14ac:dyDescent="0.35">
      <c r="A75" s="46"/>
      <c r="B75" s="88"/>
      <c r="C75" s="87" t="s">
        <v>119</v>
      </c>
      <c r="D75" s="87"/>
      <c r="E75" s="86"/>
      <c r="F75" s="86"/>
      <c r="G75" s="61"/>
      <c r="H75" s="61" t="str">
        <f t="shared" si="4"/>
        <v/>
      </c>
      <c r="I75" s="66"/>
      <c r="J75" s="60"/>
      <c r="K75" s="60"/>
      <c r="L75" s="60"/>
      <c r="M75" s="60"/>
      <c r="N75" s="60"/>
      <c r="O75" s="60"/>
      <c r="P75" s="60"/>
      <c r="Q75" s="60"/>
      <c r="R75" s="60"/>
      <c r="S75" s="60"/>
      <c r="T75" s="60"/>
      <c r="U75" s="60"/>
      <c r="V75" s="60"/>
      <c r="W75" s="60"/>
      <c r="X75" s="60"/>
      <c r="Y75" s="60"/>
      <c r="Z75" s="60"/>
      <c r="AA75" s="60"/>
      <c r="AB75" s="60"/>
      <c r="AC75" s="60"/>
      <c r="AD75" s="60"/>
      <c r="AE75" s="60"/>
      <c r="AF75" s="60"/>
      <c r="AG75" s="60"/>
      <c r="AH75" s="60"/>
      <c r="AI75" s="60"/>
      <c r="AJ75" s="60"/>
      <c r="AK75" s="60"/>
      <c r="AL75" s="60"/>
      <c r="AM75" s="60"/>
      <c r="AN75" s="60"/>
      <c r="AO75" s="60"/>
      <c r="AP75" s="60"/>
      <c r="AQ75" s="60"/>
      <c r="AR75" s="60"/>
      <c r="AS75" s="60"/>
      <c r="AT75" s="60"/>
      <c r="AU75" s="60"/>
      <c r="AV75" s="60"/>
      <c r="AW75" s="60"/>
      <c r="AX75" s="60"/>
      <c r="AY75" s="60"/>
      <c r="AZ75" s="60"/>
      <c r="BA75" s="60"/>
      <c r="BB75" s="60"/>
      <c r="BC75" s="60"/>
      <c r="BD75" s="60"/>
      <c r="BE75" s="60"/>
      <c r="BF75" s="60"/>
      <c r="BG75" s="60"/>
      <c r="BH75" s="60"/>
      <c r="BI75" s="60"/>
      <c r="BJ75" s="60"/>
      <c r="BK75" s="60"/>
      <c r="BL75" s="60"/>
      <c r="BM75" s="60"/>
    </row>
    <row r="76" spans="1:65" s="51" customFormat="1" ht="30" customHeight="1" thickBot="1" x14ac:dyDescent="0.35">
      <c r="A76" s="46"/>
      <c r="B76" s="88"/>
      <c r="C76" s="87" t="s">
        <v>119</v>
      </c>
      <c r="D76" s="87"/>
      <c r="E76" s="86"/>
      <c r="F76" s="86"/>
      <c r="G76" s="61"/>
      <c r="H76" s="61" t="str">
        <f t="shared" si="4"/>
        <v/>
      </c>
      <c r="I76" s="66"/>
      <c r="J76" s="60"/>
      <c r="K76" s="60"/>
      <c r="L76" s="60"/>
      <c r="M76" s="60"/>
      <c r="N76" s="60"/>
      <c r="O76" s="60"/>
      <c r="P76" s="60"/>
      <c r="Q76" s="60"/>
      <c r="R76" s="60"/>
      <c r="S76" s="60"/>
      <c r="T76" s="60"/>
      <c r="U76" s="60"/>
      <c r="V76" s="60"/>
      <c r="W76" s="60"/>
      <c r="X76" s="60"/>
      <c r="Y76" s="60"/>
      <c r="Z76" s="60"/>
      <c r="AA76" s="60"/>
      <c r="AB76" s="60"/>
      <c r="AC76" s="60"/>
      <c r="AD76" s="60"/>
      <c r="AE76" s="60"/>
      <c r="AF76" s="60"/>
      <c r="AG76" s="60"/>
      <c r="AH76" s="60"/>
      <c r="AI76" s="60"/>
      <c r="AJ76" s="60"/>
      <c r="AK76" s="60"/>
      <c r="AL76" s="60"/>
      <c r="AM76" s="60"/>
      <c r="AN76" s="60"/>
      <c r="AO76" s="60"/>
      <c r="AP76" s="60"/>
      <c r="AQ76" s="60"/>
      <c r="AR76" s="60"/>
      <c r="AS76" s="60"/>
      <c r="AT76" s="60"/>
      <c r="AU76" s="60"/>
      <c r="AV76" s="60"/>
      <c r="AW76" s="60"/>
      <c r="AX76" s="60"/>
      <c r="AY76" s="60"/>
      <c r="AZ76" s="60"/>
      <c r="BA76" s="60"/>
      <c r="BB76" s="60"/>
      <c r="BC76" s="60"/>
      <c r="BD76" s="60"/>
      <c r="BE76" s="60"/>
      <c r="BF76" s="60"/>
      <c r="BG76" s="60"/>
      <c r="BH76" s="60"/>
      <c r="BI76" s="60"/>
      <c r="BJ76" s="60"/>
      <c r="BK76" s="60"/>
      <c r="BL76" s="60"/>
      <c r="BM76" s="60"/>
    </row>
    <row r="77" spans="1:65" s="51" customFormat="1" ht="30" customHeight="1" thickBot="1" x14ac:dyDescent="0.35">
      <c r="A77" s="46"/>
      <c r="B77" s="88"/>
      <c r="C77" s="87" t="s">
        <v>119</v>
      </c>
      <c r="D77" s="87"/>
      <c r="E77" s="86"/>
      <c r="F77" s="86"/>
      <c r="G77" s="61"/>
      <c r="H77" s="61" t="str">
        <f t="shared" si="4"/>
        <v/>
      </c>
      <c r="I77" s="89"/>
      <c r="J77" s="60"/>
      <c r="K77" s="60"/>
      <c r="L77" s="60"/>
      <c r="M77" s="60"/>
      <c r="N77" s="60"/>
      <c r="O77" s="60"/>
      <c r="P77" s="60"/>
      <c r="Q77" s="60"/>
      <c r="R77" s="60"/>
      <c r="S77" s="60"/>
      <c r="T77" s="60"/>
      <c r="U77" s="60"/>
      <c r="V77" s="60"/>
      <c r="W77" s="60"/>
      <c r="X77" s="60"/>
      <c r="Y77" s="60"/>
      <c r="Z77" s="60"/>
      <c r="AA77" s="60"/>
      <c r="AB77" s="60"/>
      <c r="AC77" s="60"/>
      <c r="AD77" s="60"/>
      <c r="AE77" s="60"/>
      <c r="AF77" s="60"/>
      <c r="AG77" s="60"/>
      <c r="AH77" s="60"/>
      <c r="AI77" s="60"/>
      <c r="AJ77" s="60"/>
      <c r="AK77" s="60"/>
      <c r="AL77" s="60"/>
      <c r="AM77" s="60"/>
      <c r="AN77" s="60"/>
      <c r="AO77" s="60"/>
      <c r="AP77" s="60"/>
      <c r="AQ77" s="60"/>
      <c r="AR77" s="60"/>
      <c r="AS77" s="60"/>
      <c r="AT77" s="60"/>
      <c r="AU77" s="60"/>
      <c r="AV77" s="60"/>
      <c r="AW77" s="60"/>
      <c r="AX77" s="60"/>
      <c r="AY77" s="60"/>
      <c r="AZ77" s="60"/>
      <c r="BA77" s="60"/>
      <c r="BB77" s="60"/>
      <c r="BC77" s="60"/>
      <c r="BD77" s="60"/>
      <c r="BE77" s="60"/>
      <c r="BF77" s="60"/>
      <c r="BG77" s="60"/>
      <c r="BH77" s="60"/>
      <c r="BI77" s="60"/>
      <c r="BJ77" s="60"/>
      <c r="BK77" s="60"/>
      <c r="BL77" s="60"/>
      <c r="BM77" s="60"/>
    </row>
    <row r="78" spans="1:65" s="51" customFormat="1" ht="30" customHeight="1" thickBot="1" x14ac:dyDescent="0.35">
      <c r="A78" s="46"/>
      <c r="B78" s="88"/>
      <c r="C78" s="87" t="s">
        <v>119</v>
      </c>
      <c r="D78" s="87"/>
      <c r="E78" s="86"/>
      <c r="F78" s="86"/>
      <c r="G78" s="61"/>
      <c r="H78" s="61" t="str">
        <f t="shared" si="4"/>
        <v/>
      </c>
      <c r="I78" s="89"/>
      <c r="J78" s="60"/>
      <c r="K78" s="60"/>
      <c r="L78" s="60"/>
      <c r="M78" s="60"/>
      <c r="N78" s="60"/>
      <c r="O78" s="60"/>
      <c r="P78" s="60"/>
      <c r="Q78" s="60"/>
      <c r="R78" s="60"/>
      <c r="S78" s="60"/>
      <c r="T78" s="60"/>
      <c r="U78" s="60"/>
      <c r="V78" s="60"/>
      <c r="W78" s="60"/>
      <c r="X78" s="60"/>
      <c r="Y78" s="60"/>
      <c r="Z78" s="60"/>
      <c r="AA78" s="60"/>
      <c r="AB78" s="60"/>
      <c r="AC78" s="60"/>
      <c r="AD78" s="60"/>
      <c r="AE78" s="60"/>
      <c r="AF78" s="60"/>
      <c r="AG78" s="60"/>
      <c r="AH78" s="60"/>
      <c r="AI78" s="60"/>
      <c r="AJ78" s="60"/>
      <c r="AK78" s="60"/>
      <c r="AL78" s="60"/>
      <c r="AM78" s="60"/>
      <c r="AN78" s="60"/>
      <c r="AO78" s="60"/>
      <c r="AP78" s="60"/>
      <c r="AQ78" s="60"/>
      <c r="AR78" s="60"/>
      <c r="AS78" s="60"/>
      <c r="AT78" s="60"/>
      <c r="AU78" s="60"/>
      <c r="AV78" s="60"/>
      <c r="AW78" s="60"/>
      <c r="AX78" s="60"/>
      <c r="AY78" s="60"/>
      <c r="AZ78" s="60"/>
      <c r="BA78" s="60"/>
      <c r="BB78" s="60"/>
      <c r="BC78" s="60"/>
      <c r="BD78" s="60"/>
      <c r="BE78" s="60"/>
      <c r="BF78" s="60"/>
      <c r="BG78" s="60"/>
      <c r="BH78" s="60"/>
      <c r="BI78" s="60"/>
      <c r="BJ78" s="60"/>
      <c r="BK78" s="60"/>
      <c r="BL78" s="60"/>
      <c r="BM78" s="60"/>
    </row>
    <row r="79" spans="1:65" s="51" customFormat="1" ht="30" customHeight="1" thickBot="1" x14ac:dyDescent="0.35">
      <c r="A79" s="46"/>
      <c r="B79" s="88"/>
      <c r="C79" s="87" t="s">
        <v>119</v>
      </c>
      <c r="D79" s="87"/>
      <c r="E79" s="86"/>
      <c r="F79" s="86"/>
      <c r="G79" s="61"/>
      <c r="H79" s="61"/>
      <c r="I79" s="66"/>
      <c r="J79" s="60"/>
      <c r="K79" s="60"/>
      <c r="L79" s="60"/>
      <c r="M79" s="60"/>
      <c r="N79" s="60"/>
      <c r="O79" s="60"/>
      <c r="P79" s="60"/>
      <c r="Q79" s="60"/>
      <c r="R79" s="60"/>
      <c r="S79" s="60"/>
      <c r="T79" s="60"/>
      <c r="U79" s="60"/>
      <c r="V79" s="60"/>
      <c r="W79" s="60"/>
      <c r="X79" s="60"/>
      <c r="Y79" s="60"/>
      <c r="Z79" s="60"/>
      <c r="AA79" s="60"/>
      <c r="AB79" s="60"/>
      <c r="AC79" s="60"/>
      <c r="AD79" s="60"/>
      <c r="AE79" s="60"/>
      <c r="AF79" s="60"/>
      <c r="AG79" s="60"/>
      <c r="AH79" s="60"/>
      <c r="AI79" s="60"/>
      <c r="AJ79" s="60"/>
      <c r="AK79" s="60"/>
      <c r="AL79" s="60"/>
      <c r="AM79" s="60"/>
      <c r="AN79" s="60"/>
      <c r="AO79" s="60"/>
      <c r="AP79" s="60"/>
      <c r="AQ79" s="60"/>
      <c r="AR79" s="60"/>
      <c r="AS79" s="60"/>
      <c r="AT79" s="60"/>
      <c r="AU79" s="60"/>
      <c r="AV79" s="60"/>
      <c r="AW79" s="60"/>
      <c r="AX79" s="60"/>
      <c r="AY79" s="60"/>
      <c r="AZ79" s="60"/>
      <c r="BA79" s="60"/>
      <c r="BB79" s="60"/>
      <c r="BC79" s="60"/>
      <c r="BD79" s="60"/>
      <c r="BE79" s="60"/>
      <c r="BF79" s="60"/>
      <c r="BG79" s="60"/>
      <c r="BH79" s="60"/>
      <c r="BI79" s="60"/>
      <c r="BJ79" s="60"/>
      <c r="BK79" s="60"/>
      <c r="BL79" s="60"/>
      <c r="BM79" s="60"/>
    </row>
    <row r="80" spans="1:65" s="51" customFormat="1" ht="30" customHeight="1" thickBot="1" x14ac:dyDescent="0.35">
      <c r="A80" s="46"/>
      <c r="B80" s="88"/>
      <c r="C80" s="87" t="s">
        <v>119</v>
      </c>
      <c r="D80" s="87"/>
      <c r="E80" s="86"/>
      <c r="F80" s="86"/>
      <c r="G80" s="61"/>
      <c r="H80" s="61"/>
      <c r="I80" s="66"/>
      <c r="J80" s="60"/>
      <c r="K80" s="60"/>
      <c r="L80" s="60"/>
      <c r="M80" s="60"/>
      <c r="N80" s="60"/>
      <c r="O80" s="60"/>
      <c r="P80" s="60"/>
      <c r="Q80" s="60"/>
      <c r="R80" s="60"/>
      <c r="S80" s="60"/>
      <c r="T80" s="60"/>
      <c r="U80" s="60"/>
      <c r="V80" s="60"/>
      <c r="W80" s="60"/>
      <c r="X80" s="60"/>
      <c r="Y80" s="60"/>
      <c r="Z80" s="60"/>
      <c r="AA80" s="60"/>
      <c r="AB80" s="60"/>
      <c r="AC80" s="60"/>
      <c r="AD80" s="60"/>
      <c r="AE80" s="60"/>
      <c r="AF80" s="60"/>
      <c r="AG80" s="60"/>
      <c r="AH80" s="60"/>
      <c r="AI80" s="60"/>
      <c r="AJ80" s="60"/>
      <c r="AK80" s="60"/>
      <c r="AL80" s="60"/>
      <c r="AM80" s="60"/>
      <c r="AN80" s="60"/>
      <c r="AO80" s="60"/>
      <c r="AP80" s="60"/>
      <c r="AQ80" s="60"/>
      <c r="AR80" s="60"/>
      <c r="AS80" s="60"/>
      <c r="AT80" s="60"/>
      <c r="AU80" s="60"/>
      <c r="AV80" s="60"/>
      <c r="AW80" s="60"/>
      <c r="AX80" s="60"/>
      <c r="AY80" s="60"/>
      <c r="AZ80" s="60"/>
      <c r="BA80" s="60"/>
      <c r="BB80" s="60"/>
      <c r="BC80" s="60"/>
      <c r="BD80" s="60"/>
      <c r="BE80" s="60"/>
      <c r="BF80" s="60"/>
      <c r="BG80" s="60"/>
      <c r="BH80" s="60"/>
      <c r="BI80" s="60"/>
      <c r="BJ80" s="60"/>
      <c r="BK80" s="60"/>
      <c r="BL80" s="60"/>
      <c r="BM80" s="60"/>
    </row>
    <row r="81" spans="1:65" s="51" customFormat="1" ht="30" customHeight="1" thickBot="1" x14ac:dyDescent="0.35">
      <c r="A81" s="46"/>
      <c r="B81" s="88"/>
      <c r="C81" s="87" t="s">
        <v>119</v>
      </c>
      <c r="D81" s="87"/>
      <c r="E81" s="86"/>
      <c r="F81" s="86"/>
      <c r="G81" s="61"/>
      <c r="H81" s="61"/>
      <c r="I81" s="66"/>
      <c r="J81" s="60"/>
      <c r="K81" s="60"/>
      <c r="L81" s="60"/>
      <c r="M81" s="60"/>
      <c r="N81" s="60"/>
      <c r="O81" s="60"/>
      <c r="P81" s="60"/>
      <c r="Q81" s="60"/>
      <c r="R81" s="60"/>
      <c r="S81" s="60"/>
      <c r="T81" s="60"/>
      <c r="U81" s="60"/>
      <c r="V81" s="60"/>
      <c r="W81" s="60"/>
      <c r="X81" s="60"/>
      <c r="Y81" s="60"/>
      <c r="Z81" s="60"/>
      <c r="AA81" s="60"/>
      <c r="AB81" s="60"/>
      <c r="AC81" s="60"/>
      <c r="AD81" s="60"/>
      <c r="AE81" s="60"/>
      <c r="AF81" s="60"/>
      <c r="AG81" s="60"/>
      <c r="AH81" s="60"/>
      <c r="AI81" s="60"/>
      <c r="AJ81" s="60"/>
      <c r="AK81" s="60"/>
      <c r="AL81" s="60"/>
      <c r="AM81" s="60"/>
      <c r="AN81" s="60"/>
      <c r="AO81" s="60"/>
      <c r="AP81" s="60"/>
      <c r="AQ81" s="60"/>
      <c r="AR81" s="60"/>
      <c r="AS81" s="60"/>
      <c r="AT81" s="60"/>
      <c r="AU81" s="60"/>
      <c r="AV81" s="60"/>
      <c r="AW81" s="60"/>
      <c r="AX81" s="60"/>
      <c r="AY81" s="60"/>
      <c r="AZ81" s="60"/>
      <c r="BA81" s="60"/>
      <c r="BB81" s="60"/>
      <c r="BC81" s="60"/>
      <c r="BD81" s="60"/>
      <c r="BE81" s="60"/>
      <c r="BF81" s="60"/>
      <c r="BG81" s="60"/>
      <c r="BH81" s="60"/>
      <c r="BI81" s="60"/>
      <c r="BJ81" s="60"/>
      <c r="BK81" s="60"/>
      <c r="BL81" s="60"/>
      <c r="BM81" s="60"/>
    </row>
    <row r="82" spans="1:65" s="51" customFormat="1" ht="30" customHeight="1" thickBot="1" x14ac:dyDescent="0.35">
      <c r="A82" s="46"/>
      <c r="B82" s="88"/>
      <c r="C82" s="87" t="s">
        <v>119</v>
      </c>
      <c r="D82" s="87"/>
      <c r="E82" s="86"/>
      <c r="F82" s="86"/>
      <c r="G82" s="61"/>
      <c r="H82" s="61"/>
      <c r="I82" s="66"/>
      <c r="J82" s="60"/>
      <c r="K82" s="60"/>
      <c r="L82" s="60"/>
      <c r="M82" s="60"/>
      <c r="N82" s="60"/>
      <c r="O82" s="60"/>
      <c r="P82" s="60"/>
      <c r="Q82" s="60"/>
      <c r="R82" s="60"/>
      <c r="S82" s="60"/>
      <c r="T82" s="60"/>
      <c r="U82" s="60"/>
      <c r="V82" s="60"/>
      <c r="W82" s="60"/>
      <c r="X82" s="60"/>
      <c r="Y82" s="60"/>
      <c r="Z82" s="60"/>
      <c r="AA82" s="60"/>
      <c r="AB82" s="60"/>
      <c r="AC82" s="60"/>
      <c r="AD82" s="60"/>
      <c r="AE82" s="60"/>
      <c r="AF82" s="60"/>
      <c r="AG82" s="60"/>
      <c r="AH82" s="60"/>
      <c r="AI82" s="60"/>
      <c r="AJ82" s="60"/>
      <c r="AK82" s="60"/>
      <c r="AL82" s="60"/>
      <c r="AM82" s="60"/>
      <c r="AN82" s="60"/>
      <c r="AO82" s="60"/>
      <c r="AP82" s="60"/>
      <c r="AQ82" s="60"/>
      <c r="AR82" s="60"/>
      <c r="AS82" s="60"/>
      <c r="AT82" s="60"/>
      <c r="AU82" s="60"/>
      <c r="AV82" s="60"/>
      <c r="AW82" s="60"/>
      <c r="AX82" s="60"/>
      <c r="AY82" s="60"/>
      <c r="AZ82" s="60"/>
      <c r="BA82" s="60"/>
      <c r="BB82" s="60"/>
      <c r="BC82" s="60"/>
      <c r="BD82" s="60"/>
      <c r="BE82" s="60"/>
      <c r="BF82" s="60"/>
      <c r="BG82" s="60"/>
      <c r="BH82" s="60"/>
      <c r="BI82" s="60"/>
      <c r="BJ82" s="60"/>
      <c r="BK82" s="60"/>
      <c r="BL82" s="60"/>
      <c r="BM82" s="60"/>
    </row>
    <row r="83" spans="1:65" s="51" customFormat="1" ht="30" customHeight="1" thickBot="1" x14ac:dyDescent="0.35">
      <c r="A83" s="46"/>
      <c r="B83" s="88"/>
      <c r="C83" s="87" t="s">
        <v>119</v>
      </c>
      <c r="D83" s="87"/>
      <c r="E83" s="86"/>
      <c r="F83" s="86"/>
      <c r="G83" s="61"/>
      <c r="H83" s="61"/>
      <c r="I83" s="66"/>
      <c r="J83" s="60"/>
      <c r="K83" s="60"/>
      <c r="L83" s="60"/>
      <c r="M83" s="60"/>
      <c r="N83" s="60"/>
      <c r="O83" s="60"/>
      <c r="P83" s="60"/>
      <c r="Q83" s="60"/>
      <c r="R83" s="60"/>
      <c r="S83" s="60"/>
      <c r="T83" s="60"/>
      <c r="U83" s="60"/>
      <c r="V83" s="60"/>
      <c r="W83" s="60"/>
      <c r="X83" s="60"/>
      <c r="Y83" s="60"/>
      <c r="Z83" s="60"/>
      <c r="AA83" s="60"/>
      <c r="AB83" s="60"/>
      <c r="AC83" s="60"/>
      <c r="AD83" s="60"/>
      <c r="AE83" s="60"/>
      <c r="AF83" s="60"/>
      <c r="AG83" s="60"/>
      <c r="AH83" s="60"/>
      <c r="AI83" s="60"/>
      <c r="AJ83" s="60"/>
      <c r="AK83" s="60"/>
      <c r="AL83" s="60"/>
      <c r="AM83" s="60"/>
      <c r="AN83" s="60"/>
      <c r="AO83" s="60"/>
      <c r="AP83" s="60"/>
      <c r="AQ83" s="60"/>
      <c r="AR83" s="60"/>
      <c r="AS83" s="60"/>
      <c r="AT83" s="60"/>
      <c r="AU83" s="60"/>
      <c r="AV83" s="60"/>
      <c r="AW83" s="60"/>
      <c r="AX83" s="60"/>
      <c r="AY83" s="60"/>
      <c r="AZ83" s="60"/>
      <c r="BA83" s="60"/>
      <c r="BB83" s="60"/>
      <c r="BC83" s="60"/>
      <c r="BD83" s="60"/>
      <c r="BE83" s="60"/>
      <c r="BF83" s="60"/>
      <c r="BG83" s="60"/>
      <c r="BH83" s="60"/>
      <c r="BI83" s="60"/>
      <c r="BJ83" s="60"/>
      <c r="BK83" s="60"/>
      <c r="BL83" s="60"/>
      <c r="BM83" s="60"/>
    </row>
    <row r="84" spans="1:65" s="51" customFormat="1" ht="30" customHeight="1" thickBot="1" x14ac:dyDescent="0.35">
      <c r="A84" s="46"/>
      <c r="B84" s="88"/>
      <c r="C84" s="87"/>
      <c r="D84" s="87"/>
      <c r="E84" s="86"/>
      <c r="F84" s="86"/>
      <c r="G84" s="61"/>
      <c r="H84" s="61"/>
      <c r="I84" s="66"/>
      <c r="J84" s="60"/>
      <c r="K84" s="60"/>
      <c r="L84" s="60"/>
      <c r="M84" s="60"/>
      <c r="N84" s="60"/>
      <c r="O84" s="60"/>
      <c r="P84" s="60"/>
      <c r="Q84" s="60"/>
      <c r="R84" s="60"/>
      <c r="S84" s="60"/>
      <c r="T84" s="60"/>
      <c r="U84" s="60"/>
      <c r="V84" s="60"/>
      <c r="W84" s="60"/>
      <c r="X84" s="60"/>
      <c r="Y84" s="60"/>
      <c r="Z84" s="60"/>
      <c r="AA84" s="60"/>
      <c r="AB84" s="60"/>
      <c r="AC84" s="60"/>
      <c r="AD84" s="60"/>
      <c r="AE84" s="60"/>
      <c r="AF84" s="60"/>
      <c r="AG84" s="60"/>
      <c r="AH84" s="60"/>
      <c r="AI84" s="60"/>
      <c r="AJ84" s="60"/>
      <c r="AK84" s="60"/>
      <c r="AL84" s="60"/>
      <c r="AM84" s="60"/>
      <c r="AN84" s="60"/>
      <c r="AO84" s="60"/>
      <c r="AP84" s="60"/>
      <c r="AQ84" s="60"/>
      <c r="AR84" s="60"/>
      <c r="AS84" s="60"/>
      <c r="AT84" s="60"/>
      <c r="AU84" s="60"/>
      <c r="AV84" s="60"/>
      <c r="AW84" s="60"/>
      <c r="AX84" s="60"/>
      <c r="AY84" s="60"/>
      <c r="AZ84" s="60"/>
      <c r="BA84" s="60"/>
      <c r="BB84" s="60"/>
      <c r="BC84" s="60"/>
      <c r="BD84" s="60"/>
      <c r="BE84" s="60"/>
      <c r="BF84" s="60"/>
      <c r="BG84" s="60"/>
      <c r="BH84" s="60"/>
      <c r="BI84" s="60"/>
      <c r="BJ84" s="60"/>
      <c r="BK84" s="60"/>
      <c r="BL84" s="60"/>
      <c r="BM84" s="60"/>
    </row>
    <row r="85" spans="1:65" s="51" customFormat="1" ht="30" customHeight="1" thickBot="1" x14ac:dyDescent="0.35">
      <c r="A85" s="46"/>
      <c r="B85" s="88"/>
      <c r="C85" s="87"/>
      <c r="D85" s="87"/>
      <c r="E85" s="86"/>
      <c r="F85" s="86"/>
      <c r="G85" s="61"/>
      <c r="H85" s="61"/>
      <c r="I85" s="66"/>
      <c r="J85" s="60"/>
      <c r="K85" s="60"/>
      <c r="L85" s="60"/>
      <c r="M85" s="60"/>
      <c r="N85" s="60"/>
      <c r="O85" s="60"/>
      <c r="P85" s="60"/>
      <c r="Q85" s="60"/>
      <c r="R85" s="60"/>
      <c r="S85" s="60"/>
      <c r="T85" s="60"/>
      <c r="U85" s="60"/>
      <c r="V85" s="60"/>
      <c r="W85" s="60"/>
      <c r="X85" s="60"/>
      <c r="Y85" s="60"/>
      <c r="Z85" s="60"/>
      <c r="AA85" s="60"/>
      <c r="AB85" s="60"/>
      <c r="AC85" s="60"/>
      <c r="AD85" s="60"/>
      <c r="AE85" s="60"/>
      <c r="AF85" s="60"/>
      <c r="AG85" s="60"/>
      <c r="AH85" s="60"/>
      <c r="AI85" s="60"/>
      <c r="AJ85" s="60"/>
      <c r="AK85" s="60"/>
      <c r="AL85" s="60"/>
      <c r="AM85" s="60"/>
      <c r="AN85" s="60"/>
      <c r="AO85" s="60"/>
      <c r="AP85" s="60"/>
      <c r="AQ85" s="60"/>
      <c r="AR85" s="60"/>
      <c r="AS85" s="60"/>
      <c r="AT85" s="60"/>
      <c r="AU85" s="60"/>
      <c r="AV85" s="60"/>
      <c r="AW85" s="60"/>
      <c r="AX85" s="60"/>
      <c r="AY85" s="60"/>
      <c r="AZ85" s="60"/>
      <c r="BA85" s="60"/>
      <c r="BB85" s="60"/>
      <c r="BC85" s="60"/>
      <c r="BD85" s="60"/>
      <c r="BE85" s="60"/>
      <c r="BF85" s="60"/>
      <c r="BG85" s="60"/>
      <c r="BH85" s="60"/>
      <c r="BI85" s="60"/>
      <c r="BJ85" s="60"/>
      <c r="BK85" s="60"/>
      <c r="BL85" s="60"/>
      <c r="BM85" s="60"/>
    </row>
    <row r="86" spans="1:65" s="51" customFormat="1" ht="30" customHeight="1" thickBot="1" x14ac:dyDescent="0.35">
      <c r="A86" s="46"/>
      <c r="B86" s="88"/>
      <c r="C86" s="87"/>
      <c r="D86" s="87"/>
      <c r="E86" s="86"/>
      <c r="F86" s="86"/>
      <c r="G86" s="61"/>
      <c r="H86" s="61"/>
      <c r="I86" s="66"/>
      <c r="J86" s="60"/>
      <c r="K86" s="60"/>
      <c r="L86" s="60"/>
      <c r="M86" s="60"/>
      <c r="N86" s="60"/>
      <c r="O86" s="60"/>
      <c r="P86" s="60"/>
      <c r="Q86" s="60"/>
      <c r="R86" s="60"/>
      <c r="S86" s="60"/>
      <c r="T86" s="60"/>
      <c r="U86" s="60"/>
      <c r="V86" s="60"/>
      <c r="W86" s="60"/>
      <c r="X86" s="60"/>
      <c r="Y86" s="60"/>
      <c r="Z86" s="60"/>
      <c r="AA86" s="60"/>
      <c r="AB86" s="60"/>
      <c r="AC86" s="60"/>
      <c r="AD86" s="60"/>
      <c r="AE86" s="60"/>
      <c r="AF86" s="60"/>
      <c r="AG86" s="60"/>
      <c r="AH86" s="60"/>
      <c r="AI86" s="60"/>
      <c r="AJ86" s="60"/>
      <c r="AK86" s="60"/>
      <c r="AL86" s="60"/>
      <c r="AM86" s="60"/>
      <c r="AN86" s="60"/>
      <c r="AO86" s="60"/>
      <c r="AP86" s="60"/>
      <c r="AQ86" s="60"/>
      <c r="AR86" s="60"/>
      <c r="AS86" s="60"/>
      <c r="AT86" s="60"/>
      <c r="AU86" s="60"/>
      <c r="AV86" s="60"/>
      <c r="AW86" s="60"/>
      <c r="AX86" s="60"/>
      <c r="AY86" s="60"/>
      <c r="AZ86" s="60"/>
      <c r="BA86" s="60"/>
      <c r="BB86" s="60"/>
      <c r="BC86" s="60"/>
      <c r="BD86" s="60"/>
      <c r="BE86" s="60"/>
      <c r="BF86" s="60"/>
      <c r="BG86" s="60"/>
      <c r="BH86" s="60"/>
      <c r="BI86" s="60"/>
      <c r="BJ86" s="60"/>
      <c r="BK86" s="60"/>
      <c r="BL86" s="60"/>
      <c r="BM86" s="60"/>
    </row>
    <row r="87" spans="1:65" s="51" customFormat="1" ht="30" customHeight="1" thickBot="1" x14ac:dyDescent="0.35">
      <c r="A87" s="46"/>
      <c r="B87" s="88"/>
      <c r="C87" s="87"/>
      <c r="D87" s="87"/>
      <c r="E87" s="86"/>
      <c r="F87" s="86"/>
      <c r="G87" s="61"/>
      <c r="H87" s="61"/>
      <c r="I87" s="66"/>
      <c r="J87" s="60"/>
      <c r="K87" s="60"/>
      <c r="L87" s="60"/>
      <c r="M87" s="60"/>
      <c r="N87" s="60"/>
      <c r="O87" s="60"/>
      <c r="P87" s="60"/>
      <c r="Q87" s="60"/>
      <c r="R87" s="60"/>
      <c r="S87" s="60"/>
      <c r="T87" s="60"/>
      <c r="U87" s="60"/>
      <c r="V87" s="60"/>
      <c r="W87" s="60"/>
      <c r="X87" s="60"/>
      <c r="Y87" s="60"/>
      <c r="Z87" s="60"/>
      <c r="AA87" s="60"/>
      <c r="AB87" s="60"/>
      <c r="AC87" s="60"/>
      <c r="AD87" s="60"/>
      <c r="AE87" s="60"/>
      <c r="AF87" s="60"/>
      <c r="AG87" s="60"/>
      <c r="AH87" s="60"/>
      <c r="AI87" s="60"/>
      <c r="AJ87" s="60"/>
      <c r="AK87" s="60"/>
      <c r="AL87" s="60"/>
      <c r="AM87" s="60"/>
      <c r="AN87" s="60"/>
      <c r="AO87" s="60"/>
      <c r="AP87" s="60"/>
      <c r="AQ87" s="60"/>
      <c r="AR87" s="60"/>
      <c r="AS87" s="60"/>
      <c r="AT87" s="60"/>
      <c r="AU87" s="60"/>
      <c r="AV87" s="60"/>
      <c r="AW87" s="60"/>
      <c r="AX87" s="60"/>
      <c r="AY87" s="60"/>
      <c r="AZ87" s="60"/>
      <c r="BA87" s="60"/>
      <c r="BB87" s="60"/>
      <c r="BC87" s="60"/>
      <c r="BD87" s="60"/>
      <c r="BE87" s="60"/>
      <c r="BF87" s="60"/>
      <c r="BG87" s="60"/>
      <c r="BH87" s="60"/>
      <c r="BI87" s="60"/>
      <c r="BJ87" s="60"/>
      <c r="BK87" s="60"/>
      <c r="BL87" s="60"/>
      <c r="BM87" s="60"/>
    </row>
    <row r="88" spans="1:65" s="51" customFormat="1" ht="30" customHeight="1" thickBot="1" x14ac:dyDescent="0.35">
      <c r="A88" s="46" t="s">
        <v>184</v>
      </c>
      <c r="B88" s="85" t="s">
        <v>438</v>
      </c>
      <c r="C88" s="84"/>
      <c r="D88" s="83"/>
      <c r="E88" s="82"/>
      <c r="F88" s="81"/>
      <c r="G88" s="61"/>
      <c r="H88" s="61" t="str">
        <f t="shared" ref="H88:H114" si="5">IF(OR(ISBLANK(task_start),ISBLANK(task_end)),"",task_end-task_start+1)</f>
        <v/>
      </c>
      <c r="I88" s="66"/>
      <c r="J88" s="60"/>
      <c r="K88" s="60"/>
      <c r="L88" s="60"/>
      <c r="M88" s="60"/>
      <c r="N88" s="60"/>
      <c r="O88" s="60"/>
      <c r="P88" s="60"/>
      <c r="Q88" s="60"/>
      <c r="R88" s="60"/>
      <c r="S88" s="60"/>
      <c r="T88" s="60"/>
      <c r="U88" s="60"/>
      <c r="V88" s="60"/>
      <c r="W88" s="60"/>
      <c r="X88" s="60"/>
      <c r="Y88" s="60"/>
      <c r="Z88" s="60"/>
      <c r="AA88" s="60"/>
      <c r="AB88" s="60"/>
      <c r="AC88" s="60"/>
      <c r="AD88" s="60"/>
      <c r="AE88" s="60"/>
      <c r="AF88" s="60"/>
      <c r="AG88" s="60"/>
      <c r="AH88" s="60"/>
      <c r="AI88" s="60"/>
      <c r="AJ88" s="60"/>
      <c r="AK88" s="60"/>
      <c r="AL88" s="60"/>
      <c r="AM88" s="60"/>
      <c r="AN88" s="60"/>
      <c r="AO88" s="60"/>
      <c r="AP88" s="60"/>
      <c r="AQ88" s="60"/>
      <c r="AR88" s="60"/>
      <c r="AS88" s="60"/>
      <c r="AT88" s="60"/>
      <c r="AU88" s="60"/>
      <c r="AV88" s="60"/>
      <c r="AW88" s="60"/>
      <c r="AX88" s="60"/>
      <c r="AY88" s="60"/>
      <c r="AZ88" s="60"/>
      <c r="BA88" s="60"/>
      <c r="BB88" s="60"/>
      <c r="BC88" s="60"/>
      <c r="BD88" s="60"/>
      <c r="BE88" s="60"/>
      <c r="BF88" s="60"/>
      <c r="BG88" s="60"/>
      <c r="BH88" s="60"/>
      <c r="BI88" s="60"/>
      <c r="BJ88" s="60"/>
      <c r="BK88" s="60"/>
      <c r="BL88" s="60"/>
      <c r="BM88" s="60"/>
    </row>
    <row r="89" spans="1:65" s="51" customFormat="1" ht="30" customHeight="1" thickBot="1" x14ac:dyDescent="0.35">
      <c r="A89" s="46"/>
      <c r="B89" s="80" t="s">
        <v>439</v>
      </c>
      <c r="C89" s="79" t="s">
        <v>119</v>
      </c>
      <c r="D89" s="78">
        <v>0.9</v>
      </c>
      <c r="E89" s="77">
        <v>43746</v>
      </c>
      <c r="F89" s="77">
        <f>E89+5</f>
        <v>43751</v>
      </c>
      <c r="G89" s="61"/>
      <c r="H89" s="61">
        <f t="shared" si="5"/>
        <v>6</v>
      </c>
      <c r="I89" s="66"/>
      <c r="J89" s="60"/>
      <c r="K89" s="60"/>
      <c r="L89" s="60"/>
      <c r="M89" s="60"/>
      <c r="N89" s="60"/>
      <c r="O89" s="60"/>
      <c r="P89" s="60"/>
      <c r="Q89" s="60"/>
      <c r="R89" s="60"/>
      <c r="S89" s="60"/>
      <c r="T89" s="60"/>
      <c r="U89" s="60"/>
      <c r="V89" s="60"/>
      <c r="W89" s="60"/>
      <c r="X89" s="60"/>
      <c r="Y89" s="60"/>
      <c r="Z89" s="60"/>
      <c r="AA89" s="60"/>
      <c r="AB89" s="60"/>
      <c r="AC89" s="60"/>
      <c r="AD89" s="60"/>
      <c r="AE89" s="60"/>
      <c r="AF89" s="60"/>
      <c r="AG89" s="60"/>
      <c r="AH89" s="60"/>
      <c r="AI89" s="60"/>
      <c r="AJ89" s="60"/>
      <c r="AK89" s="60"/>
      <c r="AL89" s="60"/>
      <c r="AM89" s="60"/>
      <c r="AN89" s="60"/>
      <c r="AO89" s="60"/>
      <c r="AP89" s="60"/>
      <c r="AQ89" s="60"/>
      <c r="AR89" s="60"/>
      <c r="AS89" s="60"/>
      <c r="AT89" s="60"/>
      <c r="AU89" s="60"/>
      <c r="AV89" s="60"/>
      <c r="AW89" s="60"/>
      <c r="AX89" s="60"/>
      <c r="AY89" s="60"/>
      <c r="AZ89" s="60"/>
      <c r="BA89" s="60"/>
      <c r="BB89" s="60"/>
      <c r="BC89" s="60"/>
      <c r="BD89" s="60"/>
      <c r="BE89" s="60"/>
      <c r="BF89" s="60"/>
      <c r="BG89" s="60"/>
      <c r="BH89" s="60"/>
      <c r="BI89" s="60"/>
      <c r="BJ89" s="60"/>
      <c r="BK89" s="60"/>
      <c r="BL89" s="60"/>
      <c r="BM89" s="60"/>
    </row>
    <row r="90" spans="1:65" s="51" customFormat="1" ht="30" customHeight="1" thickBot="1" x14ac:dyDescent="0.35">
      <c r="A90" s="46"/>
      <c r="B90" s="80" t="s">
        <v>440</v>
      </c>
      <c r="C90" s="79" t="s">
        <v>119</v>
      </c>
      <c r="D90" s="78">
        <v>0.9</v>
      </c>
      <c r="E90" s="77">
        <f>F89+1</f>
        <v>43752</v>
      </c>
      <c r="F90" s="77">
        <f>E90+2</f>
        <v>43754</v>
      </c>
      <c r="G90" s="61"/>
      <c r="H90" s="61">
        <f t="shared" si="5"/>
        <v>3</v>
      </c>
      <c r="I90" s="66"/>
      <c r="J90" s="60"/>
      <c r="K90" s="60"/>
      <c r="L90" s="60"/>
      <c r="M90" s="60"/>
      <c r="N90" s="60"/>
      <c r="O90" s="60"/>
      <c r="P90" s="60"/>
      <c r="Q90" s="60"/>
      <c r="R90" s="60"/>
      <c r="S90" s="60"/>
      <c r="T90" s="60"/>
      <c r="U90" s="60"/>
      <c r="V90" s="60"/>
      <c r="W90" s="60"/>
      <c r="X90" s="60"/>
      <c r="Y90" s="60"/>
      <c r="Z90" s="60"/>
      <c r="AA90" s="60"/>
      <c r="AB90" s="60"/>
      <c r="AC90" s="60"/>
      <c r="AD90" s="60"/>
      <c r="AE90" s="60"/>
      <c r="AF90" s="60"/>
      <c r="AG90" s="60"/>
      <c r="AH90" s="60"/>
      <c r="AI90" s="60"/>
      <c r="AJ90" s="60"/>
      <c r="AK90" s="60"/>
      <c r="AL90" s="60"/>
      <c r="AM90" s="60"/>
      <c r="AN90" s="60"/>
      <c r="AO90" s="60"/>
      <c r="AP90" s="60"/>
      <c r="AQ90" s="60"/>
      <c r="AR90" s="60"/>
      <c r="AS90" s="60"/>
      <c r="AT90" s="60"/>
      <c r="AU90" s="60"/>
      <c r="AV90" s="60"/>
      <c r="AW90" s="60"/>
      <c r="AX90" s="60"/>
      <c r="AY90" s="60"/>
      <c r="AZ90" s="60"/>
      <c r="BA90" s="60"/>
      <c r="BB90" s="60"/>
      <c r="BC90" s="60"/>
      <c r="BD90" s="60"/>
      <c r="BE90" s="60"/>
      <c r="BF90" s="60"/>
      <c r="BG90" s="60"/>
      <c r="BH90" s="60"/>
      <c r="BI90" s="60"/>
      <c r="BJ90" s="60"/>
      <c r="BK90" s="60"/>
      <c r="BL90" s="60"/>
      <c r="BM90" s="60"/>
    </row>
    <row r="91" spans="1:65" s="51" customFormat="1" ht="30" customHeight="1" thickBot="1" x14ac:dyDescent="0.35">
      <c r="A91" s="46"/>
      <c r="B91" s="80" t="s">
        <v>441</v>
      </c>
      <c r="C91" s="79" t="s">
        <v>119</v>
      </c>
      <c r="D91" s="78">
        <v>0.9</v>
      </c>
      <c r="E91" s="77">
        <f>E90+5</f>
        <v>43757</v>
      </c>
      <c r="F91" s="77">
        <f>E91+2</f>
        <v>43759</v>
      </c>
      <c r="G91" s="61"/>
      <c r="H91" s="61">
        <f t="shared" si="5"/>
        <v>3</v>
      </c>
      <c r="I91" s="66"/>
      <c r="J91" s="60"/>
      <c r="K91" s="60"/>
      <c r="L91" s="60"/>
      <c r="M91" s="60"/>
      <c r="N91" s="60"/>
      <c r="O91" s="60"/>
      <c r="P91" s="60"/>
      <c r="Q91" s="60"/>
      <c r="R91" s="60"/>
      <c r="S91" s="60"/>
      <c r="T91" s="60"/>
      <c r="U91" s="60"/>
      <c r="V91" s="60"/>
      <c r="W91" s="60"/>
      <c r="X91" s="60"/>
      <c r="Y91" s="60"/>
      <c r="Z91" s="60"/>
      <c r="AA91" s="60"/>
      <c r="AB91" s="60"/>
      <c r="AC91" s="60"/>
      <c r="AD91" s="60"/>
      <c r="AE91" s="60"/>
      <c r="AF91" s="60"/>
      <c r="AG91" s="60"/>
      <c r="AH91" s="60"/>
      <c r="AI91" s="60"/>
      <c r="AJ91" s="60"/>
      <c r="AK91" s="60"/>
      <c r="AL91" s="60"/>
      <c r="AM91" s="60"/>
      <c r="AN91" s="60"/>
      <c r="AO91" s="60"/>
      <c r="AP91" s="60"/>
      <c r="AQ91" s="60"/>
      <c r="AR91" s="60"/>
      <c r="AS91" s="60"/>
      <c r="AT91" s="60"/>
      <c r="AU91" s="60"/>
      <c r="AV91" s="60"/>
      <c r="AW91" s="60"/>
      <c r="AX91" s="60"/>
      <c r="AY91" s="60"/>
      <c r="AZ91" s="60"/>
      <c r="BA91" s="60"/>
      <c r="BB91" s="60"/>
      <c r="BC91" s="60"/>
      <c r="BD91" s="60"/>
      <c r="BE91" s="60"/>
      <c r="BF91" s="60"/>
      <c r="BG91" s="60"/>
      <c r="BH91" s="60"/>
      <c r="BI91" s="60"/>
      <c r="BJ91" s="60"/>
      <c r="BK91" s="60"/>
      <c r="BL91" s="60"/>
      <c r="BM91" s="60"/>
    </row>
    <row r="92" spans="1:65" s="51" customFormat="1" ht="30" customHeight="1" thickBot="1" x14ac:dyDescent="0.35">
      <c r="A92" s="46"/>
      <c r="B92" s="80" t="s">
        <v>442</v>
      </c>
      <c r="C92" s="79" t="s">
        <v>119</v>
      </c>
      <c r="D92" s="78">
        <v>0.9</v>
      </c>
      <c r="E92" s="77">
        <f>F91+1</f>
        <v>43760</v>
      </c>
      <c r="F92" s="77">
        <f>E92+4</f>
        <v>43764</v>
      </c>
      <c r="G92" s="61"/>
      <c r="H92" s="61">
        <f t="shared" si="5"/>
        <v>5</v>
      </c>
      <c r="I92" s="66"/>
      <c r="J92" s="60"/>
      <c r="K92" s="60"/>
      <c r="L92" s="60"/>
      <c r="M92" s="60"/>
      <c r="N92" s="60"/>
      <c r="O92" s="60"/>
      <c r="P92" s="60"/>
      <c r="Q92" s="60"/>
      <c r="R92" s="60"/>
      <c r="S92" s="60"/>
      <c r="T92" s="60"/>
      <c r="U92" s="60"/>
      <c r="V92" s="60"/>
      <c r="W92" s="60"/>
      <c r="X92" s="60"/>
      <c r="Y92" s="60"/>
      <c r="Z92" s="60"/>
      <c r="AA92" s="60"/>
      <c r="AB92" s="60"/>
      <c r="AC92" s="60"/>
      <c r="AD92" s="60"/>
      <c r="AE92" s="60"/>
      <c r="AF92" s="60"/>
      <c r="AG92" s="60"/>
      <c r="AH92" s="60"/>
      <c r="AI92" s="60"/>
      <c r="AJ92" s="60"/>
      <c r="AK92" s="60"/>
      <c r="AL92" s="60"/>
      <c r="AM92" s="60"/>
      <c r="AN92" s="60"/>
      <c r="AO92" s="60"/>
      <c r="AP92" s="60"/>
      <c r="AQ92" s="60"/>
      <c r="AR92" s="60"/>
      <c r="AS92" s="60"/>
      <c r="AT92" s="60"/>
      <c r="AU92" s="60"/>
      <c r="AV92" s="60"/>
      <c r="AW92" s="60"/>
      <c r="AX92" s="60"/>
      <c r="AY92" s="60"/>
      <c r="AZ92" s="60"/>
      <c r="BA92" s="60"/>
      <c r="BB92" s="60"/>
      <c r="BC92" s="60"/>
      <c r="BD92" s="60"/>
      <c r="BE92" s="60"/>
      <c r="BF92" s="60"/>
      <c r="BG92" s="60"/>
      <c r="BH92" s="60"/>
      <c r="BI92" s="60"/>
      <c r="BJ92" s="60"/>
      <c r="BK92" s="60"/>
      <c r="BL92" s="60"/>
      <c r="BM92" s="60"/>
    </row>
    <row r="93" spans="1:65" s="51" customFormat="1" ht="30" customHeight="1" thickBot="1" x14ac:dyDescent="0.35">
      <c r="A93" s="46"/>
      <c r="B93" s="80" t="s">
        <v>443</v>
      </c>
      <c r="C93" s="79" t="s">
        <v>119</v>
      </c>
      <c r="D93" s="78">
        <v>1</v>
      </c>
      <c r="E93" s="77">
        <f>F92+1</f>
        <v>43765</v>
      </c>
      <c r="F93" s="77">
        <f>E93+4</f>
        <v>43769</v>
      </c>
      <c r="G93" s="61"/>
      <c r="H93" s="61">
        <f t="shared" si="5"/>
        <v>5</v>
      </c>
      <c r="I93" s="66"/>
      <c r="J93" s="60"/>
      <c r="K93" s="60"/>
      <c r="L93" s="60"/>
      <c r="M93" s="60"/>
      <c r="N93" s="60"/>
      <c r="O93" s="60"/>
      <c r="P93" s="60"/>
      <c r="Q93" s="60"/>
      <c r="R93" s="60"/>
      <c r="S93" s="60"/>
      <c r="T93" s="60"/>
      <c r="U93" s="60"/>
      <c r="V93" s="60"/>
      <c r="W93" s="60"/>
      <c r="X93" s="60"/>
      <c r="Y93" s="60"/>
      <c r="Z93" s="60"/>
      <c r="AA93" s="60"/>
      <c r="AB93" s="60"/>
      <c r="AC93" s="60"/>
      <c r="AD93" s="60"/>
      <c r="AE93" s="60"/>
      <c r="AF93" s="60"/>
      <c r="AG93" s="60"/>
      <c r="AH93" s="60"/>
      <c r="AI93" s="60"/>
      <c r="AJ93" s="60"/>
      <c r="AK93" s="60"/>
      <c r="AL93" s="60"/>
      <c r="AM93" s="60"/>
      <c r="AN93" s="60"/>
      <c r="AO93" s="60"/>
      <c r="AP93" s="60"/>
      <c r="AQ93" s="60"/>
      <c r="AR93" s="60"/>
      <c r="AS93" s="60"/>
      <c r="AT93" s="60"/>
      <c r="AU93" s="60"/>
      <c r="AV93" s="60"/>
      <c r="AW93" s="60"/>
      <c r="AX93" s="60"/>
      <c r="AY93" s="60"/>
      <c r="AZ93" s="60"/>
      <c r="BA93" s="60"/>
      <c r="BB93" s="60"/>
      <c r="BC93" s="60"/>
      <c r="BD93" s="60"/>
      <c r="BE93" s="60"/>
      <c r="BF93" s="60"/>
      <c r="BG93" s="60"/>
      <c r="BH93" s="60"/>
      <c r="BI93" s="60"/>
      <c r="BJ93" s="60"/>
      <c r="BK93" s="60"/>
      <c r="BL93" s="60"/>
      <c r="BM93" s="60"/>
    </row>
    <row r="94" spans="1:65" s="51" customFormat="1" ht="30" customHeight="1" thickBot="1" x14ac:dyDescent="0.35">
      <c r="A94" s="46"/>
      <c r="B94" s="80" t="s">
        <v>444</v>
      </c>
      <c r="C94" s="79" t="s">
        <v>119</v>
      </c>
      <c r="D94" s="78">
        <v>1</v>
      </c>
      <c r="E94" s="77">
        <v>43770</v>
      </c>
      <c r="F94" s="77">
        <f>E94+2</f>
        <v>43772</v>
      </c>
      <c r="G94" s="61"/>
      <c r="H94" s="61">
        <f t="shared" si="5"/>
        <v>3</v>
      </c>
      <c r="I94" s="66"/>
      <c r="J94" s="60"/>
      <c r="K94" s="60"/>
      <c r="L94" s="60"/>
      <c r="M94" s="60"/>
      <c r="N94" s="60"/>
      <c r="O94" s="60"/>
      <c r="P94" s="60"/>
      <c r="Q94" s="60"/>
      <c r="R94" s="60"/>
      <c r="S94" s="60"/>
      <c r="T94" s="60"/>
      <c r="U94" s="60"/>
      <c r="V94" s="60"/>
      <c r="W94" s="60"/>
      <c r="X94" s="60"/>
      <c r="Y94" s="60"/>
      <c r="Z94" s="60"/>
      <c r="AA94" s="60"/>
      <c r="AB94" s="60"/>
      <c r="AC94" s="60"/>
      <c r="AD94" s="60"/>
      <c r="AE94" s="60"/>
      <c r="AF94" s="60"/>
      <c r="AG94" s="60"/>
      <c r="AH94" s="60"/>
      <c r="AI94" s="60"/>
      <c r="AJ94" s="60"/>
      <c r="AK94" s="60"/>
      <c r="AL94" s="60"/>
      <c r="AM94" s="60"/>
      <c r="AN94" s="60"/>
      <c r="AO94" s="60"/>
      <c r="AP94" s="60"/>
      <c r="AQ94" s="60"/>
      <c r="AR94" s="60"/>
      <c r="AS94" s="60"/>
      <c r="AT94" s="60"/>
      <c r="AU94" s="60"/>
      <c r="AV94" s="60"/>
      <c r="AW94" s="60"/>
      <c r="AX94" s="60"/>
      <c r="AY94" s="60"/>
      <c r="AZ94" s="60"/>
      <c r="BA94" s="60"/>
      <c r="BB94" s="60"/>
      <c r="BC94" s="60"/>
      <c r="BD94" s="60"/>
      <c r="BE94" s="60"/>
      <c r="BF94" s="60"/>
      <c r="BG94" s="60"/>
      <c r="BH94" s="60"/>
      <c r="BI94" s="60"/>
      <c r="BJ94" s="60"/>
      <c r="BK94" s="60"/>
      <c r="BL94" s="60"/>
      <c r="BM94" s="60"/>
    </row>
    <row r="95" spans="1:65" s="51" customFormat="1" ht="30" customHeight="1" thickBot="1" x14ac:dyDescent="0.35">
      <c r="A95" s="46"/>
      <c r="B95" s="80" t="s">
        <v>445</v>
      </c>
      <c r="C95" s="79" t="s">
        <v>119</v>
      </c>
      <c r="D95" s="78">
        <v>1</v>
      </c>
      <c r="E95" s="77">
        <v>43770</v>
      </c>
      <c r="F95" s="77">
        <f>E95+2</f>
        <v>43772</v>
      </c>
      <c r="G95" s="61"/>
      <c r="H95" s="61">
        <f t="shared" si="5"/>
        <v>3</v>
      </c>
      <c r="I95" s="66"/>
      <c r="J95" s="60"/>
      <c r="K95" s="60"/>
      <c r="L95" s="60"/>
      <c r="M95" s="60"/>
      <c r="N95" s="60"/>
      <c r="O95" s="60"/>
      <c r="P95" s="60"/>
      <c r="Q95" s="60"/>
      <c r="R95" s="60"/>
      <c r="S95" s="60"/>
      <c r="T95" s="60"/>
      <c r="U95" s="60"/>
      <c r="V95" s="60"/>
      <c r="W95" s="60"/>
      <c r="X95" s="60"/>
      <c r="Y95" s="60"/>
      <c r="Z95" s="60"/>
      <c r="AA95" s="60"/>
      <c r="AB95" s="60"/>
      <c r="AC95" s="60"/>
      <c r="AD95" s="60"/>
      <c r="AE95" s="60"/>
      <c r="AF95" s="60"/>
      <c r="AG95" s="60"/>
      <c r="AH95" s="60"/>
      <c r="AI95" s="60"/>
      <c r="AJ95" s="60"/>
      <c r="AK95" s="60"/>
      <c r="AL95" s="60"/>
      <c r="AM95" s="60"/>
      <c r="AN95" s="60"/>
      <c r="AO95" s="60"/>
      <c r="AP95" s="60"/>
      <c r="AQ95" s="60"/>
      <c r="AR95" s="60"/>
      <c r="AS95" s="60"/>
      <c r="AT95" s="60"/>
      <c r="AU95" s="60"/>
      <c r="AV95" s="60"/>
      <c r="AW95" s="60"/>
      <c r="AX95" s="60"/>
      <c r="AY95" s="60"/>
      <c r="AZ95" s="60"/>
      <c r="BA95" s="60"/>
      <c r="BB95" s="60"/>
      <c r="BC95" s="60"/>
      <c r="BD95" s="60"/>
      <c r="BE95" s="60"/>
      <c r="BF95" s="60"/>
      <c r="BG95" s="60"/>
      <c r="BH95" s="60"/>
      <c r="BI95" s="60"/>
      <c r="BJ95" s="60"/>
      <c r="BK95" s="60"/>
      <c r="BL95" s="60"/>
      <c r="BM95" s="60"/>
    </row>
    <row r="96" spans="1:65" s="51" customFormat="1" ht="30" customHeight="1" thickBot="1" x14ac:dyDescent="0.35">
      <c r="A96" s="46"/>
      <c r="B96" s="80" t="s">
        <v>446</v>
      </c>
      <c r="C96" s="79" t="s">
        <v>119</v>
      </c>
      <c r="D96" s="78">
        <v>0.5</v>
      </c>
      <c r="E96" s="77">
        <v>43770</v>
      </c>
      <c r="F96" s="77">
        <f>E96+2</f>
        <v>43772</v>
      </c>
      <c r="G96" s="61"/>
      <c r="H96" s="61">
        <f t="shared" si="5"/>
        <v>3</v>
      </c>
      <c r="I96" s="66"/>
      <c r="J96" s="60"/>
      <c r="K96" s="60"/>
      <c r="L96" s="60"/>
      <c r="M96" s="60"/>
      <c r="N96" s="60"/>
      <c r="O96" s="60"/>
      <c r="P96" s="60"/>
      <c r="Q96" s="60"/>
      <c r="R96" s="60"/>
      <c r="S96" s="60"/>
      <c r="T96" s="60"/>
      <c r="U96" s="60"/>
      <c r="V96" s="60"/>
      <c r="W96" s="60"/>
      <c r="X96" s="60"/>
      <c r="Y96" s="60"/>
      <c r="Z96" s="60"/>
      <c r="AA96" s="60"/>
      <c r="AB96" s="60"/>
      <c r="AC96" s="60"/>
      <c r="AD96" s="60"/>
      <c r="AE96" s="60"/>
      <c r="AF96" s="60"/>
      <c r="AG96" s="60"/>
      <c r="AH96" s="60"/>
      <c r="AI96" s="60"/>
      <c r="AJ96" s="60"/>
      <c r="AK96" s="60"/>
      <c r="AL96" s="60"/>
      <c r="AM96" s="60"/>
      <c r="AN96" s="60"/>
      <c r="AO96" s="60"/>
      <c r="AP96" s="60"/>
      <c r="AQ96" s="60"/>
      <c r="AR96" s="60"/>
      <c r="AS96" s="60"/>
      <c r="AT96" s="60"/>
      <c r="AU96" s="60"/>
      <c r="AV96" s="60"/>
      <c r="AW96" s="60"/>
      <c r="AX96" s="60"/>
      <c r="AY96" s="60"/>
      <c r="AZ96" s="60"/>
      <c r="BA96" s="60"/>
      <c r="BB96" s="60"/>
      <c r="BC96" s="60"/>
      <c r="BD96" s="60"/>
      <c r="BE96" s="60"/>
      <c r="BF96" s="60"/>
      <c r="BG96" s="60"/>
      <c r="BH96" s="60"/>
      <c r="BI96" s="60"/>
      <c r="BJ96" s="60"/>
      <c r="BK96" s="60"/>
      <c r="BL96" s="60"/>
      <c r="BM96" s="60"/>
    </row>
    <row r="97" spans="1:65" s="51" customFormat="1" ht="30" customHeight="1" thickBot="1" x14ac:dyDescent="0.35">
      <c r="A97" s="46"/>
      <c r="B97" s="80" t="s">
        <v>447</v>
      </c>
      <c r="C97" s="79" t="s">
        <v>119</v>
      </c>
      <c r="D97" s="78">
        <v>0.5</v>
      </c>
      <c r="E97" s="77">
        <v>43770</v>
      </c>
      <c r="F97" s="77">
        <f>E97+2</f>
        <v>43772</v>
      </c>
      <c r="G97" s="61"/>
      <c r="H97" s="61">
        <f t="shared" si="5"/>
        <v>3</v>
      </c>
      <c r="I97" s="66"/>
      <c r="J97" s="60"/>
      <c r="K97" s="60"/>
      <c r="L97" s="60"/>
      <c r="M97" s="60"/>
      <c r="N97" s="60"/>
      <c r="O97" s="60"/>
      <c r="P97" s="60"/>
      <c r="Q97" s="60"/>
      <c r="R97" s="60"/>
      <c r="S97" s="60"/>
      <c r="T97" s="60"/>
      <c r="U97" s="60"/>
      <c r="V97" s="60"/>
      <c r="W97" s="60"/>
      <c r="X97" s="60"/>
      <c r="Y97" s="60"/>
      <c r="Z97" s="60"/>
      <c r="AA97" s="60"/>
      <c r="AB97" s="60"/>
      <c r="AC97" s="60"/>
      <c r="AD97" s="60"/>
      <c r="AE97" s="60"/>
      <c r="AF97" s="60"/>
      <c r="AG97" s="60"/>
      <c r="AH97" s="60"/>
      <c r="AI97" s="60"/>
      <c r="AJ97" s="60"/>
      <c r="AK97" s="60"/>
      <c r="AL97" s="60"/>
      <c r="AM97" s="60"/>
      <c r="AN97" s="60"/>
      <c r="AO97" s="60"/>
      <c r="AP97" s="60"/>
      <c r="AQ97" s="60"/>
      <c r="AR97" s="60"/>
      <c r="AS97" s="60"/>
      <c r="AT97" s="60"/>
      <c r="AU97" s="60"/>
      <c r="AV97" s="60"/>
      <c r="AW97" s="60"/>
      <c r="AX97" s="60"/>
      <c r="AY97" s="60"/>
      <c r="AZ97" s="60"/>
      <c r="BA97" s="60"/>
      <c r="BB97" s="60"/>
      <c r="BC97" s="60"/>
      <c r="BD97" s="60"/>
      <c r="BE97" s="60"/>
      <c r="BF97" s="60"/>
      <c r="BG97" s="60"/>
      <c r="BH97" s="60"/>
      <c r="BI97" s="60"/>
      <c r="BJ97" s="60"/>
      <c r="BK97" s="60"/>
      <c r="BL97" s="60"/>
      <c r="BM97" s="60"/>
    </row>
    <row r="98" spans="1:65" s="51" customFormat="1" ht="30" customHeight="1" thickBot="1" x14ac:dyDescent="0.35">
      <c r="A98" s="46"/>
      <c r="B98" s="80" t="s">
        <v>448</v>
      </c>
      <c r="C98" s="79" t="s">
        <v>119</v>
      </c>
      <c r="D98" s="78">
        <v>0.9</v>
      </c>
      <c r="E98" s="77">
        <v>43773</v>
      </c>
      <c r="F98" s="77">
        <f>E98+1</f>
        <v>43774</v>
      </c>
      <c r="G98" s="61"/>
      <c r="H98" s="61">
        <f t="shared" si="5"/>
        <v>2</v>
      </c>
      <c r="I98" s="66"/>
      <c r="J98" s="60"/>
      <c r="K98" s="60"/>
      <c r="L98" s="60"/>
      <c r="M98" s="60"/>
      <c r="N98" s="60"/>
      <c r="O98" s="60"/>
      <c r="P98" s="60"/>
      <c r="Q98" s="60"/>
      <c r="R98" s="60"/>
      <c r="S98" s="60"/>
      <c r="T98" s="60"/>
      <c r="U98" s="60"/>
      <c r="V98" s="60"/>
      <c r="W98" s="60"/>
      <c r="X98" s="60"/>
      <c r="Y98" s="60"/>
      <c r="Z98" s="60"/>
      <c r="AA98" s="60"/>
      <c r="AB98" s="60"/>
      <c r="AC98" s="60"/>
      <c r="AD98" s="60"/>
      <c r="AE98" s="60"/>
      <c r="AF98" s="60"/>
      <c r="AG98" s="60"/>
      <c r="AH98" s="60"/>
      <c r="AI98" s="60"/>
      <c r="AJ98" s="60"/>
      <c r="AK98" s="60"/>
      <c r="AL98" s="60"/>
      <c r="AM98" s="60"/>
      <c r="AN98" s="60"/>
      <c r="AO98" s="60"/>
      <c r="AP98" s="60"/>
      <c r="AQ98" s="60"/>
      <c r="AR98" s="60"/>
      <c r="AS98" s="60"/>
      <c r="AT98" s="60"/>
      <c r="AU98" s="60"/>
      <c r="AV98" s="60"/>
      <c r="AW98" s="60"/>
      <c r="AX98" s="60"/>
      <c r="AY98" s="60"/>
      <c r="AZ98" s="60"/>
      <c r="BA98" s="60"/>
      <c r="BB98" s="60"/>
      <c r="BC98" s="60"/>
      <c r="BD98" s="60"/>
      <c r="BE98" s="60"/>
      <c r="BF98" s="60"/>
      <c r="BG98" s="60"/>
      <c r="BH98" s="60"/>
      <c r="BI98" s="60"/>
      <c r="BJ98" s="60"/>
      <c r="BK98" s="60"/>
      <c r="BL98" s="60"/>
      <c r="BM98" s="60"/>
    </row>
    <row r="99" spans="1:65" s="51" customFormat="1" ht="30" customHeight="1" thickBot="1" x14ac:dyDescent="0.35">
      <c r="A99" s="46"/>
      <c r="B99" s="80" t="s">
        <v>449</v>
      </c>
      <c r="C99" s="79" t="s">
        <v>119</v>
      </c>
      <c r="D99" s="78">
        <v>0.9</v>
      </c>
      <c r="E99" s="77">
        <v>43775</v>
      </c>
      <c r="F99" s="77">
        <f>E99+2</f>
        <v>43777</v>
      </c>
      <c r="G99" s="61"/>
      <c r="H99" s="61">
        <f t="shared" si="5"/>
        <v>3</v>
      </c>
      <c r="I99" s="66"/>
      <c r="J99" s="60"/>
      <c r="K99" s="60"/>
      <c r="L99" s="60"/>
      <c r="M99" s="60"/>
      <c r="N99" s="60"/>
      <c r="O99" s="60"/>
      <c r="P99" s="60"/>
      <c r="Q99" s="60"/>
      <c r="R99" s="60"/>
      <c r="S99" s="60"/>
      <c r="T99" s="60"/>
      <c r="U99" s="60"/>
      <c r="V99" s="60"/>
      <c r="W99" s="60"/>
      <c r="X99" s="60"/>
      <c r="Y99" s="60"/>
      <c r="Z99" s="60"/>
      <c r="AA99" s="60"/>
      <c r="AB99" s="60"/>
      <c r="AC99" s="60"/>
      <c r="AD99" s="60"/>
      <c r="AE99" s="60"/>
      <c r="AF99" s="60"/>
      <c r="AG99" s="60"/>
      <c r="AH99" s="60"/>
      <c r="AI99" s="60"/>
      <c r="AJ99" s="60"/>
      <c r="AK99" s="60"/>
      <c r="AL99" s="60"/>
      <c r="AM99" s="60"/>
      <c r="AN99" s="60"/>
      <c r="AO99" s="60"/>
      <c r="AP99" s="60"/>
      <c r="AQ99" s="60"/>
      <c r="AR99" s="60"/>
      <c r="AS99" s="60"/>
      <c r="AT99" s="60"/>
      <c r="AU99" s="60"/>
      <c r="AV99" s="60"/>
      <c r="AW99" s="60"/>
      <c r="AX99" s="60"/>
      <c r="AY99" s="60"/>
      <c r="AZ99" s="60"/>
      <c r="BA99" s="60"/>
      <c r="BB99" s="60"/>
      <c r="BC99" s="60"/>
      <c r="BD99" s="60"/>
      <c r="BE99" s="60"/>
      <c r="BF99" s="60"/>
      <c r="BG99" s="60"/>
      <c r="BH99" s="60"/>
      <c r="BI99" s="60"/>
      <c r="BJ99" s="60"/>
      <c r="BK99" s="60"/>
      <c r="BL99" s="60"/>
      <c r="BM99" s="60"/>
    </row>
    <row r="100" spans="1:65" s="51" customFormat="1" ht="30" customHeight="1" thickBot="1" x14ac:dyDescent="0.35">
      <c r="A100" s="46"/>
      <c r="B100" s="80" t="s">
        <v>450</v>
      </c>
      <c r="C100" s="79" t="s">
        <v>119</v>
      </c>
      <c r="D100" s="78">
        <v>0.9</v>
      </c>
      <c r="E100" s="77">
        <v>43773</v>
      </c>
      <c r="F100" s="77">
        <f>E100+7</f>
        <v>43780</v>
      </c>
      <c r="G100" s="61"/>
      <c r="H100" s="61">
        <f t="shared" si="5"/>
        <v>8</v>
      </c>
      <c r="I100" s="66"/>
      <c r="J100" s="60"/>
      <c r="K100" s="60"/>
      <c r="L100" s="60"/>
      <c r="M100" s="60"/>
      <c r="N100" s="60"/>
      <c r="O100" s="60"/>
      <c r="P100" s="60"/>
      <c r="Q100" s="60"/>
      <c r="R100" s="60"/>
      <c r="S100" s="60"/>
      <c r="T100" s="60"/>
      <c r="U100" s="60"/>
      <c r="V100" s="60"/>
      <c r="W100" s="60"/>
      <c r="X100" s="60"/>
      <c r="Y100" s="60"/>
      <c r="Z100" s="60"/>
      <c r="AA100" s="60"/>
      <c r="AB100" s="60"/>
      <c r="AC100" s="60"/>
      <c r="AD100" s="60"/>
      <c r="AE100" s="60"/>
      <c r="AF100" s="60"/>
      <c r="AG100" s="60"/>
      <c r="AH100" s="60"/>
      <c r="AI100" s="60"/>
      <c r="AJ100" s="60"/>
      <c r="AK100" s="60"/>
      <c r="AL100" s="60"/>
      <c r="AM100" s="60"/>
      <c r="AN100" s="60"/>
      <c r="AO100" s="60"/>
      <c r="AP100" s="60"/>
      <c r="AQ100" s="60"/>
      <c r="AR100" s="60"/>
      <c r="AS100" s="60"/>
      <c r="AT100" s="60"/>
      <c r="AU100" s="60"/>
      <c r="AV100" s="60"/>
      <c r="AW100" s="60"/>
      <c r="AX100" s="60"/>
      <c r="AY100" s="60"/>
      <c r="AZ100" s="60"/>
      <c r="BA100" s="60"/>
      <c r="BB100" s="60"/>
      <c r="BC100" s="60"/>
      <c r="BD100" s="60"/>
      <c r="BE100" s="60"/>
      <c r="BF100" s="60"/>
      <c r="BG100" s="60"/>
      <c r="BH100" s="60"/>
      <c r="BI100" s="60"/>
      <c r="BJ100" s="60"/>
      <c r="BK100" s="60"/>
      <c r="BL100" s="60"/>
      <c r="BM100" s="60"/>
    </row>
    <row r="101" spans="1:65" s="51" customFormat="1" ht="30" customHeight="1" thickBot="1" x14ac:dyDescent="0.35">
      <c r="A101" s="46"/>
      <c r="B101" s="80"/>
      <c r="C101" s="79" t="s">
        <v>198</v>
      </c>
      <c r="D101" s="78">
        <v>0.8</v>
      </c>
      <c r="E101" s="77">
        <v>43885</v>
      </c>
      <c r="F101" s="77">
        <f>E101+14</f>
        <v>43899</v>
      </c>
      <c r="G101" s="61"/>
      <c r="H101" s="61">
        <f t="shared" si="5"/>
        <v>15</v>
      </c>
      <c r="I101" s="66"/>
      <c r="J101" s="60"/>
      <c r="K101" s="60"/>
      <c r="L101" s="60"/>
      <c r="M101" s="60"/>
      <c r="N101" s="60"/>
      <c r="O101" s="60"/>
      <c r="P101" s="60"/>
      <c r="Q101" s="60"/>
      <c r="R101" s="60"/>
      <c r="S101" s="60"/>
      <c r="T101" s="60"/>
      <c r="U101" s="60"/>
      <c r="V101" s="60"/>
      <c r="W101" s="60"/>
      <c r="X101" s="60"/>
      <c r="Y101" s="60"/>
      <c r="Z101" s="60"/>
      <c r="AA101" s="60"/>
      <c r="AB101" s="60"/>
      <c r="AC101" s="60"/>
      <c r="AD101" s="60"/>
      <c r="AE101" s="60"/>
      <c r="AF101" s="60"/>
      <c r="AG101" s="60"/>
      <c r="AH101" s="60"/>
      <c r="AI101" s="60"/>
      <c r="AJ101" s="60"/>
      <c r="AK101" s="60"/>
      <c r="AL101" s="60"/>
      <c r="AM101" s="60"/>
      <c r="AN101" s="60"/>
      <c r="AO101" s="60"/>
      <c r="AP101" s="60"/>
      <c r="AQ101" s="60"/>
      <c r="AR101" s="60"/>
      <c r="AS101" s="60"/>
      <c r="AT101" s="60"/>
      <c r="AU101" s="60"/>
      <c r="AV101" s="60"/>
      <c r="AW101" s="60"/>
      <c r="AX101" s="60"/>
      <c r="AY101" s="60"/>
      <c r="AZ101" s="60"/>
      <c r="BA101" s="60"/>
      <c r="BB101" s="60"/>
      <c r="BC101" s="60"/>
      <c r="BD101" s="60"/>
      <c r="BE101" s="60"/>
      <c r="BF101" s="60"/>
      <c r="BG101" s="60"/>
      <c r="BH101" s="60"/>
      <c r="BI101" s="60"/>
      <c r="BJ101" s="60"/>
      <c r="BK101" s="60"/>
      <c r="BL101" s="60"/>
      <c r="BM101" s="60"/>
    </row>
    <row r="102" spans="1:65" s="51" customFormat="1" ht="30" customHeight="1" thickBot="1" x14ac:dyDescent="0.35">
      <c r="A102" s="46"/>
      <c r="B102" s="80"/>
      <c r="C102" s="79" t="s">
        <v>119</v>
      </c>
      <c r="D102" s="78">
        <v>0.8</v>
      </c>
      <c r="E102" s="77">
        <v>43781</v>
      </c>
      <c r="F102" s="77">
        <f>E102+7</f>
        <v>43788</v>
      </c>
      <c r="G102" s="61"/>
      <c r="H102" s="61">
        <f t="shared" si="5"/>
        <v>8</v>
      </c>
      <c r="I102" s="66"/>
      <c r="J102" s="60"/>
      <c r="K102" s="60"/>
      <c r="L102" s="60"/>
      <c r="M102" s="60"/>
      <c r="N102" s="60"/>
      <c r="O102" s="60"/>
      <c r="P102" s="60"/>
      <c r="Q102" s="60"/>
      <c r="R102" s="60"/>
      <c r="S102" s="60"/>
      <c r="T102" s="60"/>
      <c r="U102" s="60"/>
      <c r="V102" s="60"/>
      <c r="W102" s="60"/>
      <c r="X102" s="60"/>
      <c r="Y102" s="60"/>
      <c r="Z102" s="60"/>
      <c r="AA102" s="60"/>
      <c r="AB102" s="60"/>
      <c r="AC102" s="60"/>
      <c r="AD102" s="60"/>
      <c r="AE102" s="60"/>
      <c r="AF102" s="60"/>
      <c r="AG102" s="60"/>
      <c r="AH102" s="60"/>
      <c r="AI102" s="60"/>
      <c r="AJ102" s="60"/>
      <c r="AK102" s="60"/>
      <c r="AL102" s="60"/>
      <c r="AM102" s="60"/>
      <c r="AN102" s="60"/>
      <c r="AO102" s="60"/>
      <c r="AP102" s="60"/>
      <c r="AQ102" s="60"/>
      <c r="AR102" s="60"/>
      <c r="AS102" s="60"/>
      <c r="AT102" s="60"/>
      <c r="AU102" s="60"/>
      <c r="AV102" s="60"/>
      <c r="AW102" s="60"/>
      <c r="AX102" s="60"/>
      <c r="AY102" s="60"/>
      <c r="AZ102" s="60"/>
      <c r="BA102" s="60"/>
      <c r="BB102" s="60"/>
      <c r="BC102" s="60"/>
      <c r="BD102" s="60"/>
      <c r="BE102" s="60"/>
      <c r="BF102" s="60"/>
      <c r="BG102" s="60"/>
      <c r="BH102" s="60"/>
      <c r="BI102" s="60"/>
      <c r="BJ102" s="60"/>
      <c r="BK102" s="60"/>
      <c r="BL102" s="60"/>
      <c r="BM102" s="60"/>
    </row>
    <row r="103" spans="1:65" s="51" customFormat="1" ht="30" customHeight="1" thickBot="1" x14ac:dyDescent="0.35">
      <c r="A103" s="46"/>
      <c r="B103" s="80"/>
      <c r="C103" s="79" t="s">
        <v>119</v>
      </c>
      <c r="D103" s="78">
        <v>0.7</v>
      </c>
      <c r="E103" s="77">
        <v>43789</v>
      </c>
      <c r="F103" s="77">
        <f>E103+3</f>
        <v>43792</v>
      </c>
      <c r="G103" s="61"/>
      <c r="H103" s="61">
        <f t="shared" si="5"/>
        <v>4</v>
      </c>
      <c r="I103" s="66"/>
      <c r="J103" s="60"/>
      <c r="K103" s="60"/>
      <c r="L103" s="60"/>
      <c r="M103" s="60"/>
      <c r="N103" s="60"/>
      <c r="O103" s="60"/>
      <c r="P103" s="60"/>
      <c r="Q103" s="60"/>
      <c r="R103" s="60"/>
      <c r="S103" s="60"/>
      <c r="T103" s="60"/>
      <c r="U103" s="60"/>
      <c r="V103" s="60"/>
      <c r="W103" s="60"/>
      <c r="X103" s="60"/>
      <c r="Y103" s="60"/>
      <c r="Z103" s="60"/>
      <c r="AA103" s="60"/>
      <c r="AB103" s="60"/>
      <c r="AC103" s="60"/>
      <c r="AD103" s="60"/>
      <c r="AE103" s="60"/>
      <c r="AF103" s="60"/>
      <c r="AG103" s="60"/>
      <c r="AH103" s="60"/>
      <c r="AI103" s="60"/>
      <c r="AJ103" s="60"/>
      <c r="AK103" s="60"/>
      <c r="AL103" s="60"/>
      <c r="AM103" s="60"/>
      <c r="AN103" s="60"/>
      <c r="AO103" s="60"/>
      <c r="AP103" s="60"/>
      <c r="AQ103" s="60"/>
      <c r="AR103" s="60"/>
      <c r="AS103" s="60"/>
      <c r="AT103" s="60"/>
      <c r="AU103" s="60"/>
      <c r="AV103" s="60"/>
      <c r="AW103" s="60"/>
      <c r="AX103" s="60"/>
      <c r="AY103" s="60"/>
      <c r="AZ103" s="60"/>
      <c r="BA103" s="60"/>
      <c r="BB103" s="60"/>
      <c r="BC103" s="60"/>
      <c r="BD103" s="60"/>
      <c r="BE103" s="60"/>
      <c r="BF103" s="60"/>
      <c r="BG103" s="60"/>
      <c r="BH103" s="60"/>
      <c r="BI103" s="60"/>
      <c r="BJ103" s="60"/>
      <c r="BK103" s="60"/>
      <c r="BL103" s="60"/>
      <c r="BM103" s="60"/>
    </row>
    <row r="104" spans="1:65" s="51" customFormat="1" ht="30" customHeight="1" thickBot="1" x14ac:dyDescent="0.35">
      <c r="A104" s="46"/>
      <c r="B104" s="80"/>
      <c r="C104" s="79" t="s">
        <v>119</v>
      </c>
      <c r="D104" s="78">
        <v>0.8</v>
      </c>
      <c r="E104" s="77">
        <v>43793</v>
      </c>
      <c r="F104" s="77">
        <f>E104+2</f>
        <v>43795</v>
      </c>
      <c r="G104" s="61"/>
      <c r="H104" s="61">
        <f t="shared" si="5"/>
        <v>3</v>
      </c>
      <c r="I104" s="66"/>
      <c r="J104" s="60"/>
      <c r="K104" s="60"/>
      <c r="L104" s="60"/>
      <c r="M104" s="60"/>
      <c r="N104" s="60"/>
      <c r="O104" s="60"/>
      <c r="P104" s="60"/>
      <c r="Q104" s="60"/>
      <c r="R104" s="60"/>
      <c r="S104" s="60"/>
      <c r="T104" s="60"/>
      <c r="U104" s="60"/>
      <c r="V104" s="60"/>
      <c r="W104" s="60"/>
      <c r="X104" s="60"/>
      <c r="Y104" s="60"/>
      <c r="Z104" s="60"/>
      <c r="AA104" s="60"/>
      <c r="AB104" s="60"/>
      <c r="AC104" s="60"/>
      <c r="AD104" s="60"/>
      <c r="AE104" s="60"/>
      <c r="AF104" s="60"/>
      <c r="AG104" s="60"/>
      <c r="AH104" s="60"/>
      <c r="AI104" s="60"/>
      <c r="AJ104" s="60"/>
      <c r="AK104" s="60"/>
      <c r="AL104" s="60"/>
      <c r="AM104" s="60"/>
      <c r="AN104" s="60"/>
      <c r="AO104" s="60"/>
      <c r="AP104" s="60"/>
      <c r="AQ104" s="60"/>
      <c r="AR104" s="60"/>
      <c r="AS104" s="60"/>
      <c r="AT104" s="60"/>
      <c r="AU104" s="60"/>
      <c r="AV104" s="60"/>
      <c r="AW104" s="60"/>
      <c r="AX104" s="60"/>
      <c r="AY104" s="60"/>
      <c r="AZ104" s="60"/>
      <c r="BA104" s="60"/>
      <c r="BB104" s="60"/>
      <c r="BC104" s="60"/>
      <c r="BD104" s="60"/>
      <c r="BE104" s="60"/>
      <c r="BF104" s="60"/>
      <c r="BG104" s="60"/>
      <c r="BH104" s="60"/>
      <c r="BI104" s="60"/>
      <c r="BJ104" s="60"/>
      <c r="BK104" s="60"/>
      <c r="BL104" s="60"/>
      <c r="BM104" s="60"/>
    </row>
    <row r="105" spans="1:65" s="51" customFormat="1" ht="30" customHeight="1" thickBot="1" x14ac:dyDescent="0.35">
      <c r="A105" s="46"/>
      <c r="B105" s="80"/>
      <c r="C105" s="79" t="s">
        <v>119</v>
      </c>
      <c r="D105" s="78">
        <v>0.1</v>
      </c>
      <c r="E105" s="77">
        <v>43796</v>
      </c>
      <c r="F105" s="77">
        <f>E105+5</f>
        <v>43801</v>
      </c>
      <c r="G105" s="61"/>
      <c r="H105" s="61">
        <f t="shared" si="5"/>
        <v>6</v>
      </c>
      <c r="I105" s="66"/>
      <c r="J105" s="60"/>
      <c r="K105" s="60"/>
      <c r="L105" s="60"/>
      <c r="M105" s="60"/>
      <c r="N105" s="60"/>
      <c r="O105" s="60"/>
      <c r="P105" s="60"/>
      <c r="Q105" s="60"/>
      <c r="R105" s="60"/>
      <c r="S105" s="60"/>
      <c r="T105" s="60"/>
      <c r="U105" s="60"/>
      <c r="V105" s="60"/>
      <c r="W105" s="60"/>
      <c r="X105" s="60"/>
      <c r="Y105" s="60"/>
      <c r="Z105" s="60"/>
      <c r="AA105" s="60"/>
      <c r="AB105" s="60"/>
      <c r="AC105" s="60"/>
      <c r="AD105" s="60"/>
      <c r="AE105" s="60"/>
      <c r="AF105" s="60"/>
      <c r="AG105" s="60"/>
      <c r="AH105" s="60"/>
      <c r="AI105" s="60"/>
      <c r="AJ105" s="60"/>
      <c r="AK105" s="60"/>
      <c r="AL105" s="60"/>
      <c r="AM105" s="60"/>
      <c r="AN105" s="60"/>
      <c r="AO105" s="60"/>
      <c r="AP105" s="60"/>
      <c r="AQ105" s="60"/>
      <c r="AR105" s="60"/>
      <c r="AS105" s="60"/>
      <c r="AT105" s="60"/>
      <c r="AU105" s="60"/>
      <c r="AV105" s="60"/>
      <c r="AW105" s="60"/>
      <c r="AX105" s="60"/>
      <c r="AY105" s="60"/>
      <c r="AZ105" s="60"/>
      <c r="BA105" s="60"/>
      <c r="BB105" s="60"/>
      <c r="BC105" s="60"/>
      <c r="BD105" s="60"/>
      <c r="BE105" s="60"/>
      <c r="BF105" s="60"/>
      <c r="BG105" s="60"/>
      <c r="BH105" s="60"/>
      <c r="BI105" s="60"/>
      <c r="BJ105" s="60"/>
      <c r="BK105" s="60"/>
      <c r="BL105" s="60"/>
      <c r="BM105" s="60"/>
    </row>
    <row r="106" spans="1:65" s="51" customFormat="1" ht="30" customHeight="1" thickBot="1" x14ac:dyDescent="0.35">
      <c r="A106" s="46"/>
      <c r="B106" s="80"/>
      <c r="C106" s="79" t="s">
        <v>119</v>
      </c>
      <c r="D106" s="78">
        <v>0</v>
      </c>
      <c r="E106" s="77"/>
      <c r="F106" s="77">
        <f t="shared" ref="F106:F114" si="6">E106+7</f>
        <v>7</v>
      </c>
      <c r="G106" s="61"/>
      <c r="H106" s="61" t="str">
        <f t="shared" si="5"/>
        <v/>
      </c>
      <c r="I106" s="66"/>
      <c r="J106" s="60"/>
      <c r="K106" s="60"/>
      <c r="L106" s="60"/>
      <c r="M106" s="60"/>
      <c r="N106" s="60"/>
      <c r="O106" s="60"/>
      <c r="P106" s="60"/>
      <c r="Q106" s="60"/>
      <c r="R106" s="60"/>
      <c r="S106" s="60"/>
      <c r="T106" s="60"/>
      <c r="U106" s="60"/>
      <c r="V106" s="60"/>
      <c r="W106" s="60"/>
      <c r="X106" s="60"/>
      <c r="Y106" s="60"/>
      <c r="Z106" s="60"/>
      <c r="AA106" s="60"/>
      <c r="AB106" s="60"/>
      <c r="AC106" s="60"/>
      <c r="AD106" s="60"/>
      <c r="AE106" s="60"/>
      <c r="AF106" s="60"/>
      <c r="AG106" s="60"/>
      <c r="AH106" s="60"/>
      <c r="AI106" s="60"/>
      <c r="AJ106" s="60"/>
      <c r="AK106" s="60"/>
      <c r="AL106" s="60"/>
      <c r="AM106" s="60"/>
      <c r="AN106" s="60"/>
      <c r="AO106" s="60"/>
      <c r="AP106" s="60"/>
      <c r="AQ106" s="60"/>
      <c r="AR106" s="60"/>
      <c r="AS106" s="60"/>
      <c r="AT106" s="60"/>
      <c r="AU106" s="60"/>
      <c r="AV106" s="60"/>
      <c r="AW106" s="60"/>
      <c r="AX106" s="60"/>
      <c r="AY106" s="60"/>
      <c r="AZ106" s="60"/>
      <c r="BA106" s="60"/>
      <c r="BB106" s="60"/>
      <c r="BC106" s="60"/>
      <c r="BD106" s="60"/>
      <c r="BE106" s="60"/>
      <c r="BF106" s="60"/>
      <c r="BG106" s="60"/>
      <c r="BH106" s="60"/>
      <c r="BI106" s="60"/>
      <c r="BJ106" s="60"/>
      <c r="BK106" s="60"/>
      <c r="BL106" s="60"/>
      <c r="BM106" s="60"/>
    </row>
    <row r="107" spans="1:65" s="51" customFormat="1" ht="30" customHeight="1" thickBot="1" x14ac:dyDescent="0.35">
      <c r="A107" s="46"/>
      <c r="B107" s="80"/>
      <c r="C107" s="79" t="s">
        <v>119</v>
      </c>
      <c r="D107" s="78">
        <v>0.7</v>
      </c>
      <c r="E107" s="77">
        <v>43802</v>
      </c>
      <c r="F107" s="77">
        <f>E107+5</f>
        <v>43807</v>
      </c>
      <c r="G107" s="61"/>
      <c r="H107" s="61">
        <f t="shared" si="5"/>
        <v>6</v>
      </c>
      <c r="I107" s="66"/>
      <c r="J107" s="60"/>
      <c r="K107" s="60"/>
      <c r="L107" s="60"/>
      <c r="M107" s="60"/>
      <c r="N107" s="60"/>
      <c r="O107" s="60"/>
      <c r="P107" s="60"/>
      <c r="Q107" s="60"/>
      <c r="R107" s="60"/>
      <c r="S107" s="60"/>
      <c r="T107" s="60"/>
      <c r="U107" s="60"/>
      <c r="V107" s="60"/>
      <c r="W107" s="60"/>
      <c r="X107" s="60"/>
      <c r="Y107" s="60"/>
      <c r="Z107" s="60"/>
      <c r="AA107" s="60"/>
      <c r="AB107" s="60"/>
      <c r="AC107" s="60"/>
      <c r="AD107" s="60"/>
      <c r="AE107" s="60"/>
      <c r="AF107" s="60"/>
      <c r="AG107" s="60"/>
      <c r="AH107" s="60"/>
      <c r="AI107" s="60"/>
      <c r="AJ107" s="60"/>
      <c r="AK107" s="60"/>
      <c r="AL107" s="60"/>
      <c r="AM107" s="60"/>
      <c r="AN107" s="60"/>
      <c r="AO107" s="60"/>
      <c r="AP107" s="60"/>
      <c r="AQ107" s="60"/>
      <c r="AR107" s="60"/>
      <c r="AS107" s="60"/>
      <c r="AT107" s="60"/>
      <c r="AU107" s="60"/>
      <c r="AV107" s="60"/>
      <c r="AW107" s="60"/>
      <c r="AX107" s="60"/>
      <c r="AY107" s="60"/>
      <c r="AZ107" s="60"/>
      <c r="BA107" s="60"/>
      <c r="BB107" s="60"/>
      <c r="BC107" s="60"/>
      <c r="BD107" s="60"/>
      <c r="BE107" s="60"/>
      <c r="BF107" s="60"/>
      <c r="BG107" s="60"/>
      <c r="BH107" s="60"/>
      <c r="BI107" s="60"/>
      <c r="BJ107" s="60"/>
      <c r="BK107" s="60"/>
      <c r="BL107" s="60"/>
      <c r="BM107" s="60"/>
    </row>
    <row r="108" spans="1:65" s="51" customFormat="1" ht="30" customHeight="1" thickBot="1" x14ac:dyDescent="0.35">
      <c r="A108" s="46"/>
      <c r="B108" s="80"/>
      <c r="C108" s="79" t="s">
        <v>119</v>
      </c>
      <c r="D108" s="78">
        <v>0.3</v>
      </c>
      <c r="E108" s="77">
        <v>43807</v>
      </c>
      <c r="F108" s="77">
        <f>E108+3</f>
        <v>43810</v>
      </c>
      <c r="G108" s="61"/>
      <c r="H108" s="61">
        <f t="shared" si="5"/>
        <v>4</v>
      </c>
      <c r="I108" s="66"/>
      <c r="J108" s="60"/>
      <c r="K108" s="60"/>
      <c r="L108" s="60"/>
      <c r="M108" s="60"/>
      <c r="N108" s="60"/>
      <c r="O108" s="60"/>
      <c r="P108" s="60"/>
      <c r="Q108" s="60"/>
      <c r="R108" s="60"/>
      <c r="S108" s="60"/>
      <c r="T108" s="60"/>
      <c r="U108" s="60"/>
      <c r="V108" s="60"/>
      <c r="W108" s="60"/>
      <c r="X108" s="60"/>
      <c r="Y108" s="60"/>
      <c r="Z108" s="60"/>
      <c r="AA108" s="60"/>
      <c r="AB108" s="60"/>
      <c r="AC108" s="60"/>
      <c r="AD108" s="60"/>
      <c r="AE108" s="60"/>
      <c r="AF108" s="60"/>
      <c r="AG108" s="60"/>
      <c r="AH108" s="60"/>
      <c r="AI108" s="60"/>
      <c r="AJ108" s="60"/>
      <c r="AK108" s="60"/>
      <c r="AL108" s="60"/>
      <c r="AM108" s="60"/>
      <c r="AN108" s="60"/>
      <c r="AO108" s="60"/>
      <c r="AP108" s="60"/>
      <c r="AQ108" s="60"/>
      <c r="AR108" s="60"/>
      <c r="AS108" s="60"/>
      <c r="AT108" s="60"/>
      <c r="AU108" s="60"/>
      <c r="AV108" s="60"/>
      <c r="AW108" s="60"/>
      <c r="AX108" s="60"/>
      <c r="AY108" s="60"/>
      <c r="AZ108" s="60"/>
      <c r="BA108" s="60"/>
      <c r="BB108" s="60"/>
      <c r="BC108" s="60"/>
      <c r="BD108" s="60"/>
      <c r="BE108" s="60"/>
      <c r="BF108" s="60"/>
      <c r="BG108" s="60"/>
      <c r="BH108" s="60"/>
      <c r="BI108" s="60"/>
      <c r="BJ108" s="60"/>
      <c r="BK108" s="60"/>
      <c r="BL108" s="60"/>
      <c r="BM108" s="60"/>
    </row>
    <row r="109" spans="1:65" s="51" customFormat="1" ht="30" customHeight="1" thickBot="1" x14ac:dyDescent="0.35">
      <c r="A109" s="46"/>
      <c r="B109" s="80"/>
      <c r="C109" s="79" t="s">
        <v>119</v>
      </c>
      <c r="D109" s="78">
        <v>0</v>
      </c>
      <c r="E109" s="77"/>
      <c r="F109" s="77">
        <f t="shared" si="6"/>
        <v>7</v>
      </c>
      <c r="G109" s="61"/>
      <c r="H109" s="61" t="str">
        <f t="shared" si="5"/>
        <v/>
      </c>
      <c r="I109" s="66"/>
      <c r="J109" s="60"/>
      <c r="K109" s="60"/>
      <c r="L109" s="60"/>
      <c r="M109" s="60"/>
      <c r="N109" s="60"/>
      <c r="O109" s="60"/>
      <c r="P109" s="60"/>
      <c r="Q109" s="60"/>
      <c r="R109" s="60"/>
      <c r="S109" s="60"/>
      <c r="T109" s="60"/>
      <c r="U109" s="60"/>
      <c r="V109" s="60"/>
      <c r="W109" s="60"/>
      <c r="X109" s="60"/>
      <c r="Y109" s="60"/>
      <c r="Z109" s="60"/>
      <c r="AA109" s="60"/>
      <c r="AB109" s="60"/>
      <c r="AC109" s="60"/>
      <c r="AD109" s="60"/>
      <c r="AE109" s="60"/>
      <c r="AF109" s="60"/>
      <c r="AG109" s="60"/>
      <c r="AH109" s="60"/>
      <c r="AI109" s="60"/>
      <c r="AJ109" s="60"/>
      <c r="AK109" s="60"/>
      <c r="AL109" s="60"/>
      <c r="AM109" s="60"/>
      <c r="AN109" s="60"/>
      <c r="AO109" s="60"/>
      <c r="AP109" s="60"/>
      <c r="AQ109" s="60"/>
      <c r="AR109" s="60"/>
      <c r="AS109" s="60"/>
      <c r="AT109" s="60"/>
      <c r="AU109" s="60"/>
      <c r="AV109" s="60"/>
      <c r="AW109" s="60"/>
      <c r="AX109" s="60"/>
      <c r="AY109" s="60"/>
      <c r="AZ109" s="60"/>
      <c r="BA109" s="60"/>
      <c r="BB109" s="60"/>
      <c r="BC109" s="60"/>
      <c r="BD109" s="60"/>
      <c r="BE109" s="60"/>
      <c r="BF109" s="60"/>
      <c r="BG109" s="60"/>
      <c r="BH109" s="60"/>
      <c r="BI109" s="60"/>
      <c r="BJ109" s="60"/>
      <c r="BK109" s="60"/>
      <c r="BL109" s="60"/>
      <c r="BM109" s="60"/>
    </row>
    <row r="110" spans="1:65" s="51" customFormat="1" ht="30" customHeight="1" thickBot="1" x14ac:dyDescent="0.35">
      <c r="A110" s="46"/>
      <c r="B110" s="80"/>
      <c r="C110" s="79" t="s">
        <v>119</v>
      </c>
      <c r="D110" s="78">
        <v>0</v>
      </c>
      <c r="E110" s="77"/>
      <c r="F110" s="77">
        <f t="shared" si="6"/>
        <v>7</v>
      </c>
      <c r="G110" s="61"/>
      <c r="H110" s="61" t="str">
        <f t="shared" si="5"/>
        <v/>
      </c>
      <c r="I110" s="66"/>
      <c r="J110" s="60"/>
      <c r="K110" s="60"/>
      <c r="L110" s="60"/>
      <c r="M110" s="60"/>
      <c r="N110" s="60"/>
      <c r="O110" s="60"/>
      <c r="P110" s="60"/>
      <c r="Q110" s="60"/>
      <c r="R110" s="60"/>
      <c r="S110" s="60"/>
      <c r="T110" s="60"/>
      <c r="U110" s="60"/>
      <c r="V110" s="60"/>
      <c r="W110" s="60"/>
      <c r="X110" s="60"/>
      <c r="Y110" s="60"/>
      <c r="Z110" s="60"/>
      <c r="AA110" s="60"/>
      <c r="AB110" s="60"/>
      <c r="AC110" s="60"/>
      <c r="AD110" s="60"/>
      <c r="AE110" s="60"/>
      <c r="AF110" s="60"/>
      <c r="AG110" s="60"/>
      <c r="AH110" s="60"/>
      <c r="AI110" s="60"/>
      <c r="AJ110" s="60"/>
      <c r="AK110" s="60"/>
      <c r="AL110" s="60"/>
      <c r="AM110" s="60"/>
      <c r="AN110" s="60"/>
      <c r="AO110" s="60"/>
      <c r="AP110" s="60"/>
      <c r="AQ110" s="60"/>
      <c r="AR110" s="60"/>
      <c r="AS110" s="60"/>
      <c r="AT110" s="60"/>
      <c r="AU110" s="60"/>
      <c r="AV110" s="60"/>
      <c r="AW110" s="60"/>
      <c r="AX110" s="60"/>
      <c r="AY110" s="60"/>
      <c r="AZ110" s="60"/>
      <c r="BA110" s="60"/>
      <c r="BB110" s="60"/>
      <c r="BC110" s="60"/>
      <c r="BD110" s="60"/>
      <c r="BE110" s="60"/>
      <c r="BF110" s="60"/>
      <c r="BG110" s="60"/>
      <c r="BH110" s="60"/>
      <c r="BI110" s="60"/>
      <c r="BJ110" s="60"/>
      <c r="BK110" s="60"/>
      <c r="BL110" s="60"/>
      <c r="BM110" s="60"/>
    </row>
    <row r="111" spans="1:65" s="51" customFormat="1" ht="30" customHeight="1" thickBot="1" x14ac:dyDescent="0.35">
      <c r="A111" s="46"/>
      <c r="B111" s="80"/>
      <c r="C111" s="79" t="s">
        <v>119</v>
      </c>
      <c r="D111" s="78">
        <v>0.1</v>
      </c>
      <c r="E111" s="77"/>
      <c r="F111" s="77">
        <f t="shared" si="6"/>
        <v>7</v>
      </c>
      <c r="G111" s="61"/>
      <c r="H111" s="61" t="str">
        <f t="shared" si="5"/>
        <v/>
      </c>
      <c r="I111" s="66"/>
      <c r="J111" s="60"/>
      <c r="K111" s="60"/>
      <c r="L111" s="60"/>
      <c r="M111" s="60"/>
      <c r="N111" s="60"/>
      <c r="O111" s="60"/>
      <c r="P111" s="60"/>
      <c r="Q111" s="60"/>
      <c r="R111" s="60"/>
      <c r="S111" s="60"/>
      <c r="T111" s="60"/>
      <c r="U111" s="60"/>
      <c r="V111" s="60"/>
      <c r="W111" s="60"/>
      <c r="X111" s="60"/>
      <c r="Y111" s="60"/>
      <c r="Z111" s="60"/>
      <c r="AA111" s="60"/>
      <c r="AB111" s="60"/>
      <c r="AC111" s="60"/>
      <c r="AD111" s="60"/>
      <c r="AE111" s="60"/>
      <c r="AF111" s="60"/>
      <c r="AG111" s="60"/>
      <c r="AH111" s="60"/>
      <c r="AI111" s="60"/>
      <c r="AJ111" s="60"/>
      <c r="AK111" s="60"/>
      <c r="AL111" s="60"/>
      <c r="AM111" s="60"/>
      <c r="AN111" s="60"/>
      <c r="AO111" s="60"/>
      <c r="AP111" s="60"/>
      <c r="AQ111" s="60"/>
      <c r="AR111" s="60"/>
      <c r="AS111" s="60"/>
      <c r="AT111" s="60"/>
      <c r="AU111" s="60"/>
      <c r="AV111" s="60"/>
      <c r="AW111" s="60"/>
      <c r="AX111" s="60"/>
      <c r="AY111" s="60"/>
      <c r="AZ111" s="60"/>
      <c r="BA111" s="60"/>
      <c r="BB111" s="60"/>
      <c r="BC111" s="60"/>
      <c r="BD111" s="60"/>
      <c r="BE111" s="60"/>
      <c r="BF111" s="60"/>
      <c r="BG111" s="60"/>
      <c r="BH111" s="60"/>
      <c r="BI111" s="60"/>
      <c r="BJ111" s="60"/>
      <c r="BK111" s="60"/>
      <c r="BL111" s="60"/>
      <c r="BM111" s="60"/>
    </row>
    <row r="112" spans="1:65" s="51" customFormat="1" ht="30" customHeight="1" thickBot="1" x14ac:dyDescent="0.35">
      <c r="A112" s="46"/>
      <c r="B112" s="80"/>
      <c r="C112" s="79" t="s">
        <v>119</v>
      </c>
      <c r="D112" s="78">
        <v>0.1</v>
      </c>
      <c r="E112" s="77"/>
      <c r="F112" s="77">
        <f t="shared" si="6"/>
        <v>7</v>
      </c>
      <c r="G112" s="61"/>
      <c r="H112" s="61" t="str">
        <f t="shared" si="5"/>
        <v/>
      </c>
      <c r="I112" s="66"/>
      <c r="J112" s="60"/>
      <c r="K112" s="60"/>
      <c r="L112" s="60"/>
      <c r="M112" s="60"/>
      <c r="N112" s="60"/>
      <c r="O112" s="60"/>
      <c r="P112" s="60"/>
      <c r="Q112" s="60"/>
      <c r="R112" s="60"/>
      <c r="S112" s="60"/>
      <c r="T112" s="60"/>
      <c r="U112" s="60"/>
      <c r="V112" s="60"/>
      <c r="W112" s="60"/>
      <c r="X112" s="60"/>
      <c r="Y112" s="60"/>
      <c r="Z112" s="60"/>
      <c r="AA112" s="60"/>
      <c r="AB112" s="60"/>
      <c r="AC112" s="60"/>
      <c r="AD112" s="60"/>
      <c r="AE112" s="60"/>
      <c r="AF112" s="60"/>
      <c r="AG112" s="60"/>
      <c r="AH112" s="60"/>
      <c r="AI112" s="60"/>
      <c r="AJ112" s="60"/>
      <c r="AK112" s="60"/>
      <c r="AL112" s="60"/>
      <c r="AM112" s="60"/>
      <c r="AN112" s="60"/>
      <c r="AO112" s="60"/>
      <c r="AP112" s="60"/>
      <c r="AQ112" s="60"/>
      <c r="AR112" s="60"/>
      <c r="AS112" s="60"/>
      <c r="AT112" s="60"/>
      <c r="AU112" s="60"/>
      <c r="AV112" s="60"/>
      <c r="AW112" s="60"/>
      <c r="AX112" s="60"/>
      <c r="AY112" s="60"/>
      <c r="AZ112" s="60"/>
      <c r="BA112" s="60"/>
      <c r="BB112" s="60"/>
      <c r="BC112" s="60"/>
      <c r="BD112" s="60"/>
      <c r="BE112" s="60"/>
      <c r="BF112" s="60"/>
      <c r="BG112" s="60"/>
      <c r="BH112" s="60"/>
      <c r="BI112" s="60"/>
      <c r="BJ112" s="60"/>
      <c r="BK112" s="60"/>
      <c r="BL112" s="60"/>
      <c r="BM112" s="60"/>
    </row>
    <row r="113" spans="1:65" s="51" customFormat="1" ht="30" customHeight="1" thickBot="1" x14ac:dyDescent="0.35">
      <c r="A113" s="46"/>
      <c r="B113" s="80"/>
      <c r="C113" s="79" t="s">
        <v>119</v>
      </c>
      <c r="D113" s="78">
        <v>0.1</v>
      </c>
      <c r="E113" s="77"/>
      <c r="F113" s="77">
        <f t="shared" si="6"/>
        <v>7</v>
      </c>
      <c r="G113" s="61"/>
      <c r="H113" s="61" t="str">
        <f t="shared" si="5"/>
        <v/>
      </c>
      <c r="I113" s="66"/>
      <c r="J113" s="60"/>
      <c r="K113" s="60"/>
      <c r="L113" s="60"/>
      <c r="M113" s="60"/>
      <c r="N113" s="60"/>
      <c r="O113" s="60"/>
      <c r="P113" s="60"/>
      <c r="Q113" s="60"/>
      <c r="R113" s="60"/>
      <c r="S113" s="60"/>
      <c r="T113" s="60"/>
      <c r="U113" s="60"/>
      <c r="V113" s="60"/>
      <c r="W113" s="60"/>
      <c r="X113" s="60"/>
      <c r="Y113" s="60"/>
      <c r="Z113" s="60"/>
      <c r="AA113" s="60"/>
      <c r="AB113" s="60"/>
      <c r="AC113" s="60"/>
      <c r="AD113" s="60"/>
      <c r="AE113" s="60"/>
      <c r="AF113" s="60"/>
      <c r="AG113" s="60"/>
      <c r="AH113" s="60"/>
      <c r="AI113" s="60"/>
      <c r="AJ113" s="60"/>
      <c r="AK113" s="60"/>
      <c r="AL113" s="60"/>
      <c r="AM113" s="60"/>
      <c r="AN113" s="60"/>
      <c r="AO113" s="60"/>
      <c r="AP113" s="60"/>
      <c r="AQ113" s="60"/>
      <c r="AR113" s="60"/>
      <c r="AS113" s="60"/>
      <c r="AT113" s="60"/>
      <c r="AU113" s="60"/>
      <c r="AV113" s="60"/>
      <c r="AW113" s="60"/>
      <c r="AX113" s="60"/>
      <c r="AY113" s="60"/>
      <c r="AZ113" s="60"/>
      <c r="BA113" s="60"/>
      <c r="BB113" s="60"/>
      <c r="BC113" s="60"/>
      <c r="BD113" s="60"/>
      <c r="BE113" s="60"/>
      <c r="BF113" s="60"/>
      <c r="BG113" s="60"/>
      <c r="BH113" s="60"/>
      <c r="BI113" s="60"/>
      <c r="BJ113" s="60"/>
      <c r="BK113" s="60"/>
      <c r="BL113" s="60"/>
      <c r="BM113" s="60"/>
    </row>
    <row r="114" spans="1:65" s="51" customFormat="1" ht="30" customHeight="1" thickBot="1" x14ac:dyDescent="0.35">
      <c r="A114" s="46"/>
      <c r="B114" s="80"/>
      <c r="C114" s="79" t="s">
        <v>119</v>
      </c>
      <c r="D114" s="78">
        <v>0.1</v>
      </c>
      <c r="E114" s="77"/>
      <c r="F114" s="77">
        <f t="shared" si="6"/>
        <v>7</v>
      </c>
      <c r="G114" s="61"/>
      <c r="H114" s="61" t="str">
        <f t="shared" si="5"/>
        <v/>
      </c>
      <c r="I114" s="66"/>
      <c r="J114" s="60"/>
      <c r="K114" s="60"/>
      <c r="L114" s="60"/>
      <c r="M114" s="60"/>
      <c r="N114" s="60"/>
      <c r="O114" s="60"/>
      <c r="P114" s="60"/>
      <c r="Q114" s="60"/>
      <c r="R114" s="60"/>
      <c r="S114" s="60"/>
      <c r="T114" s="60"/>
      <c r="U114" s="60"/>
      <c r="V114" s="60"/>
      <c r="W114" s="60"/>
      <c r="X114" s="60"/>
      <c r="Y114" s="60"/>
      <c r="Z114" s="60"/>
      <c r="AA114" s="60"/>
      <c r="AB114" s="60"/>
      <c r="AC114" s="60"/>
      <c r="AD114" s="60"/>
      <c r="AE114" s="60"/>
      <c r="AF114" s="60"/>
      <c r="AG114" s="60"/>
      <c r="AH114" s="60"/>
      <c r="AI114" s="60"/>
      <c r="AJ114" s="60"/>
      <c r="AK114" s="60"/>
      <c r="AL114" s="60"/>
      <c r="AM114" s="60"/>
      <c r="AN114" s="60"/>
      <c r="AO114" s="60"/>
      <c r="AP114" s="60"/>
      <c r="AQ114" s="60"/>
      <c r="AR114" s="60"/>
      <c r="AS114" s="60"/>
      <c r="AT114" s="60"/>
      <c r="AU114" s="60"/>
      <c r="AV114" s="60"/>
      <c r="AW114" s="60"/>
      <c r="AX114" s="60"/>
      <c r="AY114" s="60"/>
      <c r="AZ114" s="60"/>
      <c r="BA114" s="60"/>
      <c r="BB114" s="60"/>
      <c r="BC114" s="60"/>
      <c r="BD114" s="60"/>
      <c r="BE114" s="60"/>
      <c r="BF114" s="60"/>
      <c r="BG114" s="60"/>
      <c r="BH114" s="60"/>
      <c r="BI114" s="60"/>
      <c r="BJ114" s="60"/>
      <c r="BK114" s="60"/>
      <c r="BL114" s="60"/>
      <c r="BM114" s="60"/>
    </row>
    <row r="115" spans="1:65" s="51" customFormat="1" ht="30" customHeight="1" thickBot="1" x14ac:dyDescent="0.35">
      <c r="A115" s="46"/>
      <c r="B115" s="80"/>
      <c r="C115" s="79"/>
      <c r="D115" s="78"/>
      <c r="E115" s="77"/>
      <c r="F115" s="77"/>
      <c r="G115" s="61"/>
      <c r="H115" s="61"/>
      <c r="I115" s="66"/>
      <c r="J115" s="60"/>
      <c r="K115" s="60"/>
      <c r="L115" s="60"/>
      <c r="M115" s="60"/>
      <c r="N115" s="60"/>
      <c r="O115" s="60"/>
      <c r="P115" s="60"/>
      <c r="Q115" s="60"/>
      <c r="R115" s="60"/>
      <c r="S115" s="60"/>
      <c r="T115" s="60"/>
      <c r="U115" s="60"/>
      <c r="V115" s="60"/>
      <c r="W115" s="60"/>
      <c r="X115" s="60"/>
      <c r="Y115" s="60"/>
      <c r="Z115" s="60"/>
      <c r="AA115" s="60"/>
      <c r="AB115" s="60"/>
      <c r="AC115" s="60"/>
      <c r="AD115" s="60"/>
      <c r="AE115" s="60"/>
      <c r="AF115" s="60"/>
      <c r="AG115" s="60"/>
      <c r="AH115" s="60"/>
      <c r="AI115" s="60"/>
      <c r="AJ115" s="60"/>
      <c r="AK115" s="60"/>
      <c r="AL115" s="60"/>
      <c r="AM115" s="60"/>
      <c r="AN115" s="60"/>
      <c r="AO115" s="60"/>
      <c r="AP115" s="60"/>
      <c r="AQ115" s="60"/>
      <c r="AR115" s="60"/>
      <c r="AS115" s="60"/>
      <c r="AT115" s="60"/>
      <c r="AU115" s="60"/>
      <c r="AV115" s="60"/>
      <c r="AW115" s="60"/>
      <c r="AX115" s="60"/>
      <c r="AY115" s="60"/>
      <c r="AZ115" s="60"/>
      <c r="BA115" s="60"/>
      <c r="BB115" s="60"/>
      <c r="BC115" s="60"/>
      <c r="BD115" s="60"/>
      <c r="BE115" s="60"/>
      <c r="BF115" s="60"/>
      <c r="BG115" s="60"/>
      <c r="BH115" s="60"/>
      <c r="BI115" s="60"/>
      <c r="BJ115" s="60"/>
      <c r="BK115" s="60"/>
      <c r="BL115" s="60"/>
      <c r="BM115" s="60"/>
    </row>
    <row r="116" spans="1:65" s="51" customFormat="1" ht="30" customHeight="1" thickBot="1" x14ac:dyDescent="0.35">
      <c r="A116" s="46" t="s">
        <v>184</v>
      </c>
      <c r="B116" s="76" t="s">
        <v>183</v>
      </c>
      <c r="C116" s="75"/>
      <c r="D116" s="74"/>
      <c r="E116" s="73"/>
      <c r="F116" s="72"/>
      <c r="G116" s="61"/>
      <c r="H116" s="61" t="str">
        <f t="shared" ref="H116:H147" si="7">IF(OR(ISBLANK(task_start),ISBLANK(task_end)),"",task_end-task_start+1)</f>
        <v/>
      </c>
      <c r="I116" s="66"/>
      <c r="J116" s="60"/>
      <c r="K116" s="60"/>
      <c r="L116" s="60"/>
      <c r="M116" s="60"/>
      <c r="N116" s="60"/>
      <c r="O116" s="60"/>
      <c r="P116" s="60"/>
      <c r="Q116" s="60"/>
      <c r="R116" s="60"/>
      <c r="S116" s="60"/>
      <c r="T116" s="60"/>
      <c r="U116" s="60"/>
      <c r="V116" s="60"/>
      <c r="W116" s="60"/>
      <c r="X116" s="60"/>
      <c r="Y116" s="60"/>
      <c r="Z116" s="60"/>
      <c r="AA116" s="60"/>
      <c r="AB116" s="60"/>
      <c r="AC116" s="60"/>
      <c r="AD116" s="60"/>
      <c r="AE116" s="60"/>
      <c r="AF116" s="60"/>
      <c r="AG116" s="60"/>
      <c r="AH116" s="60"/>
      <c r="AI116" s="60"/>
      <c r="AJ116" s="60"/>
      <c r="AK116" s="60"/>
      <c r="AL116" s="60"/>
      <c r="AM116" s="60"/>
      <c r="AN116" s="60"/>
      <c r="AO116" s="60"/>
      <c r="AP116" s="60"/>
      <c r="AQ116" s="60"/>
      <c r="AR116" s="60"/>
      <c r="AS116" s="60"/>
      <c r="AT116" s="60"/>
      <c r="AU116" s="60"/>
      <c r="AV116" s="60"/>
      <c r="AW116" s="60"/>
      <c r="AX116" s="60"/>
      <c r="AY116" s="60"/>
      <c r="AZ116" s="60"/>
      <c r="BA116" s="60"/>
      <c r="BB116" s="60"/>
      <c r="BC116" s="60"/>
      <c r="BD116" s="60"/>
      <c r="BE116" s="60"/>
      <c r="BF116" s="60"/>
      <c r="BG116" s="60"/>
      <c r="BH116" s="60"/>
      <c r="BI116" s="60"/>
      <c r="BJ116" s="60"/>
      <c r="BK116" s="60"/>
      <c r="BL116" s="60"/>
      <c r="BM116" s="60"/>
    </row>
    <row r="117" spans="1:65" s="51" customFormat="1" ht="30" customHeight="1" thickBot="1" x14ac:dyDescent="0.35">
      <c r="A117" s="46"/>
      <c r="B117" s="70"/>
      <c r="C117" s="69"/>
      <c r="D117" s="68"/>
      <c r="E117" s="71"/>
      <c r="F117" s="122"/>
      <c r="G117" s="61"/>
      <c r="H117" s="61" t="str">
        <f t="shared" si="7"/>
        <v/>
      </c>
      <c r="I117" s="66"/>
      <c r="J117" s="60"/>
      <c r="K117" s="60"/>
      <c r="L117" s="60"/>
      <c r="M117" s="60"/>
      <c r="N117" s="60"/>
      <c r="O117" s="60"/>
      <c r="P117" s="60"/>
      <c r="Q117" s="60"/>
      <c r="R117" s="60"/>
      <c r="S117" s="60"/>
      <c r="T117" s="60"/>
      <c r="U117" s="60"/>
      <c r="V117" s="60"/>
      <c r="W117" s="60"/>
      <c r="X117" s="60"/>
      <c r="Y117" s="60"/>
      <c r="Z117" s="60"/>
      <c r="AA117" s="60"/>
      <c r="AB117" s="60"/>
      <c r="AC117" s="60"/>
      <c r="AD117" s="60"/>
      <c r="AE117" s="60"/>
      <c r="AF117" s="60"/>
      <c r="AG117" s="60"/>
      <c r="AH117" s="60"/>
      <c r="AI117" s="60"/>
      <c r="AJ117" s="60"/>
      <c r="AK117" s="60"/>
      <c r="AL117" s="60"/>
      <c r="AM117" s="60"/>
      <c r="AN117" s="60"/>
      <c r="AO117" s="60"/>
      <c r="AP117" s="60"/>
      <c r="AQ117" s="60"/>
      <c r="AR117" s="60"/>
      <c r="AS117" s="60"/>
      <c r="AT117" s="60"/>
      <c r="AU117" s="60"/>
      <c r="AV117" s="60"/>
      <c r="AW117" s="60"/>
      <c r="AX117" s="60"/>
      <c r="AY117" s="60"/>
      <c r="AZ117" s="60"/>
      <c r="BA117" s="60"/>
      <c r="BB117" s="60"/>
      <c r="BC117" s="60"/>
      <c r="BD117" s="60"/>
      <c r="BE117" s="60"/>
      <c r="BF117" s="60"/>
      <c r="BG117" s="60"/>
      <c r="BH117" s="60"/>
      <c r="BI117" s="60"/>
      <c r="BJ117" s="60"/>
      <c r="BK117" s="60"/>
      <c r="BL117" s="60"/>
      <c r="BM117" s="60"/>
    </row>
    <row r="118" spans="1:65" s="51" customFormat="1" ht="30" customHeight="1" thickBot="1" x14ac:dyDescent="0.35">
      <c r="A118" s="46"/>
      <c r="B118" s="70"/>
      <c r="C118" s="69"/>
      <c r="D118" s="68"/>
      <c r="E118" s="67"/>
      <c r="F118" s="122"/>
      <c r="G118" s="61"/>
      <c r="H118" s="61" t="str">
        <f t="shared" si="7"/>
        <v/>
      </c>
      <c r="I118" s="66"/>
      <c r="J118" s="60"/>
      <c r="K118" s="60"/>
      <c r="L118" s="60"/>
      <c r="M118" s="60"/>
      <c r="N118" s="60"/>
      <c r="O118" s="60"/>
      <c r="P118" s="60"/>
      <c r="Q118" s="60"/>
      <c r="R118" s="60"/>
      <c r="S118" s="60"/>
      <c r="T118" s="60"/>
      <c r="U118" s="60"/>
      <c r="V118" s="60"/>
      <c r="W118" s="60"/>
      <c r="X118" s="60"/>
      <c r="Y118" s="60"/>
      <c r="Z118" s="60"/>
      <c r="AA118" s="60"/>
      <c r="AB118" s="60"/>
      <c r="AC118" s="60"/>
      <c r="AD118" s="60"/>
      <c r="AE118" s="60"/>
      <c r="AF118" s="60"/>
      <c r="AG118" s="60"/>
      <c r="AH118" s="60"/>
      <c r="AI118" s="60"/>
      <c r="AJ118" s="60"/>
      <c r="AK118" s="60"/>
      <c r="AL118" s="60"/>
      <c r="AM118" s="60"/>
      <c r="AN118" s="60"/>
      <c r="AO118" s="60"/>
      <c r="AP118" s="60"/>
      <c r="AQ118" s="60"/>
      <c r="AR118" s="60"/>
      <c r="AS118" s="60"/>
      <c r="AT118" s="60"/>
      <c r="AU118" s="60"/>
      <c r="AV118" s="60"/>
      <c r="AW118" s="60"/>
      <c r="AX118" s="60"/>
      <c r="AY118" s="60"/>
      <c r="AZ118" s="60"/>
      <c r="BA118" s="60"/>
      <c r="BB118" s="60"/>
      <c r="BC118" s="60"/>
      <c r="BD118" s="60"/>
      <c r="BE118" s="60"/>
      <c r="BF118" s="60"/>
      <c r="BG118" s="60"/>
      <c r="BH118" s="60"/>
      <c r="BI118" s="60"/>
      <c r="BJ118" s="60"/>
      <c r="BK118" s="60"/>
      <c r="BL118" s="60"/>
      <c r="BM118" s="60"/>
    </row>
    <row r="119" spans="1:65" s="51" customFormat="1" ht="30" customHeight="1" thickBot="1" x14ac:dyDescent="0.35">
      <c r="A119" s="46"/>
      <c r="B119" s="70"/>
      <c r="C119" s="69"/>
      <c r="D119" s="68"/>
      <c r="E119" s="67"/>
      <c r="F119" s="122"/>
      <c r="G119" s="61"/>
      <c r="H119" s="61" t="str">
        <f t="shared" si="7"/>
        <v/>
      </c>
      <c r="I119" s="66"/>
      <c r="J119" s="60"/>
      <c r="K119" s="60"/>
      <c r="L119" s="60"/>
      <c r="M119" s="60"/>
      <c r="N119" s="60"/>
      <c r="O119" s="60"/>
      <c r="P119" s="60"/>
      <c r="Q119" s="60"/>
      <c r="R119" s="60"/>
      <c r="S119" s="60"/>
      <c r="T119" s="60"/>
      <c r="U119" s="60"/>
      <c r="V119" s="60"/>
      <c r="W119" s="60"/>
      <c r="X119" s="60"/>
      <c r="Y119" s="60"/>
      <c r="Z119" s="60"/>
      <c r="AA119" s="60"/>
      <c r="AB119" s="60"/>
      <c r="AC119" s="60"/>
      <c r="AD119" s="60"/>
      <c r="AE119" s="60"/>
      <c r="AF119" s="60"/>
      <c r="AG119" s="60"/>
      <c r="AH119" s="60"/>
      <c r="AI119" s="60"/>
      <c r="AJ119" s="60"/>
      <c r="AK119" s="60"/>
      <c r="AL119" s="60"/>
      <c r="AM119" s="60"/>
      <c r="AN119" s="60"/>
      <c r="AO119" s="60"/>
      <c r="AP119" s="60"/>
      <c r="AQ119" s="60"/>
      <c r="AR119" s="60"/>
      <c r="AS119" s="60"/>
      <c r="AT119" s="60"/>
      <c r="AU119" s="60"/>
      <c r="AV119" s="60"/>
      <c r="AW119" s="60"/>
      <c r="AX119" s="60"/>
      <c r="AY119" s="60"/>
      <c r="AZ119" s="60"/>
      <c r="BA119" s="60"/>
      <c r="BB119" s="60"/>
      <c r="BC119" s="60"/>
      <c r="BD119" s="60"/>
      <c r="BE119" s="60"/>
      <c r="BF119" s="60"/>
      <c r="BG119" s="60"/>
      <c r="BH119" s="60"/>
      <c r="BI119" s="60"/>
      <c r="BJ119" s="60"/>
      <c r="BK119" s="60"/>
      <c r="BL119" s="60"/>
      <c r="BM119" s="60"/>
    </row>
    <row r="120" spans="1:65" s="51" customFormat="1" ht="30" customHeight="1" thickBot="1" x14ac:dyDescent="0.35">
      <c r="A120" s="46"/>
      <c r="B120" s="70"/>
      <c r="C120" s="69"/>
      <c r="D120" s="68"/>
      <c r="E120" s="67"/>
      <c r="F120" s="122"/>
      <c r="G120" s="61"/>
      <c r="H120" s="61" t="str">
        <f t="shared" si="7"/>
        <v/>
      </c>
      <c r="I120" s="66"/>
      <c r="J120" s="60"/>
      <c r="K120" s="60"/>
      <c r="L120" s="60"/>
      <c r="M120" s="60"/>
      <c r="N120" s="60"/>
      <c r="O120" s="60"/>
      <c r="P120" s="60"/>
      <c r="Q120" s="60"/>
      <c r="R120" s="60"/>
      <c r="S120" s="60"/>
      <c r="T120" s="60"/>
      <c r="U120" s="60"/>
      <c r="V120" s="60"/>
      <c r="W120" s="60"/>
      <c r="X120" s="60"/>
      <c r="Y120" s="60"/>
      <c r="Z120" s="60"/>
      <c r="AA120" s="60"/>
      <c r="AB120" s="60"/>
      <c r="AC120" s="60"/>
      <c r="AD120" s="60"/>
      <c r="AE120" s="60"/>
      <c r="AF120" s="60"/>
      <c r="AG120" s="60"/>
      <c r="AH120" s="60"/>
      <c r="AI120" s="60"/>
      <c r="AJ120" s="60"/>
      <c r="AK120" s="60"/>
      <c r="AL120" s="60"/>
      <c r="AM120" s="60"/>
      <c r="AN120" s="60"/>
      <c r="AO120" s="60"/>
      <c r="AP120" s="60"/>
      <c r="AQ120" s="60"/>
      <c r="AR120" s="60"/>
      <c r="AS120" s="60"/>
      <c r="AT120" s="60"/>
      <c r="AU120" s="60"/>
      <c r="AV120" s="60"/>
      <c r="AW120" s="60"/>
      <c r="AX120" s="60"/>
      <c r="AY120" s="60"/>
      <c r="AZ120" s="60"/>
      <c r="BA120" s="60"/>
      <c r="BB120" s="60"/>
      <c r="BC120" s="60"/>
      <c r="BD120" s="60"/>
      <c r="BE120" s="60"/>
      <c r="BF120" s="60"/>
      <c r="BG120" s="60"/>
      <c r="BH120" s="60"/>
      <c r="BI120" s="60"/>
      <c r="BJ120" s="60"/>
      <c r="BK120" s="60"/>
      <c r="BL120" s="60"/>
      <c r="BM120" s="60"/>
    </row>
    <row r="121" spans="1:65" s="51" customFormat="1" ht="30" customHeight="1" thickBot="1" x14ac:dyDescent="0.35">
      <c r="A121" s="46"/>
      <c r="B121" s="70"/>
      <c r="C121" s="69"/>
      <c r="D121" s="68"/>
      <c r="E121" s="67"/>
      <c r="F121" s="122"/>
      <c r="G121" s="61"/>
      <c r="H121" s="61" t="str">
        <f t="shared" si="7"/>
        <v/>
      </c>
      <c r="I121" s="66"/>
      <c r="J121" s="60"/>
      <c r="K121" s="60"/>
      <c r="L121" s="60"/>
      <c r="M121" s="60"/>
      <c r="N121" s="60"/>
      <c r="O121" s="60"/>
      <c r="P121" s="60"/>
      <c r="Q121" s="60"/>
      <c r="R121" s="60"/>
      <c r="S121" s="60"/>
      <c r="T121" s="60"/>
      <c r="U121" s="60"/>
      <c r="V121" s="60"/>
      <c r="W121" s="60"/>
      <c r="X121" s="60"/>
      <c r="Y121" s="60"/>
      <c r="Z121" s="60"/>
      <c r="AA121" s="60"/>
      <c r="AB121" s="60"/>
      <c r="AC121" s="60"/>
      <c r="AD121" s="60"/>
      <c r="AE121" s="60"/>
      <c r="AF121" s="60"/>
      <c r="AG121" s="60"/>
      <c r="AH121" s="60"/>
      <c r="AI121" s="60"/>
      <c r="AJ121" s="60"/>
      <c r="AK121" s="60"/>
      <c r="AL121" s="60"/>
      <c r="AM121" s="60"/>
      <c r="AN121" s="60"/>
      <c r="AO121" s="60"/>
      <c r="AP121" s="60"/>
      <c r="AQ121" s="60"/>
      <c r="AR121" s="60"/>
      <c r="AS121" s="60"/>
      <c r="AT121" s="60"/>
      <c r="AU121" s="60"/>
      <c r="AV121" s="60"/>
      <c r="AW121" s="60"/>
      <c r="AX121" s="60"/>
      <c r="AY121" s="60"/>
      <c r="AZ121" s="60"/>
      <c r="BA121" s="60"/>
      <c r="BB121" s="60"/>
      <c r="BC121" s="60"/>
      <c r="BD121" s="60"/>
      <c r="BE121" s="60"/>
      <c r="BF121" s="60"/>
      <c r="BG121" s="60"/>
      <c r="BH121" s="60"/>
      <c r="BI121" s="60"/>
      <c r="BJ121" s="60"/>
      <c r="BK121" s="60"/>
      <c r="BL121" s="60"/>
      <c r="BM121" s="60"/>
    </row>
    <row r="122" spans="1:65" s="51" customFormat="1" ht="30" customHeight="1" thickBot="1" x14ac:dyDescent="0.35">
      <c r="A122" s="46"/>
      <c r="B122" s="70"/>
      <c r="C122" s="69"/>
      <c r="D122" s="68"/>
      <c r="E122" s="67"/>
      <c r="F122" s="122"/>
      <c r="G122" s="61"/>
      <c r="H122" s="61" t="str">
        <f t="shared" si="7"/>
        <v/>
      </c>
      <c r="I122" s="66"/>
      <c r="J122" s="60"/>
      <c r="K122" s="60"/>
      <c r="L122" s="60"/>
      <c r="M122" s="60"/>
      <c r="N122" s="60"/>
      <c r="O122" s="60"/>
      <c r="P122" s="60"/>
      <c r="Q122" s="60"/>
      <c r="R122" s="60"/>
      <c r="S122" s="60"/>
      <c r="T122" s="60"/>
      <c r="U122" s="60"/>
      <c r="V122" s="60"/>
      <c r="W122" s="60"/>
      <c r="X122" s="60"/>
      <c r="Y122" s="60"/>
      <c r="Z122" s="60"/>
      <c r="AA122" s="60"/>
      <c r="AB122" s="60"/>
      <c r="AC122" s="60"/>
      <c r="AD122" s="60"/>
      <c r="AE122" s="60"/>
      <c r="AF122" s="60"/>
      <c r="AG122" s="60"/>
      <c r="AH122" s="60"/>
      <c r="AI122" s="60"/>
      <c r="AJ122" s="60"/>
      <c r="AK122" s="60"/>
      <c r="AL122" s="60"/>
      <c r="AM122" s="60"/>
      <c r="AN122" s="60"/>
      <c r="AO122" s="60"/>
      <c r="AP122" s="60"/>
      <c r="AQ122" s="60"/>
      <c r="AR122" s="60"/>
      <c r="AS122" s="60"/>
      <c r="AT122" s="60"/>
      <c r="AU122" s="60"/>
      <c r="AV122" s="60"/>
      <c r="AW122" s="60"/>
      <c r="AX122" s="60"/>
      <c r="AY122" s="60"/>
      <c r="AZ122" s="60"/>
      <c r="BA122" s="60"/>
      <c r="BB122" s="60"/>
      <c r="BC122" s="60"/>
      <c r="BD122" s="60"/>
      <c r="BE122" s="60"/>
      <c r="BF122" s="60"/>
      <c r="BG122" s="60"/>
      <c r="BH122" s="60"/>
      <c r="BI122" s="60"/>
      <c r="BJ122" s="60"/>
      <c r="BK122" s="60"/>
      <c r="BL122" s="60"/>
      <c r="BM122" s="60"/>
    </row>
    <row r="123" spans="1:65" s="51" customFormat="1" ht="30" customHeight="1" thickBot="1" x14ac:dyDescent="0.35">
      <c r="A123" s="46"/>
      <c r="B123" s="70"/>
      <c r="C123" s="69"/>
      <c r="D123" s="68"/>
      <c r="E123" s="67"/>
      <c r="F123" s="122"/>
      <c r="G123" s="61"/>
      <c r="H123" s="61" t="str">
        <f t="shared" si="7"/>
        <v/>
      </c>
      <c r="I123" s="66"/>
      <c r="J123" s="60"/>
      <c r="K123" s="60"/>
      <c r="L123" s="60"/>
      <c r="M123" s="60"/>
      <c r="N123" s="60"/>
      <c r="O123" s="60"/>
      <c r="P123" s="60"/>
      <c r="Q123" s="60"/>
      <c r="R123" s="60"/>
      <c r="S123" s="60"/>
      <c r="T123" s="60"/>
      <c r="U123" s="60"/>
      <c r="V123" s="60"/>
      <c r="W123" s="60"/>
      <c r="X123" s="60"/>
      <c r="Y123" s="60"/>
      <c r="Z123" s="60"/>
      <c r="AA123" s="60"/>
      <c r="AB123" s="60"/>
      <c r="AC123" s="60"/>
      <c r="AD123" s="60"/>
      <c r="AE123" s="60"/>
      <c r="AF123" s="60"/>
      <c r="AG123" s="60"/>
      <c r="AH123" s="60"/>
      <c r="AI123" s="60"/>
      <c r="AJ123" s="60"/>
      <c r="AK123" s="60"/>
      <c r="AL123" s="60"/>
      <c r="AM123" s="60"/>
      <c r="AN123" s="60"/>
      <c r="AO123" s="60"/>
      <c r="AP123" s="60"/>
      <c r="AQ123" s="60"/>
      <c r="AR123" s="60"/>
      <c r="AS123" s="60"/>
      <c r="AT123" s="60"/>
      <c r="AU123" s="60"/>
      <c r="AV123" s="60"/>
      <c r="AW123" s="60"/>
      <c r="AX123" s="60"/>
      <c r="AY123" s="60"/>
      <c r="AZ123" s="60"/>
      <c r="BA123" s="60"/>
      <c r="BB123" s="60"/>
      <c r="BC123" s="60"/>
      <c r="BD123" s="60"/>
      <c r="BE123" s="60"/>
      <c r="BF123" s="60"/>
      <c r="BG123" s="60"/>
      <c r="BH123" s="60"/>
      <c r="BI123" s="60"/>
      <c r="BJ123" s="60"/>
      <c r="BK123" s="60"/>
      <c r="BL123" s="60"/>
      <c r="BM123" s="60"/>
    </row>
    <row r="124" spans="1:65" s="51" customFormat="1" ht="30" customHeight="1" thickBot="1" x14ac:dyDescent="0.35">
      <c r="A124" s="46"/>
      <c r="B124" s="70"/>
      <c r="C124" s="69"/>
      <c r="D124" s="68"/>
      <c r="E124" s="67"/>
      <c r="F124" s="122"/>
      <c r="G124" s="61"/>
      <c r="H124" s="61" t="str">
        <f t="shared" si="7"/>
        <v/>
      </c>
      <c r="I124" s="66"/>
      <c r="J124" s="60"/>
      <c r="K124" s="60"/>
      <c r="L124" s="60"/>
      <c r="M124" s="60"/>
      <c r="N124" s="60"/>
      <c r="O124" s="60"/>
      <c r="P124" s="60"/>
      <c r="Q124" s="60"/>
      <c r="R124" s="60"/>
      <c r="S124" s="60"/>
      <c r="T124" s="60"/>
      <c r="U124" s="60"/>
      <c r="V124" s="60"/>
      <c r="W124" s="60"/>
      <c r="X124" s="60"/>
      <c r="Y124" s="60"/>
      <c r="Z124" s="60"/>
      <c r="AA124" s="60"/>
      <c r="AB124" s="60"/>
      <c r="AC124" s="60"/>
      <c r="AD124" s="60"/>
      <c r="AE124" s="60"/>
      <c r="AF124" s="60"/>
      <c r="AG124" s="60"/>
      <c r="AH124" s="60"/>
      <c r="AI124" s="60"/>
      <c r="AJ124" s="60"/>
      <c r="AK124" s="60"/>
      <c r="AL124" s="60"/>
      <c r="AM124" s="60"/>
      <c r="AN124" s="60"/>
      <c r="AO124" s="60"/>
      <c r="AP124" s="60"/>
      <c r="AQ124" s="60"/>
      <c r="AR124" s="60"/>
      <c r="AS124" s="60"/>
      <c r="AT124" s="60"/>
      <c r="AU124" s="60"/>
      <c r="AV124" s="60"/>
      <c r="AW124" s="60"/>
      <c r="AX124" s="60"/>
      <c r="AY124" s="60"/>
      <c r="AZ124" s="60"/>
      <c r="BA124" s="60"/>
      <c r="BB124" s="60"/>
      <c r="BC124" s="60"/>
      <c r="BD124" s="60"/>
      <c r="BE124" s="60"/>
      <c r="BF124" s="60"/>
      <c r="BG124" s="60"/>
      <c r="BH124" s="60"/>
      <c r="BI124" s="60"/>
      <c r="BJ124" s="60"/>
      <c r="BK124" s="60"/>
      <c r="BL124" s="60"/>
      <c r="BM124" s="60"/>
    </row>
    <row r="125" spans="1:65" s="51" customFormat="1" ht="30" customHeight="1" thickBot="1" x14ac:dyDescent="0.35">
      <c r="A125" s="46"/>
      <c r="B125" s="70"/>
      <c r="C125" s="69"/>
      <c r="D125" s="68"/>
      <c r="E125" s="67"/>
      <c r="F125" s="122"/>
      <c r="G125" s="61"/>
      <c r="H125" s="61" t="str">
        <f t="shared" si="7"/>
        <v/>
      </c>
      <c r="I125" s="66"/>
      <c r="J125" s="60"/>
      <c r="K125" s="60"/>
      <c r="L125" s="60"/>
      <c r="M125" s="60"/>
      <c r="N125" s="60"/>
      <c r="O125" s="60"/>
      <c r="P125" s="60"/>
      <c r="Q125" s="60"/>
      <c r="R125" s="60"/>
      <c r="S125" s="60"/>
      <c r="T125" s="60"/>
      <c r="U125" s="60"/>
      <c r="V125" s="60"/>
      <c r="W125" s="60"/>
      <c r="X125" s="60"/>
      <c r="Y125" s="60"/>
      <c r="Z125" s="60"/>
      <c r="AA125" s="60"/>
      <c r="AB125" s="60"/>
      <c r="AC125" s="60"/>
      <c r="AD125" s="60"/>
      <c r="AE125" s="60"/>
      <c r="AF125" s="60"/>
      <c r="AG125" s="60"/>
      <c r="AH125" s="60"/>
      <c r="AI125" s="60"/>
      <c r="AJ125" s="60"/>
      <c r="AK125" s="60"/>
      <c r="AL125" s="60"/>
      <c r="AM125" s="60"/>
      <c r="AN125" s="60"/>
      <c r="AO125" s="60"/>
      <c r="AP125" s="60"/>
      <c r="AQ125" s="60"/>
      <c r="AR125" s="60"/>
      <c r="AS125" s="60"/>
      <c r="AT125" s="60"/>
      <c r="AU125" s="60"/>
      <c r="AV125" s="60"/>
      <c r="AW125" s="60"/>
      <c r="AX125" s="60"/>
      <c r="AY125" s="60"/>
      <c r="AZ125" s="60"/>
      <c r="BA125" s="60"/>
      <c r="BB125" s="60"/>
      <c r="BC125" s="60"/>
      <c r="BD125" s="60"/>
      <c r="BE125" s="60"/>
      <c r="BF125" s="60"/>
      <c r="BG125" s="60"/>
      <c r="BH125" s="60"/>
      <c r="BI125" s="60"/>
      <c r="BJ125" s="60"/>
      <c r="BK125" s="60"/>
      <c r="BL125" s="60"/>
      <c r="BM125" s="60"/>
    </row>
    <row r="126" spans="1:65" s="51" customFormat="1" ht="30" customHeight="1" thickBot="1" x14ac:dyDescent="0.35">
      <c r="A126" s="46"/>
      <c r="B126" s="70"/>
      <c r="C126" s="69"/>
      <c r="D126" s="68"/>
      <c r="E126" s="67"/>
      <c r="F126" s="122"/>
      <c r="G126" s="61"/>
      <c r="H126" s="61" t="str">
        <f t="shared" si="7"/>
        <v/>
      </c>
      <c r="I126" s="66"/>
      <c r="J126" s="60"/>
      <c r="K126" s="60"/>
      <c r="L126" s="60"/>
      <c r="M126" s="60"/>
      <c r="N126" s="60"/>
      <c r="O126" s="60"/>
      <c r="P126" s="60"/>
      <c r="Q126" s="60"/>
      <c r="R126" s="60"/>
      <c r="S126" s="60"/>
      <c r="T126" s="60"/>
      <c r="U126" s="60"/>
      <c r="V126" s="60"/>
      <c r="W126" s="60"/>
      <c r="X126" s="60"/>
      <c r="Y126" s="60"/>
      <c r="Z126" s="60"/>
      <c r="AA126" s="60"/>
      <c r="AB126" s="60"/>
      <c r="AC126" s="60"/>
      <c r="AD126" s="60"/>
      <c r="AE126" s="60"/>
      <c r="AF126" s="60"/>
      <c r="AG126" s="60"/>
      <c r="AH126" s="60"/>
      <c r="AI126" s="60"/>
      <c r="AJ126" s="60"/>
      <c r="AK126" s="60"/>
      <c r="AL126" s="60"/>
      <c r="AM126" s="60"/>
      <c r="AN126" s="60"/>
      <c r="AO126" s="60"/>
      <c r="AP126" s="60"/>
      <c r="AQ126" s="60"/>
      <c r="AR126" s="60"/>
      <c r="AS126" s="60"/>
      <c r="AT126" s="60"/>
      <c r="AU126" s="60"/>
      <c r="AV126" s="60"/>
      <c r="AW126" s="60"/>
      <c r="AX126" s="60"/>
      <c r="AY126" s="60"/>
      <c r="AZ126" s="60"/>
      <c r="BA126" s="60"/>
      <c r="BB126" s="60"/>
      <c r="BC126" s="60"/>
      <c r="BD126" s="60"/>
      <c r="BE126" s="60"/>
      <c r="BF126" s="60"/>
      <c r="BG126" s="60"/>
      <c r="BH126" s="60"/>
      <c r="BI126" s="60"/>
      <c r="BJ126" s="60"/>
      <c r="BK126" s="60"/>
      <c r="BL126" s="60"/>
      <c r="BM126" s="60"/>
    </row>
    <row r="127" spans="1:65" s="51" customFormat="1" ht="30" customHeight="1" thickBot="1" x14ac:dyDescent="0.35">
      <c r="A127" s="46"/>
      <c r="B127" s="70"/>
      <c r="C127" s="69"/>
      <c r="D127" s="68"/>
      <c r="E127" s="67"/>
      <c r="F127" s="122"/>
      <c r="G127" s="61"/>
      <c r="H127" s="61" t="str">
        <f t="shared" si="7"/>
        <v/>
      </c>
      <c r="I127" s="66"/>
      <c r="J127" s="60"/>
      <c r="K127" s="60"/>
      <c r="L127" s="60"/>
      <c r="M127" s="60"/>
      <c r="N127" s="60"/>
      <c r="O127" s="60"/>
      <c r="P127" s="60"/>
      <c r="Q127" s="60"/>
      <c r="R127" s="60"/>
      <c r="S127" s="60"/>
      <c r="T127" s="60"/>
      <c r="U127" s="60"/>
      <c r="V127" s="60"/>
      <c r="W127" s="60"/>
      <c r="X127" s="60"/>
      <c r="Y127" s="60"/>
      <c r="Z127" s="60"/>
      <c r="AA127" s="60"/>
      <c r="AB127" s="60"/>
      <c r="AC127" s="60"/>
      <c r="AD127" s="60"/>
      <c r="AE127" s="60"/>
      <c r="AF127" s="60"/>
      <c r="AG127" s="60"/>
      <c r="AH127" s="60"/>
      <c r="AI127" s="60"/>
      <c r="AJ127" s="60"/>
      <c r="AK127" s="60"/>
      <c r="AL127" s="60"/>
      <c r="AM127" s="60"/>
      <c r="AN127" s="60"/>
      <c r="AO127" s="60"/>
      <c r="AP127" s="60"/>
      <c r="AQ127" s="60"/>
      <c r="AR127" s="60"/>
      <c r="AS127" s="60"/>
      <c r="AT127" s="60"/>
      <c r="AU127" s="60"/>
      <c r="AV127" s="60"/>
      <c r="AW127" s="60"/>
      <c r="AX127" s="60"/>
      <c r="AY127" s="60"/>
      <c r="AZ127" s="60"/>
      <c r="BA127" s="60"/>
      <c r="BB127" s="60"/>
      <c r="BC127" s="60"/>
      <c r="BD127" s="60"/>
      <c r="BE127" s="60"/>
      <c r="BF127" s="60"/>
      <c r="BG127" s="60"/>
      <c r="BH127" s="60"/>
      <c r="BI127" s="60"/>
      <c r="BJ127" s="60"/>
      <c r="BK127" s="60"/>
      <c r="BL127" s="60"/>
      <c r="BM127" s="60"/>
    </row>
    <row r="128" spans="1:65" s="51" customFormat="1" ht="30" customHeight="1" thickBot="1" x14ac:dyDescent="0.35">
      <c r="A128" s="46"/>
      <c r="B128" s="70"/>
      <c r="C128" s="69"/>
      <c r="D128" s="68"/>
      <c r="E128" s="67"/>
      <c r="F128" s="122"/>
      <c r="G128" s="61"/>
      <c r="H128" s="61" t="str">
        <f t="shared" si="7"/>
        <v/>
      </c>
      <c r="I128" s="66"/>
      <c r="J128" s="60"/>
      <c r="K128" s="60"/>
      <c r="L128" s="60"/>
      <c r="M128" s="60"/>
      <c r="N128" s="60"/>
      <c r="O128" s="60"/>
      <c r="P128" s="60"/>
      <c r="Q128" s="60"/>
      <c r="R128" s="60"/>
      <c r="S128" s="60"/>
      <c r="T128" s="60"/>
      <c r="U128" s="60"/>
      <c r="V128" s="60"/>
      <c r="W128" s="60"/>
      <c r="X128" s="60"/>
      <c r="Y128" s="60"/>
      <c r="Z128" s="60"/>
      <c r="AA128" s="60"/>
      <c r="AB128" s="60"/>
      <c r="AC128" s="60"/>
      <c r="AD128" s="60"/>
      <c r="AE128" s="60"/>
      <c r="AF128" s="60"/>
      <c r="AG128" s="60"/>
      <c r="AH128" s="60"/>
      <c r="AI128" s="60"/>
      <c r="AJ128" s="60"/>
      <c r="AK128" s="60"/>
      <c r="AL128" s="60"/>
      <c r="AM128" s="60"/>
      <c r="AN128" s="60"/>
      <c r="AO128" s="60"/>
      <c r="AP128" s="60"/>
      <c r="AQ128" s="60"/>
      <c r="AR128" s="60"/>
      <c r="AS128" s="60"/>
      <c r="AT128" s="60"/>
      <c r="AU128" s="60"/>
      <c r="AV128" s="60"/>
      <c r="AW128" s="60"/>
      <c r="AX128" s="60"/>
      <c r="AY128" s="60"/>
      <c r="AZ128" s="60"/>
      <c r="BA128" s="60"/>
      <c r="BB128" s="60"/>
      <c r="BC128" s="60"/>
      <c r="BD128" s="60"/>
      <c r="BE128" s="60"/>
      <c r="BF128" s="60"/>
      <c r="BG128" s="60"/>
      <c r="BH128" s="60"/>
      <c r="BI128" s="60"/>
      <c r="BJ128" s="60"/>
      <c r="BK128" s="60"/>
      <c r="BL128" s="60"/>
      <c r="BM128" s="60"/>
    </row>
    <row r="129" spans="1:65" s="51" customFormat="1" ht="30" customHeight="1" thickBot="1" x14ac:dyDescent="0.35">
      <c r="A129" s="46"/>
      <c r="B129" s="70"/>
      <c r="C129" s="69"/>
      <c r="D129" s="68"/>
      <c r="E129" s="67"/>
      <c r="F129" s="122"/>
      <c r="G129" s="61"/>
      <c r="H129" s="61" t="str">
        <f t="shared" si="7"/>
        <v/>
      </c>
      <c r="I129" s="66"/>
      <c r="J129" s="60"/>
      <c r="K129" s="60"/>
      <c r="L129" s="60"/>
      <c r="M129" s="60"/>
      <c r="N129" s="60"/>
      <c r="O129" s="60"/>
      <c r="P129" s="60"/>
      <c r="Q129" s="60"/>
      <c r="R129" s="60"/>
      <c r="S129" s="60"/>
      <c r="T129" s="60"/>
      <c r="U129" s="60"/>
      <c r="V129" s="60"/>
      <c r="W129" s="60"/>
      <c r="X129" s="60"/>
      <c r="Y129" s="60"/>
      <c r="Z129" s="60"/>
      <c r="AA129" s="60"/>
      <c r="AB129" s="60"/>
      <c r="AC129" s="60"/>
      <c r="AD129" s="60"/>
      <c r="AE129" s="60"/>
      <c r="AF129" s="60"/>
      <c r="AG129" s="60"/>
      <c r="AH129" s="60"/>
      <c r="AI129" s="60"/>
      <c r="AJ129" s="60"/>
      <c r="AK129" s="60"/>
      <c r="AL129" s="60"/>
      <c r="AM129" s="60"/>
      <c r="AN129" s="60"/>
      <c r="AO129" s="60"/>
      <c r="AP129" s="60"/>
      <c r="AQ129" s="60"/>
      <c r="AR129" s="60"/>
      <c r="AS129" s="60"/>
      <c r="AT129" s="60"/>
      <c r="AU129" s="60"/>
      <c r="AV129" s="60"/>
      <c r="AW129" s="60"/>
      <c r="AX129" s="60"/>
      <c r="AY129" s="60"/>
      <c r="AZ129" s="60"/>
      <c r="BA129" s="60"/>
      <c r="BB129" s="60"/>
      <c r="BC129" s="60"/>
      <c r="BD129" s="60"/>
      <c r="BE129" s="60"/>
      <c r="BF129" s="60"/>
      <c r="BG129" s="60"/>
      <c r="BH129" s="60"/>
      <c r="BI129" s="60"/>
      <c r="BJ129" s="60"/>
      <c r="BK129" s="60"/>
      <c r="BL129" s="60"/>
      <c r="BM129" s="60"/>
    </row>
    <row r="130" spans="1:65" s="51" customFormat="1" ht="30" customHeight="1" thickBot="1" x14ac:dyDescent="0.35">
      <c r="A130" s="46"/>
      <c r="B130" s="70"/>
      <c r="C130" s="69"/>
      <c r="D130" s="68"/>
      <c r="E130" s="67"/>
      <c r="F130" s="122"/>
      <c r="G130" s="61"/>
      <c r="H130" s="61" t="str">
        <f t="shared" si="7"/>
        <v/>
      </c>
      <c r="I130" s="66"/>
      <c r="J130" s="60"/>
      <c r="K130" s="60"/>
      <c r="L130" s="60"/>
      <c r="M130" s="60"/>
      <c r="N130" s="60"/>
      <c r="O130" s="60"/>
      <c r="P130" s="60"/>
      <c r="Q130" s="60"/>
      <c r="R130" s="60"/>
      <c r="S130" s="60"/>
      <c r="T130" s="60"/>
      <c r="U130" s="60"/>
      <c r="V130" s="60"/>
      <c r="W130" s="60"/>
      <c r="X130" s="60"/>
      <c r="Y130" s="60"/>
      <c r="Z130" s="60"/>
      <c r="AA130" s="60"/>
      <c r="AB130" s="60"/>
      <c r="AC130" s="60"/>
      <c r="AD130" s="60"/>
      <c r="AE130" s="60"/>
      <c r="AF130" s="60"/>
      <c r="AG130" s="60"/>
      <c r="AH130" s="60"/>
      <c r="AI130" s="60"/>
      <c r="AJ130" s="60"/>
      <c r="AK130" s="60"/>
      <c r="AL130" s="60"/>
      <c r="AM130" s="60"/>
      <c r="AN130" s="60"/>
      <c r="AO130" s="60"/>
      <c r="AP130" s="60"/>
      <c r="AQ130" s="60"/>
      <c r="AR130" s="60"/>
      <c r="AS130" s="60"/>
      <c r="AT130" s="60"/>
      <c r="AU130" s="60"/>
      <c r="AV130" s="60"/>
      <c r="AW130" s="60"/>
      <c r="AX130" s="60"/>
      <c r="AY130" s="60"/>
      <c r="AZ130" s="60"/>
      <c r="BA130" s="60"/>
      <c r="BB130" s="60"/>
      <c r="BC130" s="60"/>
      <c r="BD130" s="60"/>
      <c r="BE130" s="60"/>
      <c r="BF130" s="60"/>
      <c r="BG130" s="60"/>
      <c r="BH130" s="60"/>
      <c r="BI130" s="60"/>
      <c r="BJ130" s="60"/>
      <c r="BK130" s="60"/>
      <c r="BL130" s="60"/>
      <c r="BM130" s="60"/>
    </row>
    <row r="131" spans="1:65" s="51" customFormat="1" ht="30" customHeight="1" thickBot="1" x14ac:dyDescent="0.35">
      <c r="A131" s="46"/>
      <c r="B131" s="70"/>
      <c r="C131" s="69"/>
      <c r="D131" s="68"/>
      <c r="E131" s="67"/>
      <c r="F131" s="122"/>
      <c r="G131" s="61"/>
      <c r="H131" s="61" t="str">
        <f t="shared" si="7"/>
        <v/>
      </c>
      <c r="I131" s="66"/>
      <c r="J131" s="60"/>
      <c r="K131" s="60"/>
      <c r="L131" s="60"/>
      <c r="M131" s="60"/>
      <c r="N131" s="60"/>
      <c r="O131" s="60"/>
      <c r="P131" s="60"/>
      <c r="Q131" s="60"/>
      <c r="R131" s="60"/>
      <c r="S131" s="60"/>
      <c r="T131" s="60"/>
      <c r="U131" s="60"/>
      <c r="V131" s="60"/>
      <c r="W131" s="60"/>
      <c r="X131" s="60"/>
      <c r="Y131" s="60"/>
      <c r="Z131" s="60"/>
      <c r="AA131" s="60"/>
      <c r="AB131" s="60"/>
      <c r="AC131" s="60"/>
      <c r="AD131" s="60"/>
      <c r="AE131" s="60"/>
      <c r="AF131" s="60"/>
      <c r="AG131" s="60"/>
      <c r="AH131" s="60"/>
      <c r="AI131" s="60"/>
      <c r="AJ131" s="60"/>
      <c r="AK131" s="60"/>
      <c r="AL131" s="60"/>
      <c r="AM131" s="60"/>
      <c r="AN131" s="60"/>
      <c r="AO131" s="60"/>
      <c r="AP131" s="60"/>
      <c r="AQ131" s="60"/>
      <c r="AR131" s="60"/>
      <c r="AS131" s="60"/>
      <c r="AT131" s="60"/>
      <c r="AU131" s="60"/>
      <c r="AV131" s="60"/>
      <c r="AW131" s="60"/>
      <c r="AX131" s="60"/>
      <c r="AY131" s="60"/>
      <c r="AZ131" s="60"/>
      <c r="BA131" s="60"/>
      <c r="BB131" s="60"/>
      <c r="BC131" s="60"/>
      <c r="BD131" s="60"/>
      <c r="BE131" s="60"/>
      <c r="BF131" s="60"/>
      <c r="BG131" s="60"/>
      <c r="BH131" s="60"/>
      <c r="BI131" s="60"/>
      <c r="BJ131" s="60"/>
      <c r="BK131" s="60"/>
      <c r="BL131" s="60"/>
      <c r="BM131" s="60"/>
    </row>
    <row r="132" spans="1:65" s="51" customFormat="1" ht="30" customHeight="1" thickBot="1" x14ac:dyDescent="0.35">
      <c r="A132" s="46"/>
      <c r="B132" s="70"/>
      <c r="C132" s="69"/>
      <c r="D132" s="68"/>
      <c r="E132" s="67"/>
      <c r="F132" s="122"/>
      <c r="G132" s="61"/>
      <c r="H132" s="61" t="str">
        <f t="shared" si="7"/>
        <v/>
      </c>
      <c r="I132" s="66"/>
      <c r="J132" s="60"/>
      <c r="K132" s="60"/>
      <c r="L132" s="60"/>
      <c r="M132" s="60"/>
      <c r="N132" s="60"/>
      <c r="O132" s="60"/>
      <c r="P132" s="60"/>
      <c r="Q132" s="60"/>
      <c r="R132" s="60"/>
      <c r="S132" s="60"/>
      <c r="T132" s="60"/>
      <c r="U132" s="60"/>
      <c r="V132" s="60"/>
      <c r="W132" s="60"/>
      <c r="X132" s="60"/>
      <c r="Y132" s="60"/>
      <c r="Z132" s="60"/>
      <c r="AA132" s="60"/>
      <c r="AB132" s="60"/>
      <c r="AC132" s="60"/>
      <c r="AD132" s="60"/>
      <c r="AE132" s="60"/>
      <c r="AF132" s="60"/>
      <c r="AG132" s="60"/>
      <c r="AH132" s="60"/>
      <c r="AI132" s="60"/>
      <c r="AJ132" s="60"/>
      <c r="AK132" s="60"/>
      <c r="AL132" s="60"/>
      <c r="AM132" s="60"/>
      <c r="AN132" s="60"/>
      <c r="AO132" s="60"/>
      <c r="AP132" s="60"/>
      <c r="AQ132" s="60"/>
      <c r="AR132" s="60"/>
      <c r="AS132" s="60"/>
      <c r="AT132" s="60"/>
      <c r="AU132" s="60"/>
      <c r="AV132" s="60"/>
      <c r="AW132" s="60"/>
      <c r="AX132" s="60"/>
      <c r="AY132" s="60"/>
      <c r="AZ132" s="60"/>
      <c r="BA132" s="60"/>
      <c r="BB132" s="60"/>
      <c r="BC132" s="60"/>
      <c r="BD132" s="60"/>
      <c r="BE132" s="60"/>
      <c r="BF132" s="60"/>
      <c r="BG132" s="60"/>
      <c r="BH132" s="60"/>
      <c r="BI132" s="60"/>
      <c r="BJ132" s="60"/>
      <c r="BK132" s="60"/>
      <c r="BL132" s="60"/>
      <c r="BM132" s="60"/>
    </row>
    <row r="133" spans="1:65" s="51" customFormat="1" ht="30" customHeight="1" thickBot="1" x14ac:dyDescent="0.35">
      <c r="A133" s="46"/>
      <c r="B133" s="70"/>
      <c r="C133" s="69"/>
      <c r="D133" s="68"/>
      <c r="E133" s="67"/>
      <c r="F133" s="122"/>
      <c r="G133" s="61"/>
      <c r="H133" s="61" t="str">
        <f t="shared" si="7"/>
        <v/>
      </c>
      <c r="I133" s="66"/>
      <c r="J133" s="60"/>
      <c r="K133" s="60"/>
      <c r="L133" s="60"/>
      <c r="M133" s="60"/>
      <c r="N133" s="60"/>
      <c r="O133" s="60"/>
      <c r="P133" s="60"/>
      <c r="Q133" s="60"/>
      <c r="R133" s="60"/>
      <c r="S133" s="60"/>
      <c r="T133" s="60"/>
      <c r="U133" s="60"/>
      <c r="V133" s="60"/>
      <c r="W133" s="60"/>
      <c r="X133" s="60"/>
      <c r="Y133" s="60"/>
      <c r="Z133" s="60"/>
      <c r="AA133" s="60"/>
      <c r="AB133" s="60"/>
      <c r="AC133" s="60"/>
      <c r="AD133" s="60"/>
      <c r="AE133" s="60"/>
      <c r="AF133" s="60"/>
      <c r="AG133" s="60"/>
      <c r="AH133" s="60"/>
      <c r="AI133" s="60"/>
      <c r="AJ133" s="60"/>
      <c r="AK133" s="60"/>
      <c r="AL133" s="60"/>
      <c r="AM133" s="60"/>
      <c r="AN133" s="60"/>
      <c r="AO133" s="60"/>
      <c r="AP133" s="60"/>
      <c r="AQ133" s="60"/>
      <c r="AR133" s="60"/>
      <c r="AS133" s="60"/>
      <c r="AT133" s="60"/>
      <c r="AU133" s="60"/>
      <c r="AV133" s="60"/>
      <c r="AW133" s="60"/>
      <c r="AX133" s="60"/>
      <c r="AY133" s="60"/>
      <c r="AZ133" s="60"/>
      <c r="BA133" s="60"/>
      <c r="BB133" s="60"/>
      <c r="BC133" s="60"/>
      <c r="BD133" s="60"/>
      <c r="BE133" s="60"/>
      <c r="BF133" s="60"/>
      <c r="BG133" s="60"/>
      <c r="BH133" s="60"/>
      <c r="BI133" s="60"/>
      <c r="BJ133" s="60"/>
      <c r="BK133" s="60"/>
      <c r="BL133" s="60"/>
      <c r="BM133" s="60"/>
    </row>
    <row r="134" spans="1:65" s="51" customFormat="1" ht="30" customHeight="1" thickBot="1" x14ac:dyDescent="0.35">
      <c r="A134" s="46"/>
      <c r="B134" s="70"/>
      <c r="C134" s="69"/>
      <c r="D134" s="68"/>
      <c r="E134" s="67"/>
      <c r="F134" s="67"/>
      <c r="G134" s="61"/>
      <c r="H134" s="61" t="str">
        <f t="shared" si="7"/>
        <v/>
      </c>
      <c r="I134" s="66"/>
      <c r="J134" s="60"/>
      <c r="K134" s="60"/>
      <c r="L134" s="60"/>
      <c r="M134" s="60"/>
      <c r="N134" s="60"/>
      <c r="O134" s="60"/>
      <c r="P134" s="60"/>
      <c r="Q134" s="60"/>
      <c r="R134" s="60"/>
      <c r="S134" s="60"/>
      <c r="T134" s="60"/>
      <c r="U134" s="60"/>
      <c r="V134" s="60"/>
      <c r="W134" s="60"/>
      <c r="X134" s="60"/>
      <c r="Y134" s="60"/>
      <c r="Z134" s="60"/>
      <c r="AA134" s="60"/>
      <c r="AB134" s="60"/>
      <c r="AC134" s="60"/>
      <c r="AD134" s="60"/>
      <c r="AE134" s="60"/>
      <c r="AF134" s="60"/>
      <c r="AG134" s="60"/>
      <c r="AH134" s="60"/>
      <c r="AI134" s="60"/>
      <c r="AJ134" s="60"/>
      <c r="AK134" s="60"/>
      <c r="AL134" s="60"/>
      <c r="AM134" s="60"/>
      <c r="AN134" s="60"/>
      <c r="AO134" s="60"/>
      <c r="AP134" s="60"/>
      <c r="AQ134" s="60"/>
      <c r="AR134" s="60"/>
      <c r="AS134" s="60"/>
      <c r="AT134" s="60"/>
      <c r="AU134" s="60"/>
      <c r="AV134" s="60"/>
      <c r="AW134" s="60"/>
      <c r="AX134" s="60"/>
      <c r="AY134" s="60"/>
      <c r="AZ134" s="60"/>
      <c r="BA134" s="60"/>
      <c r="BB134" s="60"/>
      <c r="BC134" s="60"/>
      <c r="BD134" s="60"/>
      <c r="BE134" s="60"/>
      <c r="BF134" s="60"/>
      <c r="BG134" s="60"/>
      <c r="BH134" s="60"/>
      <c r="BI134" s="60"/>
      <c r="BJ134" s="60"/>
      <c r="BK134" s="60"/>
      <c r="BL134" s="60"/>
      <c r="BM134" s="60"/>
    </row>
    <row r="135" spans="1:65" s="51" customFormat="1" ht="30" customHeight="1" thickBot="1" x14ac:dyDescent="0.35">
      <c r="A135" s="46"/>
      <c r="B135" s="70"/>
      <c r="C135" s="69"/>
      <c r="D135" s="68"/>
      <c r="E135" s="67"/>
      <c r="F135" s="67"/>
      <c r="G135" s="61"/>
      <c r="H135" s="61" t="str">
        <f t="shared" si="7"/>
        <v/>
      </c>
      <c r="I135" s="66"/>
      <c r="J135" s="60"/>
      <c r="K135" s="60"/>
      <c r="L135" s="60"/>
      <c r="M135" s="60"/>
      <c r="N135" s="60"/>
      <c r="O135" s="60"/>
      <c r="P135" s="60"/>
      <c r="Q135" s="60"/>
      <c r="R135" s="60"/>
      <c r="S135" s="60"/>
      <c r="T135" s="60"/>
      <c r="U135" s="60"/>
      <c r="V135" s="60"/>
      <c r="W135" s="60"/>
      <c r="X135" s="60"/>
      <c r="Y135" s="60"/>
      <c r="Z135" s="60"/>
      <c r="AA135" s="60"/>
      <c r="AB135" s="60"/>
      <c r="AC135" s="60"/>
      <c r="AD135" s="60"/>
      <c r="AE135" s="60"/>
      <c r="AF135" s="60"/>
      <c r="AG135" s="60"/>
      <c r="AH135" s="60"/>
      <c r="AI135" s="60"/>
      <c r="AJ135" s="60"/>
      <c r="AK135" s="60"/>
      <c r="AL135" s="60"/>
      <c r="AM135" s="60"/>
      <c r="AN135" s="60"/>
      <c r="AO135" s="60"/>
      <c r="AP135" s="60"/>
      <c r="AQ135" s="60"/>
      <c r="AR135" s="60"/>
      <c r="AS135" s="60"/>
      <c r="AT135" s="60"/>
      <c r="AU135" s="60"/>
      <c r="AV135" s="60"/>
      <c r="AW135" s="60"/>
      <c r="AX135" s="60"/>
      <c r="AY135" s="60"/>
      <c r="AZ135" s="60"/>
      <c r="BA135" s="60"/>
      <c r="BB135" s="60"/>
      <c r="BC135" s="60"/>
      <c r="BD135" s="60"/>
      <c r="BE135" s="60"/>
      <c r="BF135" s="60"/>
      <c r="BG135" s="60"/>
      <c r="BH135" s="60"/>
      <c r="BI135" s="60"/>
      <c r="BJ135" s="60"/>
      <c r="BK135" s="60"/>
      <c r="BL135" s="60"/>
      <c r="BM135" s="60"/>
    </row>
    <row r="136" spans="1:65" s="51" customFormat="1" ht="30" customHeight="1" thickBot="1" x14ac:dyDescent="0.35">
      <c r="A136" s="46"/>
      <c r="B136" s="70"/>
      <c r="C136" s="69"/>
      <c r="D136" s="68"/>
      <c r="E136" s="67"/>
      <c r="F136" s="67"/>
      <c r="G136" s="61"/>
      <c r="H136" s="61" t="str">
        <f t="shared" si="7"/>
        <v/>
      </c>
      <c r="I136" s="66"/>
      <c r="J136" s="60"/>
      <c r="K136" s="60"/>
      <c r="L136" s="60"/>
      <c r="M136" s="60"/>
      <c r="N136" s="60"/>
      <c r="O136" s="60"/>
      <c r="P136" s="60"/>
      <c r="Q136" s="60"/>
      <c r="R136" s="60"/>
      <c r="S136" s="60"/>
      <c r="T136" s="60"/>
      <c r="U136" s="60"/>
      <c r="V136" s="60"/>
      <c r="W136" s="60"/>
      <c r="X136" s="60"/>
      <c r="Y136" s="60"/>
      <c r="Z136" s="60"/>
      <c r="AA136" s="60"/>
      <c r="AB136" s="60"/>
      <c r="AC136" s="60"/>
      <c r="AD136" s="60"/>
      <c r="AE136" s="60"/>
      <c r="AF136" s="60"/>
      <c r="AG136" s="60"/>
      <c r="AH136" s="60"/>
      <c r="AI136" s="60"/>
      <c r="AJ136" s="60"/>
      <c r="AK136" s="60"/>
      <c r="AL136" s="60"/>
      <c r="AM136" s="60"/>
      <c r="AN136" s="60"/>
      <c r="AO136" s="60"/>
      <c r="AP136" s="60"/>
      <c r="AQ136" s="60"/>
      <c r="AR136" s="60"/>
      <c r="AS136" s="60"/>
      <c r="AT136" s="60"/>
      <c r="AU136" s="60"/>
      <c r="AV136" s="60"/>
      <c r="AW136" s="60"/>
      <c r="AX136" s="60"/>
      <c r="AY136" s="60"/>
      <c r="AZ136" s="60"/>
      <c r="BA136" s="60"/>
      <c r="BB136" s="60"/>
      <c r="BC136" s="60"/>
      <c r="BD136" s="60"/>
      <c r="BE136" s="60"/>
      <c r="BF136" s="60"/>
      <c r="BG136" s="60"/>
      <c r="BH136" s="60"/>
      <c r="BI136" s="60"/>
      <c r="BJ136" s="60"/>
      <c r="BK136" s="60"/>
      <c r="BL136" s="60"/>
      <c r="BM136" s="60"/>
    </row>
    <row r="137" spans="1:65" s="51" customFormat="1" ht="30" customHeight="1" thickBot="1" x14ac:dyDescent="0.35">
      <c r="A137" s="46"/>
      <c r="B137" s="70"/>
      <c r="C137" s="69"/>
      <c r="D137" s="68"/>
      <c r="E137" s="67"/>
      <c r="F137" s="67"/>
      <c r="G137" s="61"/>
      <c r="H137" s="61" t="str">
        <f t="shared" si="7"/>
        <v/>
      </c>
      <c r="I137" s="66"/>
      <c r="J137" s="60"/>
      <c r="K137" s="60"/>
      <c r="L137" s="60"/>
      <c r="M137" s="60"/>
      <c r="N137" s="60"/>
      <c r="O137" s="60"/>
      <c r="P137" s="60"/>
      <c r="Q137" s="60"/>
      <c r="R137" s="60"/>
      <c r="S137" s="60"/>
      <c r="T137" s="60"/>
      <c r="U137" s="60"/>
      <c r="V137" s="60"/>
      <c r="W137" s="60"/>
      <c r="X137" s="60"/>
      <c r="Y137" s="60"/>
      <c r="Z137" s="60"/>
      <c r="AA137" s="60"/>
      <c r="AB137" s="60"/>
      <c r="AC137" s="60"/>
      <c r="AD137" s="60"/>
      <c r="AE137" s="60"/>
      <c r="AF137" s="60"/>
      <c r="AG137" s="60"/>
      <c r="AH137" s="60"/>
      <c r="AI137" s="60"/>
      <c r="AJ137" s="60"/>
      <c r="AK137" s="60"/>
      <c r="AL137" s="60"/>
      <c r="AM137" s="60"/>
      <c r="AN137" s="60"/>
      <c r="AO137" s="60"/>
      <c r="AP137" s="60"/>
      <c r="AQ137" s="60"/>
      <c r="AR137" s="60"/>
      <c r="AS137" s="60"/>
      <c r="AT137" s="60"/>
      <c r="AU137" s="60"/>
      <c r="AV137" s="60"/>
      <c r="AW137" s="60"/>
      <c r="AX137" s="60"/>
      <c r="AY137" s="60"/>
      <c r="AZ137" s="60"/>
      <c r="BA137" s="60"/>
      <c r="BB137" s="60"/>
      <c r="BC137" s="60"/>
      <c r="BD137" s="60"/>
      <c r="BE137" s="60"/>
      <c r="BF137" s="60"/>
      <c r="BG137" s="60"/>
      <c r="BH137" s="60"/>
      <c r="BI137" s="60"/>
      <c r="BJ137" s="60"/>
      <c r="BK137" s="60"/>
      <c r="BL137" s="60"/>
      <c r="BM137" s="60"/>
    </row>
    <row r="138" spans="1:65" s="51" customFormat="1" ht="30" customHeight="1" thickBot="1" x14ac:dyDescent="0.35">
      <c r="A138" s="46"/>
      <c r="B138" s="70"/>
      <c r="C138" s="69"/>
      <c r="D138" s="68"/>
      <c r="E138" s="67"/>
      <c r="F138" s="67"/>
      <c r="G138" s="61"/>
      <c r="H138" s="61" t="str">
        <f t="shared" si="7"/>
        <v/>
      </c>
      <c r="I138" s="66"/>
      <c r="J138" s="60"/>
      <c r="K138" s="60"/>
      <c r="L138" s="60"/>
      <c r="M138" s="60"/>
      <c r="N138" s="60"/>
      <c r="O138" s="60"/>
      <c r="P138" s="60"/>
      <c r="Q138" s="60"/>
      <c r="R138" s="60"/>
      <c r="S138" s="60"/>
      <c r="T138" s="60"/>
      <c r="U138" s="60"/>
      <c r="V138" s="60"/>
      <c r="W138" s="60"/>
      <c r="X138" s="60"/>
      <c r="Y138" s="60"/>
      <c r="Z138" s="60"/>
      <c r="AA138" s="60"/>
      <c r="AB138" s="60"/>
      <c r="AC138" s="60"/>
      <c r="AD138" s="60"/>
      <c r="AE138" s="60"/>
      <c r="AF138" s="60"/>
      <c r="AG138" s="60"/>
      <c r="AH138" s="60"/>
      <c r="AI138" s="60"/>
      <c r="AJ138" s="60"/>
      <c r="AK138" s="60"/>
      <c r="AL138" s="60"/>
      <c r="AM138" s="60"/>
      <c r="AN138" s="60"/>
      <c r="AO138" s="60"/>
      <c r="AP138" s="60"/>
      <c r="AQ138" s="60"/>
      <c r="AR138" s="60"/>
      <c r="AS138" s="60"/>
      <c r="AT138" s="60"/>
      <c r="AU138" s="60"/>
      <c r="AV138" s="60"/>
      <c r="AW138" s="60"/>
      <c r="AX138" s="60"/>
      <c r="AY138" s="60"/>
      <c r="AZ138" s="60"/>
      <c r="BA138" s="60"/>
      <c r="BB138" s="60"/>
      <c r="BC138" s="60"/>
      <c r="BD138" s="60"/>
      <c r="BE138" s="60"/>
      <c r="BF138" s="60"/>
      <c r="BG138" s="60"/>
      <c r="BH138" s="60"/>
      <c r="BI138" s="60"/>
      <c r="BJ138" s="60"/>
      <c r="BK138" s="60"/>
      <c r="BL138" s="60"/>
      <c r="BM138" s="60"/>
    </row>
    <row r="139" spans="1:65" s="51" customFormat="1" ht="30" customHeight="1" thickBot="1" x14ac:dyDescent="0.35">
      <c r="A139" s="46"/>
      <c r="B139" s="70"/>
      <c r="C139" s="69"/>
      <c r="D139" s="68"/>
      <c r="E139" s="67"/>
      <c r="F139" s="67"/>
      <c r="G139" s="61"/>
      <c r="H139" s="61" t="str">
        <f t="shared" si="7"/>
        <v/>
      </c>
      <c r="I139" s="66"/>
      <c r="J139" s="60"/>
      <c r="K139" s="60"/>
      <c r="L139" s="60"/>
      <c r="M139" s="60"/>
      <c r="N139" s="60"/>
      <c r="O139" s="60"/>
      <c r="P139" s="60"/>
      <c r="Q139" s="60"/>
      <c r="R139" s="60"/>
      <c r="S139" s="60"/>
      <c r="T139" s="60"/>
      <c r="U139" s="60"/>
      <c r="V139" s="60"/>
      <c r="W139" s="60"/>
      <c r="X139" s="60"/>
      <c r="Y139" s="60"/>
      <c r="Z139" s="60"/>
      <c r="AA139" s="60"/>
      <c r="AB139" s="60"/>
      <c r="AC139" s="60"/>
      <c r="AD139" s="60"/>
      <c r="AE139" s="60"/>
      <c r="AF139" s="60"/>
      <c r="AG139" s="60"/>
      <c r="AH139" s="60"/>
      <c r="AI139" s="60"/>
      <c r="AJ139" s="60"/>
      <c r="AK139" s="60"/>
      <c r="AL139" s="60"/>
      <c r="AM139" s="60"/>
      <c r="AN139" s="60"/>
      <c r="AO139" s="60"/>
      <c r="AP139" s="60"/>
      <c r="AQ139" s="60"/>
      <c r="AR139" s="60"/>
      <c r="AS139" s="60"/>
      <c r="AT139" s="60"/>
      <c r="AU139" s="60"/>
      <c r="AV139" s="60"/>
      <c r="AW139" s="60"/>
      <c r="AX139" s="60"/>
      <c r="AY139" s="60"/>
      <c r="AZ139" s="60"/>
      <c r="BA139" s="60"/>
      <c r="BB139" s="60"/>
      <c r="BC139" s="60"/>
      <c r="BD139" s="60"/>
      <c r="BE139" s="60"/>
      <c r="BF139" s="60"/>
      <c r="BG139" s="60"/>
      <c r="BH139" s="60"/>
      <c r="BI139" s="60"/>
      <c r="BJ139" s="60"/>
      <c r="BK139" s="60"/>
      <c r="BL139" s="60"/>
      <c r="BM139" s="60"/>
    </row>
    <row r="140" spans="1:65" s="51" customFormat="1" ht="30" customHeight="1" thickBot="1" x14ac:dyDescent="0.35">
      <c r="A140" s="46"/>
      <c r="B140" s="70"/>
      <c r="C140" s="69"/>
      <c r="D140" s="68"/>
      <c r="E140" s="67"/>
      <c r="F140" s="67"/>
      <c r="G140" s="61"/>
      <c r="H140" s="61" t="str">
        <f t="shared" si="7"/>
        <v/>
      </c>
      <c r="I140" s="66"/>
      <c r="J140" s="60"/>
      <c r="K140" s="60"/>
      <c r="L140" s="60"/>
      <c r="M140" s="60"/>
      <c r="N140" s="60"/>
      <c r="O140" s="60"/>
      <c r="P140" s="60"/>
      <c r="Q140" s="60"/>
      <c r="R140" s="60"/>
      <c r="S140" s="60"/>
      <c r="T140" s="60"/>
      <c r="U140" s="60"/>
      <c r="V140" s="60"/>
      <c r="W140" s="60"/>
      <c r="X140" s="60"/>
      <c r="Y140" s="60"/>
      <c r="Z140" s="60"/>
      <c r="AA140" s="60"/>
      <c r="AB140" s="60"/>
      <c r="AC140" s="60"/>
      <c r="AD140" s="60"/>
      <c r="AE140" s="60"/>
      <c r="AF140" s="60"/>
      <c r="AG140" s="60"/>
      <c r="AH140" s="60"/>
      <c r="AI140" s="60"/>
      <c r="AJ140" s="60"/>
      <c r="AK140" s="60"/>
      <c r="AL140" s="60"/>
      <c r="AM140" s="60"/>
      <c r="AN140" s="60"/>
      <c r="AO140" s="60"/>
      <c r="AP140" s="60"/>
      <c r="AQ140" s="60"/>
      <c r="AR140" s="60"/>
      <c r="AS140" s="60"/>
      <c r="AT140" s="60"/>
      <c r="AU140" s="60"/>
      <c r="AV140" s="60"/>
      <c r="AW140" s="60"/>
      <c r="AX140" s="60"/>
      <c r="AY140" s="60"/>
      <c r="AZ140" s="60"/>
      <c r="BA140" s="60"/>
      <c r="BB140" s="60"/>
      <c r="BC140" s="60"/>
      <c r="BD140" s="60"/>
      <c r="BE140" s="60"/>
      <c r="BF140" s="60"/>
      <c r="BG140" s="60"/>
      <c r="BH140" s="60"/>
      <c r="BI140" s="60"/>
      <c r="BJ140" s="60"/>
      <c r="BK140" s="60"/>
      <c r="BL140" s="60"/>
      <c r="BM140" s="60"/>
    </row>
    <row r="141" spans="1:65" s="51" customFormat="1" ht="30" customHeight="1" thickBot="1" x14ac:dyDescent="0.35">
      <c r="A141" s="46"/>
      <c r="B141" s="70"/>
      <c r="C141" s="69"/>
      <c r="D141" s="68"/>
      <c r="E141" s="67"/>
      <c r="F141" s="67"/>
      <c r="G141" s="61"/>
      <c r="H141" s="61" t="str">
        <f t="shared" si="7"/>
        <v/>
      </c>
      <c r="I141" s="66"/>
      <c r="J141" s="60"/>
      <c r="K141" s="60"/>
      <c r="L141" s="60"/>
      <c r="M141" s="60"/>
      <c r="N141" s="60"/>
      <c r="O141" s="60"/>
      <c r="P141" s="60"/>
      <c r="Q141" s="60"/>
      <c r="R141" s="60"/>
      <c r="S141" s="60"/>
      <c r="T141" s="60"/>
      <c r="U141" s="60"/>
      <c r="V141" s="60"/>
      <c r="W141" s="60"/>
      <c r="X141" s="60"/>
      <c r="Y141" s="60"/>
      <c r="Z141" s="60"/>
      <c r="AA141" s="60"/>
      <c r="AB141" s="60"/>
      <c r="AC141" s="60"/>
      <c r="AD141" s="60"/>
      <c r="AE141" s="60"/>
      <c r="AF141" s="60"/>
      <c r="AG141" s="60"/>
      <c r="AH141" s="60"/>
      <c r="AI141" s="60"/>
      <c r="AJ141" s="60"/>
      <c r="AK141" s="60"/>
      <c r="AL141" s="60"/>
      <c r="AM141" s="60"/>
      <c r="AN141" s="60"/>
      <c r="AO141" s="60"/>
      <c r="AP141" s="60"/>
      <c r="AQ141" s="60"/>
      <c r="AR141" s="60"/>
      <c r="AS141" s="60"/>
      <c r="AT141" s="60"/>
      <c r="AU141" s="60"/>
      <c r="AV141" s="60"/>
      <c r="AW141" s="60"/>
      <c r="AX141" s="60"/>
      <c r="AY141" s="60"/>
      <c r="AZ141" s="60"/>
      <c r="BA141" s="60"/>
      <c r="BB141" s="60"/>
      <c r="BC141" s="60"/>
      <c r="BD141" s="60"/>
      <c r="BE141" s="60"/>
      <c r="BF141" s="60"/>
      <c r="BG141" s="60"/>
      <c r="BH141" s="60"/>
      <c r="BI141" s="60"/>
      <c r="BJ141" s="60"/>
      <c r="BK141" s="60"/>
      <c r="BL141" s="60"/>
      <c r="BM141" s="60"/>
    </row>
    <row r="142" spans="1:65" s="51" customFormat="1" ht="30" customHeight="1" thickBot="1" x14ac:dyDescent="0.35">
      <c r="A142" s="46"/>
      <c r="B142" s="70"/>
      <c r="C142" s="69"/>
      <c r="D142" s="68"/>
      <c r="E142" s="67"/>
      <c r="F142" s="67"/>
      <c r="G142" s="61"/>
      <c r="H142" s="61" t="str">
        <f t="shared" si="7"/>
        <v/>
      </c>
      <c r="I142" s="66"/>
      <c r="J142" s="60"/>
      <c r="K142" s="60"/>
      <c r="L142" s="60"/>
      <c r="M142" s="60"/>
      <c r="N142" s="60"/>
      <c r="O142" s="60"/>
      <c r="P142" s="60"/>
      <c r="Q142" s="60"/>
      <c r="R142" s="60"/>
      <c r="S142" s="60"/>
      <c r="T142" s="60"/>
      <c r="U142" s="60"/>
      <c r="V142" s="60"/>
      <c r="W142" s="60"/>
      <c r="X142" s="60"/>
      <c r="Y142" s="60"/>
      <c r="Z142" s="60"/>
      <c r="AA142" s="60"/>
      <c r="AB142" s="60"/>
      <c r="AC142" s="60"/>
      <c r="AD142" s="60"/>
      <c r="AE142" s="60"/>
      <c r="AF142" s="60"/>
      <c r="AG142" s="60"/>
      <c r="AH142" s="60"/>
      <c r="AI142" s="60"/>
      <c r="AJ142" s="60"/>
      <c r="AK142" s="60"/>
      <c r="AL142" s="60"/>
      <c r="AM142" s="60"/>
      <c r="AN142" s="60"/>
      <c r="AO142" s="60"/>
      <c r="AP142" s="60"/>
      <c r="AQ142" s="60"/>
      <c r="AR142" s="60"/>
      <c r="AS142" s="60"/>
      <c r="AT142" s="60"/>
      <c r="AU142" s="60"/>
      <c r="AV142" s="60"/>
      <c r="AW142" s="60"/>
      <c r="AX142" s="60"/>
      <c r="AY142" s="60"/>
      <c r="AZ142" s="60"/>
      <c r="BA142" s="60"/>
      <c r="BB142" s="60"/>
      <c r="BC142" s="60"/>
      <c r="BD142" s="60"/>
      <c r="BE142" s="60"/>
      <c r="BF142" s="60"/>
      <c r="BG142" s="60"/>
      <c r="BH142" s="60"/>
      <c r="BI142" s="60"/>
      <c r="BJ142" s="60"/>
      <c r="BK142" s="60"/>
      <c r="BL142" s="60"/>
      <c r="BM142" s="60"/>
    </row>
    <row r="143" spans="1:65" s="51" customFormat="1" ht="30" customHeight="1" thickBot="1" x14ac:dyDescent="0.35">
      <c r="A143" s="46"/>
      <c r="B143" s="70"/>
      <c r="C143" s="69"/>
      <c r="D143" s="68"/>
      <c r="E143" s="67"/>
      <c r="F143" s="67"/>
      <c r="G143" s="61"/>
      <c r="H143" s="61" t="str">
        <f t="shared" si="7"/>
        <v/>
      </c>
      <c r="I143" s="66"/>
      <c r="J143" s="60"/>
      <c r="K143" s="60"/>
      <c r="L143" s="60"/>
      <c r="M143" s="60"/>
      <c r="N143" s="60"/>
      <c r="O143" s="60"/>
      <c r="P143" s="60"/>
      <c r="Q143" s="60"/>
      <c r="R143" s="60"/>
      <c r="S143" s="60"/>
      <c r="T143" s="60"/>
      <c r="U143" s="60"/>
      <c r="V143" s="60"/>
      <c r="W143" s="60"/>
      <c r="X143" s="60"/>
      <c r="Y143" s="60"/>
      <c r="Z143" s="60"/>
      <c r="AA143" s="60"/>
      <c r="AB143" s="60"/>
      <c r="AC143" s="60"/>
      <c r="AD143" s="60"/>
      <c r="AE143" s="60"/>
      <c r="AF143" s="60"/>
      <c r="AG143" s="60"/>
      <c r="AH143" s="60"/>
      <c r="AI143" s="60"/>
      <c r="AJ143" s="60"/>
      <c r="AK143" s="60"/>
      <c r="AL143" s="60"/>
      <c r="AM143" s="60"/>
      <c r="AN143" s="60"/>
      <c r="AO143" s="60"/>
      <c r="AP143" s="60"/>
      <c r="AQ143" s="60"/>
      <c r="AR143" s="60"/>
      <c r="AS143" s="60"/>
      <c r="AT143" s="60"/>
      <c r="AU143" s="60"/>
      <c r="AV143" s="60"/>
      <c r="AW143" s="60"/>
      <c r="AX143" s="60"/>
      <c r="AY143" s="60"/>
      <c r="AZ143" s="60"/>
      <c r="BA143" s="60"/>
      <c r="BB143" s="60"/>
      <c r="BC143" s="60"/>
      <c r="BD143" s="60"/>
      <c r="BE143" s="60"/>
      <c r="BF143" s="60"/>
      <c r="BG143" s="60"/>
      <c r="BH143" s="60"/>
      <c r="BI143" s="60"/>
      <c r="BJ143" s="60"/>
      <c r="BK143" s="60"/>
      <c r="BL143" s="60"/>
      <c r="BM143" s="60"/>
    </row>
    <row r="144" spans="1:65" s="51" customFormat="1" ht="30" customHeight="1" thickBot="1" x14ac:dyDescent="0.35">
      <c r="A144" s="46"/>
      <c r="B144" s="70"/>
      <c r="C144" s="69"/>
      <c r="D144" s="68"/>
      <c r="E144" s="67"/>
      <c r="F144" s="67"/>
      <c r="G144" s="61"/>
      <c r="H144" s="61" t="str">
        <f t="shared" si="7"/>
        <v/>
      </c>
      <c r="I144" s="66"/>
      <c r="J144" s="60"/>
      <c r="K144" s="60"/>
      <c r="L144" s="60"/>
      <c r="M144" s="60"/>
      <c r="N144" s="60"/>
      <c r="O144" s="60"/>
      <c r="P144" s="60"/>
      <c r="Q144" s="60"/>
      <c r="R144" s="60"/>
      <c r="S144" s="60"/>
      <c r="T144" s="60"/>
      <c r="U144" s="60"/>
      <c r="V144" s="60"/>
      <c r="W144" s="60"/>
      <c r="X144" s="60"/>
      <c r="Y144" s="60"/>
      <c r="Z144" s="60"/>
      <c r="AA144" s="60"/>
      <c r="AB144" s="60"/>
      <c r="AC144" s="60"/>
      <c r="AD144" s="60"/>
      <c r="AE144" s="60"/>
      <c r="AF144" s="60"/>
      <c r="AG144" s="60"/>
      <c r="AH144" s="60"/>
      <c r="AI144" s="60"/>
      <c r="AJ144" s="60"/>
      <c r="AK144" s="60"/>
      <c r="AL144" s="60"/>
      <c r="AM144" s="60"/>
      <c r="AN144" s="60"/>
      <c r="AO144" s="60"/>
      <c r="AP144" s="60"/>
      <c r="AQ144" s="60"/>
      <c r="AR144" s="60"/>
      <c r="AS144" s="60"/>
      <c r="AT144" s="60"/>
      <c r="AU144" s="60"/>
      <c r="AV144" s="60"/>
      <c r="AW144" s="60"/>
      <c r="AX144" s="60"/>
      <c r="AY144" s="60"/>
      <c r="AZ144" s="60"/>
      <c r="BA144" s="60"/>
      <c r="BB144" s="60"/>
      <c r="BC144" s="60"/>
      <c r="BD144" s="60"/>
      <c r="BE144" s="60"/>
      <c r="BF144" s="60"/>
      <c r="BG144" s="60"/>
      <c r="BH144" s="60"/>
      <c r="BI144" s="60"/>
      <c r="BJ144" s="60"/>
      <c r="BK144" s="60"/>
      <c r="BL144" s="60"/>
      <c r="BM144" s="60"/>
    </row>
    <row r="145" spans="1:65" s="51" customFormat="1" ht="30" customHeight="1" thickBot="1" x14ac:dyDescent="0.35">
      <c r="A145" s="46"/>
      <c r="B145" s="70"/>
      <c r="C145" s="69"/>
      <c r="D145" s="68"/>
      <c r="E145" s="67"/>
      <c r="F145" s="67"/>
      <c r="G145" s="61"/>
      <c r="H145" s="61" t="str">
        <f t="shared" si="7"/>
        <v/>
      </c>
      <c r="I145" s="66"/>
      <c r="J145" s="60"/>
      <c r="K145" s="60"/>
      <c r="L145" s="60"/>
      <c r="M145" s="60"/>
      <c r="N145" s="60"/>
      <c r="O145" s="60"/>
      <c r="P145" s="60"/>
      <c r="Q145" s="60"/>
      <c r="R145" s="60"/>
      <c r="S145" s="60"/>
      <c r="T145" s="60"/>
      <c r="U145" s="60"/>
      <c r="V145" s="60"/>
      <c r="W145" s="60"/>
      <c r="X145" s="60"/>
      <c r="Y145" s="60"/>
      <c r="Z145" s="60"/>
      <c r="AA145" s="60"/>
      <c r="AB145" s="60"/>
      <c r="AC145" s="60"/>
      <c r="AD145" s="60"/>
      <c r="AE145" s="60"/>
      <c r="AF145" s="60"/>
      <c r="AG145" s="60"/>
      <c r="AH145" s="60"/>
      <c r="AI145" s="60"/>
      <c r="AJ145" s="60"/>
      <c r="AK145" s="60"/>
      <c r="AL145" s="60"/>
      <c r="AM145" s="60"/>
      <c r="AN145" s="60"/>
      <c r="AO145" s="60"/>
      <c r="AP145" s="60"/>
      <c r="AQ145" s="60"/>
      <c r="AR145" s="60"/>
      <c r="AS145" s="60"/>
      <c r="AT145" s="60"/>
      <c r="AU145" s="60"/>
      <c r="AV145" s="60"/>
      <c r="AW145" s="60"/>
      <c r="AX145" s="60"/>
      <c r="AY145" s="60"/>
      <c r="AZ145" s="60"/>
      <c r="BA145" s="60"/>
      <c r="BB145" s="60"/>
      <c r="BC145" s="60"/>
      <c r="BD145" s="60"/>
      <c r="BE145" s="60"/>
      <c r="BF145" s="60"/>
      <c r="BG145" s="60"/>
      <c r="BH145" s="60"/>
      <c r="BI145" s="60"/>
      <c r="BJ145" s="60"/>
      <c r="BK145" s="60"/>
      <c r="BL145" s="60"/>
      <c r="BM145" s="60"/>
    </row>
    <row r="146" spans="1:65" s="51" customFormat="1" ht="30" customHeight="1" thickBot="1" x14ac:dyDescent="0.35">
      <c r="A146" s="46"/>
      <c r="B146" s="70"/>
      <c r="C146" s="69"/>
      <c r="D146" s="68"/>
      <c r="E146" s="67"/>
      <c r="F146" s="67"/>
      <c r="G146" s="61"/>
      <c r="H146" s="61" t="str">
        <f t="shared" si="7"/>
        <v/>
      </c>
      <c r="I146" s="66"/>
      <c r="J146" s="60"/>
      <c r="K146" s="60"/>
      <c r="L146" s="60"/>
      <c r="M146" s="60"/>
      <c r="N146" s="60"/>
      <c r="O146" s="60"/>
      <c r="P146" s="60"/>
      <c r="Q146" s="60"/>
      <c r="R146" s="60"/>
      <c r="S146" s="60"/>
      <c r="T146" s="60"/>
      <c r="U146" s="60"/>
      <c r="V146" s="60"/>
      <c r="W146" s="60"/>
      <c r="X146" s="60"/>
      <c r="Y146" s="60"/>
      <c r="Z146" s="60"/>
      <c r="AA146" s="60"/>
      <c r="AB146" s="60"/>
      <c r="AC146" s="60"/>
      <c r="AD146" s="60"/>
      <c r="AE146" s="60"/>
      <c r="AF146" s="60"/>
      <c r="AG146" s="60"/>
      <c r="AH146" s="60"/>
      <c r="AI146" s="60"/>
      <c r="AJ146" s="60"/>
      <c r="AK146" s="60"/>
      <c r="AL146" s="60"/>
      <c r="AM146" s="60"/>
      <c r="AN146" s="60"/>
      <c r="AO146" s="60"/>
      <c r="AP146" s="60"/>
      <c r="AQ146" s="60"/>
      <c r="AR146" s="60"/>
      <c r="AS146" s="60"/>
      <c r="AT146" s="60"/>
      <c r="AU146" s="60"/>
      <c r="AV146" s="60"/>
      <c r="AW146" s="60"/>
      <c r="AX146" s="60"/>
      <c r="AY146" s="60"/>
      <c r="AZ146" s="60"/>
      <c r="BA146" s="60"/>
      <c r="BB146" s="60"/>
      <c r="BC146" s="60"/>
      <c r="BD146" s="60"/>
      <c r="BE146" s="60"/>
      <c r="BF146" s="60"/>
      <c r="BG146" s="60"/>
      <c r="BH146" s="60"/>
      <c r="BI146" s="60"/>
      <c r="BJ146" s="60"/>
      <c r="BK146" s="60"/>
      <c r="BL146" s="60"/>
      <c r="BM146" s="60"/>
    </row>
    <row r="147" spans="1:65" s="51" customFormat="1" ht="30" customHeight="1" thickBot="1" x14ac:dyDescent="0.35">
      <c r="A147" s="46"/>
      <c r="B147" s="70"/>
      <c r="C147" s="69"/>
      <c r="D147" s="68"/>
      <c r="E147" s="67"/>
      <c r="F147" s="67"/>
      <c r="G147" s="61"/>
      <c r="H147" s="61" t="str">
        <f t="shared" si="7"/>
        <v/>
      </c>
      <c r="I147" s="66"/>
      <c r="J147" s="60"/>
      <c r="K147" s="60"/>
      <c r="L147" s="60"/>
      <c r="M147" s="60"/>
      <c r="N147" s="60"/>
      <c r="O147" s="60"/>
      <c r="P147" s="60"/>
      <c r="Q147" s="60"/>
      <c r="R147" s="60"/>
      <c r="S147" s="60"/>
      <c r="T147" s="60"/>
      <c r="U147" s="60"/>
      <c r="V147" s="60"/>
      <c r="W147" s="60"/>
      <c r="X147" s="60"/>
      <c r="Y147" s="60"/>
      <c r="Z147" s="60"/>
      <c r="AA147" s="60"/>
      <c r="AB147" s="60"/>
      <c r="AC147" s="60"/>
      <c r="AD147" s="60"/>
      <c r="AE147" s="60"/>
      <c r="AF147" s="60"/>
      <c r="AG147" s="60"/>
      <c r="AH147" s="60"/>
      <c r="AI147" s="60"/>
      <c r="AJ147" s="60"/>
      <c r="AK147" s="60"/>
      <c r="AL147" s="60"/>
      <c r="AM147" s="60"/>
      <c r="AN147" s="60"/>
      <c r="AO147" s="60"/>
      <c r="AP147" s="60"/>
      <c r="AQ147" s="60"/>
      <c r="AR147" s="60"/>
      <c r="AS147" s="60"/>
      <c r="AT147" s="60"/>
      <c r="AU147" s="60"/>
      <c r="AV147" s="60"/>
      <c r="AW147" s="60"/>
      <c r="AX147" s="60"/>
      <c r="AY147" s="60"/>
      <c r="AZ147" s="60"/>
      <c r="BA147" s="60"/>
      <c r="BB147" s="60"/>
      <c r="BC147" s="60"/>
      <c r="BD147" s="60"/>
      <c r="BE147" s="60"/>
      <c r="BF147" s="60"/>
      <c r="BG147" s="60"/>
      <c r="BH147" s="60"/>
      <c r="BI147" s="60"/>
      <c r="BJ147" s="60"/>
      <c r="BK147" s="60"/>
      <c r="BL147" s="60"/>
      <c r="BM147" s="60"/>
    </row>
    <row r="148" spans="1:65" s="51" customFormat="1" ht="30" customHeight="1" thickBot="1" x14ac:dyDescent="0.35">
      <c r="A148" s="46"/>
      <c r="B148" s="70"/>
      <c r="C148" s="69"/>
      <c r="D148" s="68"/>
      <c r="E148" s="67"/>
      <c r="F148" s="67"/>
      <c r="G148" s="61"/>
      <c r="H148" s="61" t="str">
        <f t="shared" ref="H148:H182" si="8">IF(OR(ISBLANK(task_start),ISBLANK(task_end)),"",task_end-task_start+1)</f>
        <v/>
      </c>
      <c r="I148" s="66"/>
      <c r="J148" s="60"/>
      <c r="K148" s="60"/>
      <c r="L148" s="60"/>
      <c r="M148" s="60"/>
      <c r="N148" s="60"/>
      <c r="O148" s="60"/>
      <c r="P148" s="60"/>
      <c r="Q148" s="60"/>
      <c r="R148" s="60"/>
      <c r="S148" s="60"/>
      <c r="T148" s="60"/>
      <c r="U148" s="60"/>
      <c r="V148" s="60"/>
      <c r="W148" s="60"/>
      <c r="X148" s="60"/>
      <c r="Y148" s="60"/>
      <c r="Z148" s="60"/>
      <c r="AA148" s="60"/>
      <c r="AB148" s="60"/>
      <c r="AC148" s="60"/>
      <c r="AD148" s="60"/>
      <c r="AE148" s="60"/>
      <c r="AF148" s="60"/>
      <c r="AG148" s="60"/>
      <c r="AH148" s="60"/>
      <c r="AI148" s="60"/>
      <c r="AJ148" s="60"/>
      <c r="AK148" s="60"/>
      <c r="AL148" s="60"/>
      <c r="AM148" s="60"/>
      <c r="AN148" s="60"/>
      <c r="AO148" s="60"/>
      <c r="AP148" s="60"/>
      <c r="AQ148" s="60"/>
      <c r="AR148" s="60"/>
      <c r="AS148" s="60"/>
      <c r="AT148" s="60"/>
      <c r="AU148" s="60"/>
      <c r="AV148" s="60"/>
      <c r="AW148" s="60"/>
      <c r="AX148" s="60"/>
      <c r="AY148" s="60"/>
      <c r="AZ148" s="60"/>
      <c r="BA148" s="60"/>
      <c r="BB148" s="60"/>
      <c r="BC148" s="60"/>
      <c r="BD148" s="60"/>
      <c r="BE148" s="60"/>
      <c r="BF148" s="60"/>
      <c r="BG148" s="60"/>
      <c r="BH148" s="60"/>
      <c r="BI148" s="60"/>
      <c r="BJ148" s="60"/>
      <c r="BK148" s="60"/>
      <c r="BL148" s="60"/>
      <c r="BM148" s="60"/>
    </row>
    <row r="149" spans="1:65" s="51" customFormat="1" ht="30" customHeight="1" thickBot="1" x14ac:dyDescent="0.35">
      <c r="A149" s="46"/>
      <c r="B149" s="70"/>
      <c r="C149" s="69"/>
      <c r="D149" s="68"/>
      <c r="E149" s="67"/>
      <c r="F149" s="67"/>
      <c r="G149" s="61"/>
      <c r="H149" s="61" t="str">
        <f t="shared" si="8"/>
        <v/>
      </c>
      <c r="I149" s="66"/>
      <c r="J149" s="60"/>
      <c r="K149" s="60"/>
      <c r="L149" s="60"/>
      <c r="M149" s="60"/>
      <c r="N149" s="60"/>
      <c r="O149" s="60"/>
      <c r="P149" s="60"/>
      <c r="Q149" s="60"/>
      <c r="R149" s="60"/>
      <c r="S149" s="60"/>
      <c r="T149" s="60"/>
      <c r="U149" s="60"/>
      <c r="V149" s="60"/>
      <c r="W149" s="60"/>
      <c r="X149" s="60"/>
      <c r="Y149" s="60"/>
      <c r="Z149" s="60"/>
      <c r="AA149" s="60"/>
      <c r="AB149" s="60"/>
      <c r="AC149" s="60"/>
      <c r="AD149" s="60"/>
      <c r="AE149" s="60"/>
      <c r="AF149" s="60"/>
      <c r="AG149" s="60"/>
      <c r="AH149" s="60"/>
      <c r="AI149" s="60"/>
      <c r="AJ149" s="60"/>
      <c r="AK149" s="60"/>
      <c r="AL149" s="60"/>
      <c r="AM149" s="60"/>
      <c r="AN149" s="60"/>
      <c r="AO149" s="60"/>
      <c r="AP149" s="60"/>
      <c r="AQ149" s="60"/>
      <c r="AR149" s="60"/>
      <c r="AS149" s="60"/>
      <c r="AT149" s="60"/>
      <c r="AU149" s="60"/>
      <c r="AV149" s="60"/>
      <c r="AW149" s="60"/>
      <c r="AX149" s="60"/>
      <c r="AY149" s="60"/>
      <c r="AZ149" s="60"/>
      <c r="BA149" s="60"/>
      <c r="BB149" s="60"/>
      <c r="BC149" s="60"/>
      <c r="BD149" s="60"/>
      <c r="BE149" s="60"/>
      <c r="BF149" s="60"/>
      <c r="BG149" s="60"/>
      <c r="BH149" s="60"/>
      <c r="BI149" s="60"/>
      <c r="BJ149" s="60"/>
      <c r="BK149" s="60"/>
      <c r="BL149" s="60"/>
      <c r="BM149" s="60"/>
    </row>
    <row r="150" spans="1:65" s="51" customFormat="1" ht="30" customHeight="1" thickBot="1" x14ac:dyDescent="0.35">
      <c r="A150" s="46"/>
      <c r="B150" s="70"/>
      <c r="C150" s="69"/>
      <c r="D150" s="68"/>
      <c r="E150" s="67"/>
      <c r="F150" s="67"/>
      <c r="G150" s="61"/>
      <c r="H150" s="61" t="str">
        <f t="shared" si="8"/>
        <v/>
      </c>
      <c r="I150" s="66"/>
      <c r="J150" s="60"/>
      <c r="K150" s="60"/>
      <c r="L150" s="60"/>
      <c r="M150" s="60"/>
      <c r="N150" s="60"/>
      <c r="O150" s="60"/>
      <c r="P150" s="60"/>
      <c r="Q150" s="60"/>
      <c r="R150" s="60"/>
      <c r="S150" s="60"/>
      <c r="T150" s="60"/>
      <c r="U150" s="60"/>
      <c r="V150" s="60"/>
      <c r="W150" s="60"/>
      <c r="X150" s="60"/>
      <c r="Y150" s="60"/>
      <c r="Z150" s="60"/>
      <c r="AA150" s="60"/>
      <c r="AB150" s="60"/>
      <c r="AC150" s="60"/>
      <c r="AD150" s="60"/>
      <c r="AE150" s="60"/>
      <c r="AF150" s="60"/>
      <c r="AG150" s="60"/>
      <c r="AH150" s="60"/>
      <c r="AI150" s="60"/>
      <c r="AJ150" s="60"/>
      <c r="AK150" s="60"/>
      <c r="AL150" s="60"/>
      <c r="AM150" s="60"/>
      <c r="AN150" s="60"/>
      <c r="AO150" s="60"/>
      <c r="AP150" s="60"/>
      <c r="AQ150" s="60"/>
      <c r="AR150" s="60"/>
      <c r="AS150" s="60"/>
      <c r="AT150" s="60"/>
      <c r="AU150" s="60"/>
      <c r="AV150" s="60"/>
      <c r="AW150" s="60"/>
      <c r="AX150" s="60"/>
      <c r="AY150" s="60"/>
      <c r="AZ150" s="60"/>
      <c r="BA150" s="60"/>
      <c r="BB150" s="60"/>
      <c r="BC150" s="60"/>
      <c r="BD150" s="60"/>
      <c r="BE150" s="60"/>
      <c r="BF150" s="60"/>
      <c r="BG150" s="60"/>
      <c r="BH150" s="60"/>
      <c r="BI150" s="60"/>
      <c r="BJ150" s="60"/>
      <c r="BK150" s="60"/>
      <c r="BL150" s="60"/>
      <c r="BM150" s="60"/>
    </row>
    <row r="151" spans="1:65" s="51" customFormat="1" ht="30" customHeight="1" thickBot="1" x14ac:dyDescent="0.35">
      <c r="A151" s="46"/>
      <c r="B151" s="70"/>
      <c r="C151" s="69"/>
      <c r="D151" s="68"/>
      <c r="E151" s="67"/>
      <c r="F151" s="67"/>
      <c r="G151" s="61"/>
      <c r="H151" s="61" t="str">
        <f t="shared" si="8"/>
        <v/>
      </c>
      <c r="I151" s="66"/>
      <c r="J151" s="60"/>
      <c r="K151" s="60"/>
      <c r="L151" s="60"/>
      <c r="M151" s="60"/>
      <c r="N151" s="60"/>
      <c r="O151" s="60"/>
      <c r="P151" s="60"/>
      <c r="Q151" s="60"/>
      <c r="R151" s="60"/>
      <c r="S151" s="60"/>
      <c r="T151" s="60"/>
      <c r="U151" s="60"/>
      <c r="V151" s="60"/>
      <c r="W151" s="60"/>
      <c r="X151" s="60"/>
      <c r="Y151" s="60"/>
      <c r="Z151" s="60"/>
      <c r="AA151" s="60"/>
      <c r="AB151" s="60"/>
      <c r="AC151" s="60"/>
      <c r="AD151" s="60"/>
      <c r="AE151" s="60"/>
      <c r="AF151" s="60"/>
      <c r="AG151" s="60"/>
      <c r="AH151" s="60"/>
      <c r="AI151" s="60"/>
      <c r="AJ151" s="60"/>
      <c r="AK151" s="60"/>
      <c r="AL151" s="60"/>
      <c r="AM151" s="60"/>
      <c r="AN151" s="60"/>
      <c r="AO151" s="60"/>
      <c r="AP151" s="60"/>
      <c r="AQ151" s="60"/>
      <c r="AR151" s="60"/>
      <c r="AS151" s="60"/>
      <c r="AT151" s="60"/>
      <c r="AU151" s="60"/>
      <c r="AV151" s="60"/>
      <c r="AW151" s="60"/>
      <c r="AX151" s="60"/>
      <c r="AY151" s="60"/>
      <c r="AZ151" s="60"/>
      <c r="BA151" s="60"/>
      <c r="BB151" s="60"/>
      <c r="BC151" s="60"/>
      <c r="BD151" s="60"/>
      <c r="BE151" s="60"/>
      <c r="BF151" s="60"/>
      <c r="BG151" s="60"/>
      <c r="BH151" s="60"/>
      <c r="BI151" s="60"/>
      <c r="BJ151" s="60"/>
      <c r="BK151" s="60"/>
      <c r="BL151" s="60"/>
      <c r="BM151" s="60"/>
    </row>
    <row r="152" spans="1:65" s="51" customFormat="1" ht="30" customHeight="1" thickBot="1" x14ac:dyDescent="0.35">
      <c r="A152" s="46"/>
      <c r="B152" s="70"/>
      <c r="C152" s="69"/>
      <c r="D152" s="68"/>
      <c r="E152" s="67"/>
      <c r="F152" s="67"/>
      <c r="G152" s="61"/>
      <c r="H152" s="61" t="str">
        <f t="shared" si="8"/>
        <v/>
      </c>
      <c r="I152" s="66"/>
      <c r="J152" s="60"/>
      <c r="K152" s="60"/>
      <c r="L152" s="60"/>
      <c r="M152" s="60"/>
      <c r="N152" s="60"/>
      <c r="O152" s="60"/>
      <c r="P152" s="60"/>
      <c r="Q152" s="60"/>
      <c r="R152" s="60"/>
      <c r="S152" s="60"/>
      <c r="T152" s="60"/>
      <c r="U152" s="60"/>
      <c r="V152" s="60"/>
      <c r="W152" s="60"/>
      <c r="X152" s="60"/>
      <c r="Y152" s="60"/>
      <c r="Z152" s="60"/>
      <c r="AA152" s="60"/>
      <c r="AB152" s="60"/>
      <c r="AC152" s="60"/>
      <c r="AD152" s="60"/>
      <c r="AE152" s="60"/>
      <c r="AF152" s="60"/>
      <c r="AG152" s="60"/>
      <c r="AH152" s="60"/>
      <c r="AI152" s="60"/>
      <c r="AJ152" s="60"/>
      <c r="AK152" s="60"/>
      <c r="AL152" s="60"/>
      <c r="AM152" s="60"/>
      <c r="AN152" s="60"/>
      <c r="AO152" s="60"/>
      <c r="AP152" s="60"/>
      <c r="AQ152" s="60"/>
      <c r="AR152" s="60"/>
      <c r="AS152" s="60"/>
      <c r="AT152" s="60"/>
      <c r="AU152" s="60"/>
      <c r="AV152" s="60"/>
      <c r="AW152" s="60"/>
      <c r="AX152" s="60"/>
      <c r="AY152" s="60"/>
      <c r="AZ152" s="60"/>
      <c r="BA152" s="60"/>
      <c r="BB152" s="60"/>
      <c r="BC152" s="60"/>
      <c r="BD152" s="60"/>
      <c r="BE152" s="60"/>
      <c r="BF152" s="60"/>
      <c r="BG152" s="60"/>
      <c r="BH152" s="60"/>
      <c r="BI152" s="60"/>
      <c r="BJ152" s="60"/>
      <c r="BK152" s="60"/>
      <c r="BL152" s="60"/>
      <c r="BM152" s="60"/>
    </row>
    <row r="153" spans="1:65" s="51" customFormat="1" ht="30" customHeight="1" thickBot="1" x14ac:dyDescent="0.35">
      <c r="A153" s="46"/>
      <c r="B153" s="70"/>
      <c r="C153" s="69"/>
      <c r="D153" s="68"/>
      <c r="E153" s="67"/>
      <c r="F153" s="67"/>
      <c r="G153" s="61"/>
      <c r="H153" s="61" t="str">
        <f t="shared" si="8"/>
        <v/>
      </c>
      <c r="I153" s="66"/>
      <c r="J153" s="60"/>
      <c r="K153" s="60"/>
      <c r="L153" s="60"/>
      <c r="M153" s="60"/>
      <c r="N153" s="60"/>
      <c r="O153" s="60"/>
      <c r="P153" s="60"/>
      <c r="Q153" s="60"/>
      <c r="R153" s="60"/>
      <c r="S153" s="60"/>
      <c r="T153" s="60"/>
      <c r="U153" s="60"/>
      <c r="V153" s="60"/>
      <c r="W153" s="60"/>
      <c r="X153" s="60"/>
      <c r="Y153" s="60"/>
      <c r="Z153" s="60"/>
      <c r="AA153" s="60"/>
      <c r="AB153" s="60"/>
      <c r="AC153" s="60"/>
      <c r="AD153" s="60"/>
      <c r="AE153" s="60"/>
      <c r="AF153" s="60"/>
      <c r="AG153" s="60"/>
      <c r="AH153" s="60"/>
      <c r="AI153" s="60"/>
      <c r="AJ153" s="60"/>
      <c r="AK153" s="60"/>
      <c r="AL153" s="60"/>
      <c r="AM153" s="60"/>
      <c r="AN153" s="60"/>
      <c r="AO153" s="60"/>
      <c r="AP153" s="60"/>
      <c r="AQ153" s="60"/>
      <c r="AR153" s="60"/>
      <c r="AS153" s="60"/>
      <c r="AT153" s="60"/>
      <c r="AU153" s="60"/>
      <c r="AV153" s="60"/>
      <c r="AW153" s="60"/>
      <c r="AX153" s="60"/>
      <c r="AY153" s="60"/>
      <c r="AZ153" s="60"/>
      <c r="BA153" s="60"/>
      <c r="BB153" s="60"/>
      <c r="BC153" s="60"/>
      <c r="BD153" s="60"/>
      <c r="BE153" s="60"/>
      <c r="BF153" s="60"/>
      <c r="BG153" s="60"/>
      <c r="BH153" s="60"/>
      <c r="BI153" s="60"/>
      <c r="BJ153" s="60"/>
      <c r="BK153" s="60"/>
      <c r="BL153" s="60"/>
      <c r="BM153" s="60"/>
    </row>
    <row r="154" spans="1:65" s="51" customFormat="1" ht="30" customHeight="1" thickBot="1" x14ac:dyDescent="0.35">
      <c r="A154" s="46"/>
      <c r="B154" s="70"/>
      <c r="C154" s="69"/>
      <c r="D154" s="68"/>
      <c r="E154" s="67"/>
      <c r="F154" s="67"/>
      <c r="G154" s="61"/>
      <c r="H154" s="61" t="str">
        <f t="shared" si="8"/>
        <v/>
      </c>
      <c r="I154" s="66"/>
      <c r="J154" s="60"/>
      <c r="K154" s="60"/>
      <c r="L154" s="60"/>
      <c r="M154" s="60"/>
      <c r="N154" s="60"/>
      <c r="O154" s="60"/>
      <c r="P154" s="60"/>
      <c r="Q154" s="60"/>
      <c r="R154" s="60"/>
      <c r="S154" s="60"/>
      <c r="T154" s="60"/>
      <c r="U154" s="60"/>
      <c r="V154" s="60"/>
      <c r="W154" s="60"/>
      <c r="X154" s="60"/>
      <c r="Y154" s="60"/>
      <c r="Z154" s="60"/>
      <c r="AA154" s="60"/>
      <c r="AB154" s="60"/>
      <c r="AC154" s="60"/>
      <c r="AD154" s="60"/>
      <c r="AE154" s="60"/>
      <c r="AF154" s="60"/>
      <c r="AG154" s="60"/>
      <c r="AH154" s="60"/>
      <c r="AI154" s="60"/>
      <c r="AJ154" s="60"/>
      <c r="AK154" s="60"/>
      <c r="AL154" s="60"/>
      <c r="AM154" s="60"/>
      <c r="AN154" s="60"/>
      <c r="AO154" s="60"/>
      <c r="AP154" s="60"/>
      <c r="AQ154" s="60"/>
      <c r="AR154" s="60"/>
      <c r="AS154" s="60"/>
      <c r="AT154" s="60"/>
      <c r="AU154" s="60"/>
      <c r="AV154" s="60"/>
      <c r="AW154" s="60"/>
      <c r="AX154" s="60"/>
      <c r="AY154" s="60"/>
      <c r="AZ154" s="60"/>
      <c r="BA154" s="60"/>
      <c r="BB154" s="60"/>
      <c r="BC154" s="60"/>
      <c r="BD154" s="60"/>
      <c r="BE154" s="60"/>
      <c r="BF154" s="60"/>
      <c r="BG154" s="60"/>
      <c r="BH154" s="60"/>
      <c r="BI154" s="60"/>
      <c r="BJ154" s="60"/>
      <c r="BK154" s="60"/>
      <c r="BL154" s="60"/>
      <c r="BM154" s="60"/>
    </row>
    <row r="155" spans="1:65" s="51" customFormat="1" ht="30" customHeight="1" thickBot="1" x14ac:dyDescent="0.35">
      <c r="A155" s="46"/>
      <c r="B155" s="70"/>
      <c r="C155" s="69"/>
      <c r="D155" s="68"/>
      <c r="E155" s="67"/>
      <c r="F155" s="67"/>
      <c r="G155" s="61"/>
      <c r="H155" s="61" t="str">
        <f t="shared" si="8"/>
        <v/>
      </c>
      <c r="I155" s="66"/>
      <c r="J155" s="60"/>
      <c r="K155" s="60"/>
      <c r="L155" s="60"/>
      <c r="M155" s="60"/>
      <c r="N155" s="60"/>
      <c r="O155" s="60"/>
      <c r="P155" s="60"/>
      <c r="Q155" s="60"/>
      <c r="R155" s="60"/>
      <c r="S155" s="60"/>
      <c r="T155" s="60"/>
      <c r="U155" s="60"/>
      <c r="V155" s="60"/>
      <c r="W155" s="60"/>
      <c r="X155" s="60"/>
      <c r="Y155" s="60"/>
      <c r="Z155" s="60"/>
      <c r="AA155" s="60"/>
      <c r="AB155" s="60"/>
      <c r="AC155" s="60"/>
      <c r="AD155" s="60"/>
      <c r="AE155" s="60"/>
      <c r="AF155" s="60"/>
      <c r="AG155" s="60"/>
      <c r="AH155" s="60"/>
      <c r="AI155" s="60"/>
      <c r="AJ155" s="60"/>
      <c r="AK155" s="60"/>
      <c r="AL155" s="60"/>
      <c r="AM155" s="60"/>
      <c r="AN155" s="60"/>
      <c r="AO155" s="60"/>
      <c r="AP155" s="60"/>
      <c r="AQ155" s="60"/>
      <c r="AR155" s="60"/>
      <c r="AS155" s="60"/>
      <c r="AT155" s="60"/>
      <c r="AU155" s="60"/>
      <c r="AV155" s="60"/>
      <c r="AW155" s="60"/>
      <c r="AX155" s="60"/>
      <c r="AY155" s="60"/>
      <c r="AZ155" s="60"/>
      <c r="BA155" s="60"/>
      <c r="BB155" s="60"/>
      <c r="BC155" s="60"/>
      <c r="BD155" s="60"/>
      <c r="BE155" s="60"/>
      <c r="BF155" s="60"/>
      <c r="BG155" s="60"/>
      <c r="BH155" s="60"/>
      <c r="BI155" s="60"/>
      <c r="BJ155" s="60"/>
      <c r="BK155" s="60"/>
      <c r="BL155" s="60"/>
      <c r="BM155" s="60"/>
    </row>
    <row r="156" spans="1:65" s="51" customFormat="1" ht="30" customHeight="1" thickBot="1" x14ac:dyDescent="0.35">
      <c r="A156" s="46"/>
      <c r="B156" s="70"/>
      <c r="C156" s="69"/>
      <c r="D156" s="68"/>
      <c r="E156" s="67"/>
      <c r="F156" s="67"/>
      <c r="G156" s="61"/>
      <c r="H156" s="61" t="str">
        <f t="shared" si="8"/>
        <v/>
      </c>
      <c r="I156" s="66"/>
      <c r="J156" s="60"/>
      <c r="K156" s="60"/>
      <c r="L156" s="60"/>
      <c r="M156" s="60"/>
      <c r="N156" s="60"/>
      <c r="O156" s="60"/>
      <c r="P156" s="60"/>
      <c r="Q156" s="60"/>
      <c r="R156" s="60"/>
      <c r="S156" s="60"/>
      <c r="T156" s="60"/>
      <c r="U156" s="60"/>
      <c r="V156" s="60"/>
      <c r="W156" s="60"/>
      <c r="X156" s="60"/>
      <c r="Y156" s="60"/>
      <c r="Z156" s="60"/>
      <c r="AA156" s="60"/>
      <c r="AB156" s="60"/>
      <c r="AC156" s="60"/>
      <c r="AD156" s="60"/>
      <c r="AE156" s="60"/>
      <c r="AF156" s="60"/>
      <c r="AG156" s="60"/>
      <c r="AH156" s="60"/>
      <c r="AI156" s="60"/>
      <c r="AJ156" s="60"/>
      <c r="AK156" s="60"/>
      <c r="AL156" s="60"/>
      <c r="AM156" s="60"/>
      <c r="AN156" s="60"/>
      <c r="AO156" s="60"/>
      <c r="AP156" s="60"/>
      <c r="AQ156" s="60"/>
      <c r="AR156" s="60"/>
      <c r="AS156" s="60"/>
      <c r="AT156" s="60"/>
      <c r="AU156" s="60"/>
      <c r="AV156" s="60"/>
      <c r="AW156" s="60"/>
      <c r="AX156" s="60"/>
      <c r="AY156" s="60"/>
      <c r="AZ156" s="60"/>
      <c r="BA156" s="60"/>
      <c r="BB156" s="60"/>
      <c r="BC156" s="60"/>
      <c r="BD156" s="60"/>
      <c r="BE156" s="60"/>
      <c r="BF156" s="60"/>
      <c r="BG156" s="60"/>
      <c r="BH156" s="60"/>
      <c r="BI156" s="60"/>
      <c r="BJ156" s="60"/>
      <c r="BK156" s="60"/>
      <c r="BL156" s="60"/>
      <c r="BM156" s="60"/>
    </row>
    <row r="157" spans="1:65" s="51" customFormat="1" ht="30" customHeight="1" thickBot="1" x14ac:dyDescent="0.35">
      <c r="A157" s="46"/>
      <c r="B157" s="70"/>
      <c r="C157" s="69"/>
      <c r="D157" s="68"/>
      <c r="E157" s="67"/>
      <c r="F157" s="67"/>
      <c r="G157" s="61"/>
      <c r="H157" s="61" t="str">
        <f t="shared" si="8"/>
        <v/>
      </c>
      <c r="I157" s="66"/>
      <c r="J157" s="60"/>
      <c r="K157" s="60"/>
      <c r="L157" s="60"/>
      <c r="M157" s="60"/>
      <c r="N157" s="60"/>
      <c r="O157" s="60"/>
      <c r="P157" s="60"/>
      <c r="Q157" s="60"/>
      <c r="R157" s="60"/>
      <c r="S157" s="60"/>
      <c r="T157" s="60"/>
      <c r="U157" s="60"/>
      <c r="V157" s="60"/>
      <c r="W157" s="60"/>
      <c r="X157" s="60"/>
      <c r="Y157" s="60"/>
      <c r="Z157" s="60"/>
      <c r="AA157" s="60"/>
      <c r="AB157" s="60"/>
      <c r="AC157" s="60"/>
      <c r="AD157" s="60"/>
      <c r="AE157" s="60"/>
      <c r="AF157" s="60"/>
      <c r="AG157" s="60"/>
      <c r="AH157" s="60"/>
      <c r="AI157" s="60"/>
      <c r="AJ157" s="60"/>
      <c r="AK157" s="60"/>
      <c r="AL157" s="60"/>
      <c r="AM157" s="60"/>
      <c r="AN157" s="60"/>
      <c r="AO157" s="60"/>
      <c r="AP157" s="60"/>
      <c r="AQ157" s="60"/>
      <c r="AR157" s="60"/>
      <c r="AS157" s="60"/>
      <c r="AT157" s="60"/>
      <c r="AU157" s="60"/>
      <c r="AV157" s="60"/>
      <c r="AW157" s="60"/>
      <c r="AX157" s="60"/>
      <c r="AY157" s="60"/>
      <c r="AZ157" s="60"/>
      <c r="BA157" s="60"/>
      <c r="BB157" s="60"/>
      <c r="BC157" s="60"/>
      <c r="BD157" s="60"/>
      <c r="BE157" s="60"/>
      <c r="BF157" s="60"/>
      <c r="BG157" s="60"/>
      <c r="BH157" s="60"/>
      <c r="BI157" s="60"/>
      <c r="BJ157" s="60"/>
      <c r="BK157" s="60"/>
      <c r="BL157" s="60"/>
      <c r="BM157" s="60"/>
    </row>
    <row r="158" spans="1:65" s="51" customFormat="1" ht="30" customHeight="1" thickBot="1" x14ac:dyDescent="0.35">
      <c r="A158" s="46"/>
      <c r="B158" s="70"/>
      <c r="C158" s="69"/>
      <c r="D158" s="68"/>
      <c r="E158" s="67"/>
      <c r="F158" s="67"/>
      <c r="G158" s="61"/>
      <c r="H158" s="61" t="str">
        <f t="shared" si="8"/>
        <v/>
      </c>
      <c r="I158" s="66"/>
      <c r="J158" s="60"/>
      <c r="K158" s="60"/>
      <c r="L158" s="60"/>
      <c r="M158" s="60"/>
      <c r="N158" s="60"/>
      <c r="O158" s="60"/>
      <c r="P158" s="60"/>
      <c r="Q158" s="60"/>
      <c r="R158" s="60"/>
      <c r="S158" s="60"/>
      <c r="T158" s="60"/>
      <c r="U158" s="60"/>
      <c r="V158" s="60"/>
      <c r="W158" s="60"/>
      <c r="X158" s="60"/>
      <c r="Y158" s="60"/>
      <c r="Z158" s="60"/>
      <c r="AA158" s="60"/>
      <c r="AB158" s="60"/>
      <c r="AC158" s="60"/>
      <c r="AD158" s="60"/>
      <c r="AE158" s="60"/>
      <c r="AF158" s="60"/>
      <c r="AG158" s="60"/>
      <c r="AH158" s="60"/>
      <c r="AI158" s="60"/>
      <c r="AJ158" s="60"/>
      <c r="AK158" s="60"/>
      <c r="AL158" s="60"/>
      <c r="AM158" s="60"/>
      <c r="AN158" s="60"/>
      <c r="AO158" s="60"/>
      <c r="AP158" s="60"/>
      <c r="AQ158" s="60"/>
      <c r="AR158" s="60"/>
      <c r="AS158" s="60"/>
      <c r="AT158" s="60"/>
      <c r="AU158" s="60"/>
      <c r="AV158" s="60"/>
      <c r="AW158" s="60"/>
      <c r="AX158" s="60"/>
      <c r="AY158" s="60"/>
      <c r="AZ158" s="60"/>
      <c r="BA158" s="60"/>
      <c r="BB158" s="60"/>
      <c r="BC158" s="60"/>
      <c r="BD158" s="60"/>
      <c r="BE158" s="60"/>
      <c r="BF158" s="60"/>
      <c r="BG158" s="60"/>
      <c r="BH158" s="60"/>
      <c r="BI158" s="60"/>
      <c r="BJ158" s="60"/>
      <c r="BK158" s="60"/>
      <c r="BL158" s="60"/>
      <c r="BM158" s="60"/>
    </row>
    <row r="159" spans="1:65" s="51" customFormat="1" ht="30" customHeight="1" thickBot="1" x14ac:dyDescent="0.35">
      <c r="A159" s="46"/>
      <c r="B159" s="70"/>
      <c r="C159" s="69"/>
      <c r="D159" s="68"/>
      <c r="E159" s="67"/>
      <c r="F159" s="67"/>
      <c r="G159" s="61"/>
      <c r="H159" s="61" t="str">
        <f t="shared" si="8"/>
        <v/>
      </c>
      <c r="I159" s="66"/>
      <c r="J159" s="60"/>
      <c r="K159" s="60"/>
      <c r="L159" s="60"/>
      <c r="M159" s="60"/>
      <c r="N159" s="60"/>
      <c r="O159" s="60"/>
      <c r="P159" s="60"/>
      <c r="Q159" s="60"/>
      <c r="R159" s="60"/>
      <c r="S159" s="60"/>
      <c r="T159" s="60"/>
      <c r="U159" s="60"/>
      <c r="V159" s="60"/>
      <c r="W159" s="60"/>
      <c r="X159" s="60"/>
      <c r="Y159" s="60"/>
      <c r="Z159" s="60"/>
      <c r="AA159" s="60"/>
      <c r="AB159" s="60"/>
      <c r="AC159" s="60"/>
      <c r="AD159" s="60"/>
      <c r="AE159" s="60"/>
      <c r="AF159" s="60"/>
      <c r="AG159" s="60"/>
      <c r="AH159" s="60"/>
      <c r="AI159" s="60"/>
      <c r="AJ159" s="60"/>
      <c r="AK159" s="60"/>
      <c r="AL159" s="60"/>
      <c r="AM159" s="60"/>
      <c r="AN159" s="60"/>
      <c r="AO159" s="60"/>
      <c r="AP159" s="60"/>
      <c r="AQ159" s="60"/>
      <c r="AR159" s="60"/>
      <c r="AS159" s="60"/>
      <c r="AT159" s="60"/>
      <c r="AU159" s="60"/>
      <c r="AV159" s="60"/>
      <c r="AW159" s="60"/>
      <c r="AX159" s="60"/>
      <c r="AY159" s="60"/>
      <c r="AZ159" s="60"/>
      <c r="BA159" s="60"/>
      <c r="BB159" s="60"/>
      <c r="BC159" s="60"/>
      <c r="BD159" s="60"/>
      <c r="BE159" s="60"/>
      <c r="BF159" s="60"/>
      <c r="BG159" s="60"/>
      <c r="BH159" s="60"/>
      <c r="BI159" s="60"/>
      <c r="BJ159" s="60"/>
      <c r="BK159" s="60"/>
      <c r="BL159" s="60"/>
      <c r="BM159" s="60"/>
    </row>
    <row r="160" spans="1:65" s="51" customFormat="1" ht="30" customHeight="1" thickBot="1" x14ac:dyDescent="0.35">
      <c r="A160" s="46"/>
      <c r="B160" s="70"/>
      <c r="C160" s="69"/>
      <c r="D160" s="68"/>
      <c r="E160" s="67"/>
      <c r="F160" s="67"/>
      <c r="G160" s="61"/>
      <c r="H160" s="61" t="str">
        <f t="shared" si="8"/>
        <v/>
      </c>
      <c r="I160" s="66"/>
      <c r="J160" s="60"/>
      <c r="K160" s="60"/>
      <c r="L160" s="60"/>
      <c r="M160" s="60"/>
      <c r="N160" s="60"/>
      <c r="O160" s="60"/>
      <c r="P160" s="60"/>
      <c r="Q160" s="60"/>
      <c r="R160" s="60"/>
      <c r="S160" s="60"/>
      <c r="T160" s="60"/>
      <c r="U160" s="60"/>
      <c r="V160" s="60"/>
      <c r="W160" s="60"/>
      <c r="X160" s="60"/>
      <c r="Y160" s="60"/>
      <c r="Z160" s="60"/>
      <c r="AA160" s="60"/>
      <c r="AB160" s="60"/>
      <c r="AC160" s="60"/>
      <c r="AD160" s="60"/>
      <c r="AE160" s="60"/>
      <c r="AF160" s="60"/>
      <c r="AG160" s="60"/>
      <c r="AH160" s="60"/>
      <c r="AI160" s="60"/>
      <c r="AJ160" s="60"/>
      <c r="AK160" s="60"/>
      <c r="AL160" s="60"/>
      <c r="AM160" s="60"/>
      <c r="AN160" s="60"/>
      <c r="AO160" s="60"/>
      <c r="AP160" s="60"/>
      <c r="AQ160" s="60"/>
      <c r="AR160" s="60"/>
      <c r="AS160" s="60"/>
      <c r="AT160" s="60"/>
      <c r="AU160" s="60"/>
      <c r="AV160" s="60"/>
      <c r="AW160" s="60"/>
      <c r="AX160" s="60"/>
      <c r="AY160" s="60"/>
      <c r="AZ160" s="60"/>
      <c r="BA160" s="60"/>
      <c r="BB160" s="60"/>
      <c r="BC160" s="60"/>
      <c r="BD160" s="60"/>
      <c r="BE160" s="60"/>
      <c r="BF160" s="60"/>
      <c r="BG160" s="60"/>
      <c r="BH160" s="60"/>
      <c r="BI160" s="60"/>
      <c r="BJ160" s="60"/>
      <c r="BK160" s="60"/>
      <c r="BL160" s="60"/>
      <c r="BM160" s="60"/>
    </row>
    <row r="161" spans="1:65" s="51" customFormat="1" ht="30" customHeight="1" thickBot="1" x14ac:dyDescent="0.35">
      <c r="A161" s="46"/>
      <c r="B161" s="70"/>
      <c r="C161" s="69"/>
      <c r="D161" s="68"/>
      <c r="E161" s="67"/>
      <c r="F161" s="67"/>
      <c r="G161" s="61"/>
      <c r="H161" s="61" t="str">
        <f t="shared" si="8"/>
        <v/>
      </c>
      <c r="I161" s="66"/>
      <c r="J161" s="60"/>
      <c r="K161" s="60"/>
      <c r="L161" s="60"/>
      <c r="M161" s="60"/>
      <c r="N161" s="60"/>
      <c r="O161" s="60"/>
      <c r="P161" s="60"/>
      <c r="Q161" s="60"/>
      <c r="R161" s="60"/>
      <c r="S161" s="60"/>
      <c r="T161" s="60"/>
      <c r="U161" s="60"/>
      <c r="V161" s="60"/>
      <c r="W161" s="60"/>
      <c r="X161" s="60"/>
      <c r="Y161" s="60"/>
      <c r="Z161" s="60"/>
      <c r="AA161" s="60"/>
      <c r="AB161" s="60"/>
      <c r="AC161" s="60"/>
      <c r="AD161" s="60"/>
      <c r="AE161" s="60"/>
      <c r="AF161" s="60"/>
      <c r="AG161" s="60"/>
      <c r="AH161" s="60"/>
      <c r="AI161" s="60"/>
      <c r="AJ161" s="60"/>
      <c r="AK161" s="60"/>
      <c r="AL161" s="60"/>
      <c r="AM161" s="60"/>
      <c r="AN161" s="60"/>
      <c r="AO161" s="60"/>
      <c r="AP161" s="60"/>
      <c r="AQ161" s="60"/>
      <c r="AR161" s="60"/>
      <c r="AS161" s="60"/>
      <c r="AT161" s="60"/>
      <c r="AU161" s="60"/>
      <c r="AV161" s="60"/>
      <c r="AW161" s="60"/>
      <c r="AX161" s="60"/>
      <c r="AY161" s="60"/>
      <c r="AZ161" s="60"/>
      <c r="BA161" s="60"/>
      <c r="BB161" s="60"/>
      <c r="BC161" s="60"/>
      <c r="BD161" s="60"/>
      <c r="BE161" s="60"/>
      <c r="BF161" s="60"/>
      <c r="BG161" s="60"/>
      <c r="BH161" s="60"/>
      <c r="BI161" s="60"/>
      <c r="BJ161" s="60"/>
      <c r="BK161" s="60"/>
      <c r="BL161" s="60"/>
      <c r="BM161" s="60"/>
    </row>
    <row r="162" spans="1:65" s="51" customFormat="1" ht="30" customHeight="1" thickBot="1" x14ac:dyDescent="0.35">
      <c r="A162" s="46"/>
      <c r="B162" s="70"/>
      <c r="C162" s="69"/>
      <c r="D162" s="68"/>
      <c r="E162" s="67"/>
      <c r="F162" s="67"/>
      <c r="G162" s="61"/>
      <c r="H162" s="61" t="str">
        <f t="shared" si="8"/>
        <v/>
      </c>
      <c r="I162" s="66"/>
      <c r="J162" s="60"/>
      <c r="K162" s="60"/>
      <c r="L162" s="60"/>
      <c r="M162" s="60"/>
      <c r="N162" s="60"/>
      <c r="O162" s="60"/>
      <c r="P162" s="60"/>
      <c r="Q162" s="60"/>
      <c r="R162" s="60"/>
      <c r="S162" s="60"/>
      <c r="T162" s="60"/>
      <c r="U162" s="60"/>
      <c r="V162" s="60"/>
      <c r="W162" s="60"/>
      <c r="X162" s="60"/>
      <c r="Y162" s="60"/>
      <c r="Z162" s="60"/>
      <c r="AA162" s="60"/>
      <c r="AB162" s="60"/>
      <c r="AC162" s="60"/>
      <c r="AD162" s="60"/>
      <c r="AE162" s="60"/>
      <c r="AF162" s="60"/>
      <c r="AG162" s="60"/>
      <c r="AH162" s="60"/>
      <c r="AI162" s="60"/>
      <c r="AJ162" s="60"/>
      <c r="AK162" s="60"/>
      <c r="AL162" s="60"/>
      <c r="AM162" s="60"/>
      <c r="AN162" s="60"/>
      <c r="AO162" s="60"/>
      <c r="AP162" s="60"/>
      <c r="AQ162" s="60"/>
      <c r="AR162" s="60"/>
      <c r="AS162" s="60"/>
      <c r="AT162" s="60"/>
      <c r="AU162" s="60"/>
      <c r="AV162" s="60"/>
      <c r="AW162" s="60"/>
      <c r="AX162" s="60"/>
      <c r="AY162" s="60"/>
      <c r="AZ162" s="60"/>
      <c r="BA162" s="60"/>
      <c r="BB162" s="60"/>
      <c r="BC162" s="60"/>
      <c r="BD162" s="60"/>
      <c r="BE162" s="60"/>
      <c r="BF162" s="60"/>
      <c r="BG162" s="60"/>
      <c r="BH162" s="60"/>
      <c r="BI162" s="60"/>
      <c r="BJ162" s="60"/>
      <c r="BK162" s="60"/>
      <c r="BL162" s="60"/>
      <c r="BM162" s="60"/>
    </row>
    <row r="163" spans="1:65" s="51" customFormat="1" ht="30" customHeight="1" thickBot="1" x14ac:dyDescent="0.35">
      <c r="A163" s="46"/>
      <c r="B163" s="70"/>
      <c r="C163" s="69"/>
      <c r="D163" s="68"/>
      <c r="E163" s="67"/>
      <c r="F163" s="67"/>
      <c r="G163" s="61"/>
      <c r="H163" s="61" t="str">
        <f t="shared" si="8"/>
        <v/>
      </c>
      <c r="I163" s="66"/>
      <c r="J163" s="60"/>
      <c r="K163" s="60"/>
      <c r="L163" s="60"/>
      <c r="M163" s="60"/>
      <c r="N163" s="60"/>
      <c r="O163" s="60"/>
      <c r="P163" s="60"/>
      <c r="Q163" s="60"/>
      <c r="R163" s="60"/>
      <c r="S163" s="60"/>
      <c r="T163" s="60"/>
      <c r="U163" s="60"/>
      <c r="V163" s="60"/>
      <c r="W163" s="60"/>
      <c r="X163" s="60"/>
      <c r="Y163" s="60"/>
      <c r="Z163" s="60"/>
      <c r="AA163" s="60"/>
      <c r="AB163" s="60"/>
      <c r="AC163" s="60"/>
      <c r="AD163" s="60"/>
      <c r="AE163" s="60"/>
      <c r="AF163" s="60"/>
      <c r="AG163" s="60"/>
      <c r="AH163" s="60"/>
      <c r="AI163" s="60"/>
      <c r="AJ163" s="60"/>
      <c r="AK163" s="60"/>
      <c r="AL163" s="60"/>
      <c r="AM163" s="60"/>
      <c r="AN163" s="60"/>
      <c r="AO163" s="60"/>
      <c r="AP163" s="60"/>
      <c r="AQ163" s="60"/>
      <c r="AR163" s="60"/>
      <c r="AS163" s="60"/>
      <c r="AT163" s="60"/>
      <c r="AU163" s="60"/>
      <c r="AV163" s="60"/>
      <c r="AW163" s="60"/>
      <c r="AX163" s="60"/>
      <c r="AY163" s="60"/>
      <c r="AZ163" s="60"/>
      <c r="BA163" s="60"/>
      <c r="BB163" s="60"/>
      <c r="BC163" s="60"/>
      <c r="BD163" s="60"/>
      <c r="BE163" s="60"/>
      <c r="BF163" s="60"/>
      <c r="BG163" s="60"/>
      <c r="BH163" s="60"/>
      <c r="BI163" s="60"/>
      <c r="BJ163" s="60"/>
      <c r="BK163" s="60"/>
      <c r="BL163" s="60"/>
      <c r="BM163" s="60"/>
    </row>
    <row r="164" spans="1:65" s="51" customFormat="1" ht="30" customHeight="1" thickBot="1" x14ac:dyDescent="0.35">
      <c r="A164" s="46"/>
      <c r="B164" s="70"/>
      <c r="C164" s="69"/>
      <c r="D164" s="68"/>
      <c r="E164" s="67"/>
      <c r="F164" s="67"/>
      <c r="G164" s="61"/>
      <c r="H164" s="61" t="str">
        <f t="shared" si="8"/>
        <v/>
      </c>
      <c r="I164" s="66"/>
      <c r="J164" s="60"/>
      <c r="K164" s="60"/>
      <c r="L164" s="60"/>
      <c r="M164" s="60"/>
      <c r="N164" s="60"/>
      <c r="O164" s="60"/>
      <c r="P164" s="60"/>
      <c r="Q164" s="60"/>
      <c r="R164" s="60"/>
      <c r="S164" s="60"/>
      <c r="T164" s="60"/>
      <c r="U164" s="60"/>
      <c r="V164" s="60"/>
      <c r="W164" s="60"/>
      <c r="X164" s="60"/>
      <c r="Y164" s="60"/>
      <c r="Z164" s="60"/>
      <c r="AA164" s="60"/>
      <c r="AB164" s="60"/>
      <c r="AC164" s="60"/>
      <c r="AD164" s="60"/>
      <c r="AE164" s="60"/>
      <c r="AF164" s="60"/>
      <c r="AG164" s="60"/>
      <c r="AH164" s="60"/>
      <c r="AI164" s="60"/>
      <c r="AJ164" s="60"/>
      <c r="AK164" s="60"/>
      <c r="AL164" s="60"/>
      <c r="AM164" s="60"/>
      <c r="AN164" s="60"/>
      <c r="AO164" s="60"/>
      <c r="AP164" s="60"/>
      <c r="AQ164" s="60"/>
      <c r="AR164" s="60"/>
      <c r="AS164" s="60"/>
      <c r="AT164" s="60"/>
      <c r="AU164" s="60"/>
      <c r="AV164" s="60"/>
      <c r="AW164" s="60"/>
      <c r="AX164" s="60"/>
      <c r="AY164" s="60"/>
      <c r="AZ164" s="60"/>
      <c r="BA164" s="60"/>
      <c r="BB164" s="60"/>
      <c r="BC164" s="60"/>
      <c r="BD164" s="60"/>
      <c r="BE164" s="60"/>
      <c r="BF164" s="60"/>
      <c r="BG164" s="60"/>
      <c r="BH164" s="60"/>
      <c r="BI164" s="60"/>
      <c r="BJ164" s="60"/>
      <c r="BK164" s="60"/>
      <c r="BL164" s="60"/>
      <c r="BM164" s="60"/>
    </row>
    <row r="165" spans="1:65" s="51" customFormat="1" ht="30" customHeight="1" thickBot="1" x14ac:dyDescent="0.35">
      <c r="A165" s="46"/>
      <c r="B165" s="70"/>
      <c r="C165" s="69"/>
      <c r="D165" s="68"/>
      <c r="E165" s="67"/>
      <c r="F165" s="67"/>
      <c r="G165" s="61"/>
      <c r="H165" s="61" t="str">
        <f t="shared" si="8"/>
        <v/>
      </c>
      <c r="I165" s="66"/>
      <c r="J165" s="60"/>
      <c r="K165" s="60"/>
      <c r="L165" s="60"/>
      <c r="M165" s="60"/>
      <c r="N165" s="60"/>
      <c r="O165" s="60"/>
      <c r="P165" s="60"/>
      <c r="Q165" s="60"/>
      <c r="R165" s="60"/>
      <c r="S165" s="60"/>
      <c r="T165" s="60"/>
      <c r="U165" s="60"/>
      <c r="V165" s="60"/>
      <c r="W165" s="60"/>
      <c r="X165" s="60"/>
      <c r="Y165" s="60"/>
      <c r="Z165" s="60"/>
      <c r="AA165" s="60"/>
      <c r="AB165" s="60"/>
      <c r="AC165" s="60"/>
      <c r="AD165" s="60"/>
      <c r="AE165" s="60"/>
      <c r="AF165" s="60"/>
      <c r="AG165" s="60"/>
      <c r="AH165" s="60"/>
      <c r="AI165" s="60"/>
      <c r="AJ165" s="60"/>
      <c r="AK165" s="60"/>
      <c r="AL165" s="60"/>
      <c r="AM165" s="60"/>
      <c r="AN165" s="60"/>
      <c r="AO165" s="60"/>
      <c r="AP165" s="60"/>
      <c r="AQ165" s="60"/>
      <c r="AR165" s="60"/>
      <c r="AS165" s="60"/>
      <c r="AT165" s="60"/>
      <c r="AU165" s="60"/>
      <c r="AV165" s="60"/>
      <c r="AW165" s="60"/>
      <c r="AX165" s="60"/>
      <c r="AY165" s="60"/>
      <c r="AZ165" s="60"/>
      <c r="BA165" s="60"/>
      <c r="BB165" s="60"/>
      <c r="BC165" s="60"/>
      <c r="BD165" s="60"/>
      <c r="BE165" s="60"/>
      <c r="BF165" s="60"/>
      <c r="BG165" s="60"/>
      <c r="BH165" s="60"/>
      <c r="BI165" s="60"/>
      <c r="BJ165" s="60"/>
      <c r="BK165" s="60"/>
      <c r="BL165" s="60"/>
      <c r="BM165" s="60"/>
    </row>
    <row r="166" spans="1:65" s="51" customFormat="1" ht="30" customHeight="1" thickBot="1" x14ac:dyDescent="0.35">
      <c r="A166" s="46"/>
      <c r="B166" s="70"/>
      <c r="C166" s="69"/>
      <c r="D166" s="68"/>
      <c r="E166" s="67"/>
      <c r="F166" s="67"/>
      <c r="G166" s="61"/>
      <c r="H166" s="61" t="str">
        <f t="shared" si="8"/>
        <v/>
      </c>
      <c r="I166" s="66"/>
      <c r="J166" s="60"/>
      <c r="K166" s="60"/>
      <c r="L166" s="60"/>
      <c r="M166" s="60"/>
      <c r="N166" s="60"/>
      <c r="O166" s="60"/>
      <c r="P166" s="60"/>
      <c r="Q166" s="60"/>
      <c r="R166" s="60"/>
      <c r="S166" s="60"/>
      <c r="T166" s="60"/>
      <c r="U166" s="60"/>
      <c r="V166" s="60"/>
      <c r="W166" s="60"/>
      <c r="X166" s="60"/>
      <c r="Y166" s="60"/>
      <c r="Z166" s="60"/>
      <c r="AA166" s="60"/>
      <c r="AB166" s="60"/>
      <c r="AC166" s="60"/>
      <c r="AD166" s="60"/>
      <c r="AE166" s="60"/>
      <c r="AF166" s="60"/>
      <c r="AG166" s="60"/>
      <c r="AH166" s="60"/>
      <c r="AI166" s="60"/>
      <c r="AJ166" s="60"/>
      <c r="AK166" s="60"/>
      <c r="AL166" s="60"/>
      <c r="AM166" s="60"/>
      <c r="AN166" s="60"/>
      <c r="AO166" s="60"/>
      <c r="AP166" s="60"/>
      <c r="AQ166" s="60"/>
      <c r="AR166" s="60"/>
      <c r="AS166" s="60"/>
      <c r="AT166" s="60"/>
      <c r="AU166" s="60"/>
      <c r="AV166" s="60"/>
      <c r="AW166" s="60"/>
      <c r="AX166" s="60"/>
      <c r="AY166" s="60"/>
      <c r="AZ166" s="60"/>
      <c r="BA166" s="60"/>
      <c r="BB166" s="60"/>
      <c r="BC166" s="60"/>
      <c r="BD166" s="60"/>
      <c r="BE166" s="60"/>
      <c r="BF166" s="60"/>
      <c r="BG166" s="60"/>
      <c r="BH166" s="60"/>
      <c r="BI166" s="60"/>
      <c r="BJ166" s="60"/>
      <c r="BK166" s="60"/>
      <c r="BL166" s="60"/>
      <c r="BM166" s="60"/>
    </row>
    <row r="167" spans="1:65" s="51" customFormat="1" ht="30" customHeight="1" thickBot="1" x14ac:dyDescent="0.35">
      <c r="A167" s="46"/>
      <c r="B167" s="70"/>
      <c r="C167" s="69"/>
      <c r="D167" s="68"/>
      <c r="E167" s="67"/>
      <c r="F167" s="67"/>
      <c r="G167" s="61"/>
      <c r="H167" s="61" t="str">
        <f t="shared" si="8"/>
        <v/>
      </c>
      <c r="I167" s="66"/>
      <c r="J167" s="60"/>
      <c r="K167" s="60"/>
      <c r="L167" s="60"/>
      <c r="M167" s="60"/>
      <c r="N167" s="60"/>
      <c r="O167" s="60"/>
      <c r="P167" s="60"/>
      <c r="Q167" s="60"/>
      <c r="R167" s="60"/>
      <c r="S167" s="60"/>
      <c r="T167" s="60"/>
      <c r="U167" s="60"/>
      <c r="V167" s="60"/>
      <c r="W167" s="60"/>
      <c r="X167" s="60"/>
      <c r="Y167" s="60"/>
      <c r="Z167" s="60"/>
      <c r="AA167" s="60"/>
      <c r="AB167" s="60"/>
      <c r="AC167" s="60"/>
      <c r="AD167" s="60"/>
      <c r="AE167" s="60"/>
      <c r="AF167" s="60"/>
      <c r="AG167" s="60"/>
      <c r="AH167" s="60"/>
      <c r="AI167" s="60"/>
      <c r="AJ167" s="60"/>
      <c r="AK167" s="60"/>
      <c r="AL167" s="60"/>
      <c r="AM167" s="60"/>
      <c r="AN167" s="60"/>
      <c r="AO167" s="60"/>
      <c r="AP167" s="60"/>
      <c r="AQ167" s="60"/>
      <c r="AR167" s="60"/>
      <c r="AS167" s="60"/>
      <c r="AT167" s="60"/>
      <c r="AU167" s="60"/>
      <c r="AV167" s="60"/>
      <c r="AW167" s="60"/>
      <c r="AX167" s="60"/>
      <c r="AY167" s="60"/>
      <c r="AZ167" s="60"/>
      <c r="BA167" s="60"/>
      <c r="BB167" s="60"/>
      <c r="BC167" s="60"/>
      <c r="BD167" s="60"/>
      <c r="BE167" s="60"/>
      <c r="BF167" s="60"/>
      <c r="BG167" s="60"/>
      <c r="BH167" s="60"/>
      <c r="BI167" s="60"/>
      <c r="BJ167" s="60"/>
      <c r="BK167" s="60"/>
      <c r="BL167" s="60"/>
      <c r="BM167" s="60"/>
    </row>
    <row r="168" spans="1:65" s="51" customFormat="1" ht="30" customHeight="1" thickBot="1" x14ac:dyDescent="0.35">
      <c r="A168" s="46"/>
      <c r="B168" s="70"/>
      <c r="C168" s="69"/>
      <c r="D168" s="68"/>
      <c r="E168" s="67"/>
      <c r="F168" s="67"/>
      <c r="G168" s="61"/>
      <c r="H168" s="61" t="str">
        <f t="shared" si="8"/>
        <v/>
      </c>
      <c r="I168" s="66"/>
      <c r="J168" s="60"/>
      <c r="K168" s="60"/>
      <c r="L168" s="60"/>
      <c r="M168" s="60"/>
      <c r="N168" s="60"/>
      <c r="O168" s="60"/>
      <c r="P168" s="60"/>
      <c r="Q168" s="60"/>
      <c r="R168" s="60"/>
      <c r="S168" s="60"/>
      <c r="T168" s="60"/>
      <c r="U168" s="60"/>
      <c r="V168" s="60"/>
      <c r="W168" s="60"/>
      <c r="X168" s="60"/>
      <c r="Y168" s="60"/>
      <c r="Z168" s="60"/>
      <c r="AA168" s="60"/>
      <c r="AB168" s="60"/>
      <c r="AC168" s="60"/>
      <c r="AD168" s="60"/>
      <c r="AE168" s="60"/>
      <c r="AF168" s="60"/>
      <c r="AG168" s="60"/>
      <c r="AH168" s="60"/>
      <c r="AI168" s="60"/>
      <c r="AJ168" s="60"/>
      <c r="AK168" s="60"/>
      <c r="AL168" s="60"/>
      <c r="AM168" s="60"/>
      <c r="AN168" s="60"/>
      <c r="AO168" s="60"/>
      <c r="AP168" s="60"/>
      <c r="AQ168" s="60"/>
      <c r="AR168" s="60"/>
      <c r="AS168" s="60"/>
      <c r="AT168" s="60"/>
      <c r="AU168" s="60"/>
      <c r="AV168" s="60"/>
      <c r="AW168" s="60"/>
      <c r="AX168" s="60"/>
      <c r="AY168" s="60"/>
      <c r="AZ168" s="60"/>
      <c r="BA168" s="60"/>
      <c r="BB168" s="60"/>
      <c r="BC168" s="60"/>
      <c r="BD168" s="60"/>
      <c r="BE168" s="60"/>
      <c r="BF168" s="60"/>
      <c r="BG168" s="60"/>
      <c r="BH168" s="60"/>
      <c r="BI168" s="60"/>
      <c r="BJ168" s="60"/>
      <c r="BK168" s="60"/>
      <c r="BL168" s="60"/>
      <c r="BM168" s="60"/>
    </row>
    <row r="169" spans="1:65" s="51" customFormat="1" ht="30" customHeight="1" thickBot="1" x14ac:dyDescent="0.35">
      <c r="A169" s="46"/>
      <c r="B169" s="70"/>
      <c r="C169" s="69"/>
      <c r="D169" s="68"/>
      <c r="E169" s="67"/>
      <c r="F169" s="67"/>
      <c r="G169" s="61"/>
      <c r="H169" s="61" t="str">
        <f t="shared" si="8"/>
        <v/>
      </c>
      <c r="I169" s="66"/>
      <c r="J169" s="60"/>
      <c r="K169" s="60"/>
      <c r="L169" s="60"/>
      <c r="M169" s="60"/>
      <c r="N169" s="60"/>
      <c r="O169" s="60"/>
      <c r="P169" s="60"/>
      <c r="Q169" s="60"/>
      <c r="R169" s="60"/>
      <c r="S169" s="60"/>
      <c r="T169" s="60"/>
      <c r="U169" s="60"/>
      <c r="V169" s="60"/>
      <c r="W169" s="60"/>
      <c r="X169" s="60"/>
      <c r="Y169" s="60"/>
      <c r="Z169" s="60"/>
      <c r="AA169" s="60"/>
      <c r="AB169" s="60"/>
      <c r="AC169" s="60"/>
      <c r="AD169" s="60"/>
      <c r="AE169" s="60"/>
      <c r="AF169" s="60"/>
      <c r="AG169" s="60"/>
      <c r="AH169" s="60"/>
      <c r="AI169" s="60"/>
      <c r="AJ169" s="60"/>
      <c r="AK169" s="60"/>
      <c r="AL169" s="60"/>
      <c r="AM169" s="60"/>
      <c r="AN169" s="60"/>
      <c r="AO169" s="60"/>
      <c r="AP169" s="60"/>
      <c r="AQ169" s="60"/>
      <c r="AR169" s="60"/>
      <c r="AS169" s="60"/>
      <c r="AT169" s="60"/>
      <c r="AU169" s="60"/>
      <c r="AV169" s="60"/>
      <c r="AW169" s="60"/>
      <c r="AX169" s="60"/>
      <c r="AY169" s="60"/>
      <c r="AZ169" s="60"/>
      <c r="BA169" s="60"/>
      <c r="BB169" s="60"/>
      <c r="BC169" s="60"/>
      <c r="BD169" s="60"/>
      <c r="BE169" s="60"/>
      <c r="BF169" s="60"/>
      <c r="BG169" s="60"/>
      <c r="BH169" s="60"/>
      <c r="BI169" s="60"/>
      <c r="BJ169" s="60"/>
      <c r="BK169" s="60"/>
      <c r="BL169" s="60"/>
      <c r="BM169" s="60"/>
    </row>
    <row r="170" spans="1:65" s="51" customFormat="1" ht="30" customHeight="1" thickBot="1" x14ac:dyDescent="0.35">
      <c r="A170" s="46"/>
      <c r="B170" s="70"/>
      <c r="C170" s="69"/>
      <c r="D170" s="68"/>
      <c r="E170" s="67"/>
      <c r="F170" s="67"/>
      <c r="G170" s="61"/>
      <c r="H170" s="61" t="str">
        <f t="shared" si="8"/>
        <v/>
      </c>
      <c r="I170" s="66"/>
      <c r="J170" s="60"/>
      <c r="K170" s="60"/>
      <c r="L170" s="60"/>
      <c r="M170" s="60"/>
      <c r="N170" s="60"/>
      <c r="O170" s="60"/>
      <c r="P170" s="60"/>
      <c r="Q170" s="60"/>
      <c r="R170" s="60"/>
      <c r="S170" s="60"/>
      <c r="T170" s="60"/>
      <c r="U170" s="60"/>
      <c r="V170" s="60"/>
      <c r="W170" s="60"/>
      <c r="X170" s="60"/>
      <c r="Y170" s="60"/>
      <c r="Z170" s="60"/>
      <c r="AA170" s="60"/>
      <c r="AB170" s="60"/>
      <c r="AC170" s="60"/>
      <c r="AD170" s="60"/>
      <c r="AE170" s="60"/>
      <c r="AF170" s="60"/>
      <c r="AG170" s="60"/>
      <c r="AH170" s="60"/>
      <c r="AI170" s="60"/>
      <c r="AJ170" s="60"/>
      <c r="AK170" s="60"/>
      <c r="AL170" s="60"/>
      <c r="AM170" s="60"/>
      <c r="AN170" s="60"/>
      <c r="AO170" s="60"/>
      <c r="AP170" s="60"/>
      <c r="AQ170" s="60"/>
      <c r="AR170" s="60"/>
      <c r="AS170" s="60"/>
      <c r="AT170" s="60"/>
      <c r="AU170" s="60"/>
      <c r="AV170" s="60"/>
      <c r="AW170" s="60"/>
      <c r="AX170" s="60"/>
      <c r="AY170" s="60"/>
      <c r="AZ170" s="60"/>
      <c r="BA170" s="60"/>
      <c r="BB170" s="60"/>
      <c r="BC170" s="60"/>
      <c r="BD170" s="60"/>
      <c r="BE170" s="60"/>
      <c r="BF170" s="60"/>
      <c r="BG170" s="60"/>
      <c r="BH170" s="60"/>
      <c r="BI170" s="60"/>
      <c r="BJ170" s="60"/>
      <c r="BK170" s="60"/>
      <c r="BL170" s="60"/>
      <c r="BM170" s="60"/>
    </row>
    <row r="171" spans="1:65" s="51" customFormat="1" ht="30" customHeight="1" thickBot="1" x14ac:dyDescent="0.35">
      <c r="A171" s="46"/>
      <c r="B171" s="70"/>
      <c r="C171" s="69"/>
      <c r="D171" s="68"/>
      <c r="E171" s="67"/>
      <c r="F171" s="67"/>
      <c r="G171" s="61"/>
      <c r="H171" s="61" t="str">
        <f t="shared" si="8"/>
        <v/>
      </c>
      <c r="I171" s="66"/>
      <c r="J171" s="60"/>
      <c r="K171" s="60"/>
      <c r="L171" s="60"/>
      <c r="M171" s="60"/>
      <c r="N171" s="60"/>
      <c r="O171" s="60"/>
      <c r="P171" s="60"/>
      <c r="Q171" s="60"/>
      <c r="R171" s="60"/>
      <c r="S171" s="60"/>
      <c r="T171" s="60"/>
      <c r="U171" s="60"/>
      <c r="V171" s="60"/>
      <c r="W171" s="60"/>
      <c r="X171" s="60"/>
      <c r="Y171" s="60"/>
      <c r="Z171" s="60"/>
      <c r="AA171" s="60"/>
      <c r="AB171" s="60"/>
      <c r="AC171" s="60"/>
      <c r="AD171" s="60"/>
      <c r="AE171" s="60"/>
      <c r="AF171" s="60"/>
      <c r="AG171" s="60"/>
      <c r="AH171" s="60"/>
      <c r="AI171" s="60"/>
      <c r="AJ171" s="60"/>
      <c r="AK171" s="60"/>
      <c r="AL171" s="60"/>
      <c r="AM171" s="60"/>
      <c r="AN171" s="60"/>
      <c r="AO171" s="60"/>
      <c r="AP171" s="60"/>
      <c r="AQ171" s="60"/>
      <c r="AR171" s="60"/>
      <c r="AS171" s="60"/>
      <c r="AT171" s="60"/>
      <c r="AU171" s="60"/>
      <c r="AV171" s="60"/>
      <c r="AW171" s="60"/>
      <c r="AX171" s="60"/>
      <c r="AY171" s="60"/>
      <c r="AZ171" s="60"/>
      <c r="BA171" s="60"/>
      <c r="BB171" s="60"/>
      <c r="BC171" s="60"/>
      <c r="BD171" s="60"/>
      <c r="BE171" s="60"/>
      <c r="BF171" s="60"/>
      <c r="BG171" s="60"/>
      <c r="BH171" s="60"/>
      <c r="BI171" s="60"/>
      <c r="BJ171" s="60"/>
      <c r="BK171" s="60"/>
      <c r="BL171" s="60"/>
      <c r="BM171" s="60"/>
    </row>
    <row r="172" spans="1:65" s="51" customFormat="1" ht="30" customHeight="1" thickBot="1" x14ac:dyDescent="0.35">
      <c r="A172" s="46"/>
      <c r="B172" s="70"/>
      <c r="C172" s="69"/>
      <c r="D172" s="68"/>
      <c r="E172" s="67"/>
      <c r="F172" s="67"/>
      <c r="G172" s="61"/>
      <c r="H172" s="61" t="str">
        <f t="shared" si="8"/>
        <v/>
      </c>
      <c r="I172" s="66"/>
      <c r="J172" s="60"/>
      <c r="K172" s="60"/>
      <c r="L172" s="60"/>
      <c r="M172" s="60"/>
      <c r="N172" s="60"/>
      <c r="O172" s="60"/>
      <c r="P172" s="60"/>
      <c r="Q172" s="60"/>
      <c r="R172" s="60"/>
      <c r="S172" s="60"/>
      <c r="T172" s="60"/>
      <c r="U172" s="60"/>
      <c r="V172" s="60"/>
      <c r="W172" s="60"/>
      <c r="X172" s="60"/>
      <c r="Y172" s="60"/>
      <c r="Z172" s="60"/>
      <c r="AA172" s="60"/>
      <c r="AB172" s="60"/>
      <c r="AC172" s="60"/>
      <c r="AD172" s="60"/>
      <c r="AE172" s="60"/>
      <c r="AF172" s="60"/>
      <c r="AG172" s="60"/>
      <c r="AH172" s="60"/>
      <c r="AI172" s="60"/>
      <c r="AJ172" s="60"/>
      <c r="AK172" s="60"/>
      <c r="AL172" s="60"/>
      <c r="AM172" s="60"/>
      <c r="AN172" s="60"/>
      <c r="AO172" s="60"/>
      <c r="AP172" s="60"/>
      <c r="AQ172" s="60"/>
      <c r="AR172" s="60"/>
      <c r="AS172" s="60"/>
      <c r="AT172" s="60"/>
      <c r="AU172" s="60"/>
      <c r="AV172" s="60"/>
      <c r="AW172" s="60"/>
      <c r="AX172" s="60"/>
      <c r="AY172" s="60"/>
      <c r="AZ172" s="60"/>
      <c r="BA172" s="60"/>
      <c r="BB172" s="60"/>
      <c r="BC172" s="60"/>
      <c r="BD172" s="60"/>
      <c r="BE172" s="60"/>
      <c r="BF172" s="60"/>
      <c r="BG172" s="60"/>
      <c r="BH172" s="60"/>
      <c r="BI172" s="60"/>
      <c r="BJ172" s="60"/>
      <c r="BK172" s="60"/>
      <c r="BL172" s="60"/>
      <c r="BM172" s="60"/>
    </row>
    <row r="173" spans="1:65" s="51" customFormat="1" ht="30" customHeight="1" thickBot="1" x14ac:dyDescent="0.35">
      <c r="A173" s="46"/>
      <c r="B173" s="70"/>
      <c r="C173" s="69"/>
      <c r="D173" s="68"/>
      <c r="E173" s="67"/>
      <c r="F173" s="67"/>
      <c r="G173" s="61"/>
      <c r="H173" s="61" t="str">
        <f t="shared" si="8"/>
        <v/>
      </c>
      <c r="I173" s="66"/>
      <c r="J173" s="60"/>
      <c r="K173" s="60"/>
      <c r="L173" s="60"/>
      <c r="M173" s="60"/>
      <c r="N173" s="60"/>
      <c r="O173" s="60"/>
      <c r="P173" s="60"/>
      <c r="Q173" s="60"/>
      <c r="R173" s="60"/>
      <c r="S173" s="60"/>
      <c r="T173" s="60"/>
      <c r="U173" s="60"/>
      <c r="V173" s="60"/>
      <c r="W173" s="60"/>
      <c r="X173" s="60"/>
      <c r="Y173" s="60"/>
      <c r="Z173" s="60"/>
      <c r="AA173" s="60"/>
      <c r="AB173" s="60"/>
      <c r="AC173" s="60"/>
      <c r="AD173" s="60"/>
      <c r="AE173" s="60"/>
      <c r="AF173" s="60"/>
      <c r="AG173" s="60"/>
      <c r="AH173" s="60"/>
      <c r="AI173" s="60"/>
      <c r="AJ173" s="60"/>
      <c r="AK173" s="60"/>
      <c r="AL173" s="60"/>
      <c r="AM173" s="60"/>
      <c r="AN173" s="60"/>
      <c r="AO173" s="60"/>
      <c r="AP173" s="60"/>
      <c r="AQ173" s="60"/>
      <c r="AR173" s="60"/>
      <c r="AS173" s="60"/>
      <c r="AT173" s="60"/>
      <c r="AU173" s="60"/>
      <c r="AV173" s="60"/>
      <c r="AW173" s="60"/>
      <c r="AX173" s="60"/>
      <c r="AY173" s="60"/>
      <c r="AZ173" s="60"/>
      <c r="BA173" s="60"/>
      <c r="BB173" s="60"/>
      <c r="BC173" s="60"/>
      <c r="BD173" s="60"/>
      <c r="BE173" s="60"/>
      <c r="BF173" s="60"/>
      <c r="BG173" s="60"/>
      <c r="BH173" s="60"/>
      <c r="BI173" s="60"/>
      <c r="BJ173" s="60"/>
      <c r="BK173" s="60"/>
      <c r="BL173" s="60"/>
      <c r="BM173" s="60"/>
    </row>
    <row r="174" spans="1:65" s="51" customFormat="1" ht="30" customHeight="1" thickBot="1" x14ac:dyDescent="0.35">
      <c r="A174" s="46"/>
      <c r="B174" s="70"/>
      <c r="C174" s="69"/>
      <c r="D174" s="68"/>
      <c r="E174" s="67"/>
      <c r="F174" s="67"/>
      <c r="G174" s="61"/>
      <c r="H174" s="61" t="str">
        <f t="shared" si="8"/>
        <v/>
      </c>
      <c r="I174" s="66"/>
      <c r="J174" s="60"/>
      <c r="K174" s="60"/>
      <c r="L174" s="60"/>
      <c r="M174" s="60"/>
      <c r="N174" s="60"/>
      <c r="O174" s="60"/>
      <c r="P174" s="60"/>
      <c r="Q174" s="60"/>
      <c r="R174" s="60"/>
      <c r="S174" s="60"/>
      <c r="T174" s="60"/>
      <c r="U174" s="60"/>
      <c r="V174" s="60"/>
      <c r="W174" s="60"/>
      <c r="X174" s="60"/>
      <c r="Y174" s="60"/>
      <c r="Z174" s="60"/>
      <c r="AA174" s="60"/>
      <c r="AB174" s="60"/>
      <c r="AC174" s="60"/>
      <c r="AD174" s="60"/>
      <c r="AE174" s="60"/>
      <c r="AF174" s="60"/>
      <c r="AG174" s="60"/>
      <c r="AH174" s="60"/>
      <c r="AI174" s="60"/>
      <c r="AJ174" s="60"/>
      <c r="AK174" s="60"/>
      <c r="AL174" s="60"/>
      <c r="AM174" s="60"/>
      <c r="AN174" s="60"/>
      <c r="AO174" s="60"/>
      <c r="AP174" s="60"/>
      <c r="AQ174" s="60"/>
      <c r="AR174" s="60"/>
      <c r="AS174" s="60"/>
      <c r="AT174" s="60"/>
      <c r="AU174" s="60"/>
      <c r="AV174" s="60"/>
      <c r="AW174" s="60"/>
      <c r="AX174" s="60"/>
      <c r="AY174" s="60"/>
      <c r="AZ174" s="60"/>
      <c r="BA174" s="60"/>
      <c r="BB174" s="60"/>
      <c r="BC174" s="60"/>
      <c r="BD174" s="60"/>
      <c r="BE174" s="60"/>
      <c r="BF174" s="60"/>
      <c r="BG174" s="60"/>
      <c r="BH174" s="60"/>
      <c r="BI174" s="60"/>
      <c r="BJ174" s="60"/>
      <c r="BK174" s="60"/>
      <c r="BL174" s="60"/>
      <c r="BM174" s="60"/>
    </row>
    <row r="175" spans="1:65" s="51" customFormat="1" ht="30" customHeight="1" thickBot="1" x14ac:dyDescent="0.35">
      <c r="A175" s="46"/>
      <c r="B175" s="70"/>
      <c r="C175" s="69"/>
      <c r="D175" s="68"/>
      <c r="E175" s="67"/>
      <c r="F175" s="67"/>
      <c r="G175" s="61"/>
      <c r="H175" s="61" t="str">
        <f t="shared" si="8"/>
        <v/>
      </c>
      <c r="I175" s="66"/>
      <c r="J175" s="60"/>
      <c r="K175" s="60"/>
      <c r="L175" s="60"/>
      <c r="M175" s="60"/>
      <c r="N175" s="60"/>
      <c r="O175" s="60"/>
      <c r="P175" s="60"/>
      <c r="Q175" s="60"/>
      <c r="R175" s="60"/>
      <c r="S175" s="60"/>
      <c r="T175" s="60"/>
      <c r="U175" s="60"/>
      <c r="V175" s="60"/>
      <c r="W175" s="60"/>
      <c r="X175" s="60"/>
      <c r="Y175" s="60"/>
      <c r="Z175" s="60"/>
      <c r="AA175" s="60"/>
      <c r="AB175" s="60"/>
      <c r="AC175" s="60"/>
      <c r="AD175" s="60"/>
      <c r="AE175" s="60"/>
      <c r="AF175" s="60"/>
      <c r="AG175" s="60"/>
      <c r="AH175" s="60"/>
      <c r="AI175" s="60"/>
      <c r="AJ175" s="60"/>
      <c r="AK175" s="60"/>
      <c r="AL175" s="60"/>
      <c r="AM175" s="60"/>
      <c r="AN175" s="60"/>
      <c r="AO175" s="60"/>
      <c r="AP175" s="60"/>
      <c r="AQ175" s="60"/>
      <c r="AR175" s="60"/>
      <c r="AS175" s="60"/>
      <c r="AT175" s="60"/>
      <c r="AU175" s="60"/>
      <c r="AV175" s="60"/>
      <c r="AW175" s="60"/>
      <c r="AX175" s="60"/>
      <c r="AY175" s="60"/>
      <c r="AZ175" s="60"/>
      <c r="BA175" s="60"/>
      <c r="BB175" s="60"/>
      <c r="BC175" s="60"/>
      <c r="BD175" s="60"/>
      <c r="BE175" s="60"/>
      <c r="BF175" s="60"/>
      <c r="BG175" s="60"/>
      <c r="BH175" s="60"/>
      <c r="BI175" s="60"/>
      <c r="BJ175" s="60"/>
      <c r="BK175" s="60"/>
      <c r="BL175" s="60"/>
      <c r="BM175" s="60"/>
    </row>
    <row r="176" spans="1:65" s="51" customFormat="1" ht="30" customHeight="1" thickBot="1" x14ac:dyDescent="0.35">
      <c r="A176" s="46"/>
      <c r="B176" s="70"/>
      <c r="C176" s="69"/>
      <c r="D176" s="68"/>
      <c r="E176" s="67"/>
      <c r="F176" s="67"/>
      <c r="G176" s="61"/>
      <c r="H176" s="61" t="str">
        <f t="shared" si="8"/>
        <v/>
      </c>
      <c r="I176" s="66"/>
      <c r="J176" s="60"/>
      <c r="K176" s="60"/>
      <c r="L176" s="60"/>
      <c r="M176" s="60"/>
      <c r="N176" s="60"/>
      <c r="O176" s="60"/>
      <c r="P176" s="60"/>
      <c r="Q176" s="60"/>
      <c r="R176" s="60"/>
      <c r="S176" s="60"/>
      <c r="T176" s="60"/>
      <c r="U176" s="60"/>
      <c r="V176" s="60"/>
      <c r="W176" s="60"/>
      <c r="X176" s="60"/>
      <c r="Y176" s="60"/>
      <c r="Z176" s="60"/>
      <c r="AA176" s="60"/>
      <c r="AB176" s="60"/>
      <c r="AC176" s="60"/>
      <c r="AD176" s="60"/>
      <c r="AE176" s="60"/>
      <c r="AF176" s="60"/>
      <c r="AG176" s="60"/>
      <c r="AH176" s="60"/>
      <c r="AI176" s="60"/>
      <c r="AJ176" s="60"/>
      <c r="AK176" s="60"/>
      <c r="AL176" s="60"/>
      <c r="AM176" s="60"/>
      <c r="AN176" s="60"/>
      <c r="AO176" s="60"/>
      <c r="AP176" s="60"/>
      <c r="AQ176" s="60"/>
      <c r="AR176" s="60"/>
      <c r="AS176" s="60"/>
      <c r="AT176" s="60"/>
      <c r="AU176" s="60"/>
      <c r="AV176" s="60"/>
      <c r="AW176" s="60"/>
      <c r="AX176" s="60"/>
      <c r="AY176" s="60"/>
      <c r="AZ176" s="60"/>
      <c r="BA176" s="60"/>
      <c r="BB176" s="60"/>
      <c r="BC176" s="60"/>
      <c r="BD176" s="60"/>
      <c r="BE176" s="60"/>
      <c r="BF176" s="60"/>
      <c r="BG176" s="60"/>
      <c r="BH176" s="60"/>
      <c r="BI176" s="60"/>
      <c r="BJ176" s="60"/>
      <c r="BK176" s="60"/>
      <c r="BL176" s="60"/>
      <c r="BM176" s="60"/>
    </row>
    <row r="177" spans="1:65" s="51" customFormat="1" ht="30" customHeight="1" thickBot="1" x14ac:dyDescent="0.35">
      <c r="A177" s="46"/>
      <c r="B177" s="70"/>
      <c r="C177" s="69"/>
      <c r="D177" s="68"/>
      <c r="E177" s="67"/>
      <c r="F177" s="67"/>
      <c r="G177" s="61"/>
      <c r="H177" s="61" t="str">
        <f t="shared" si="8"/>
        <v/>
      </c>
      <c r="I177" s="66"/>
      <c r="J177" s="60"/>
      <c r="K177" s="60"/>
      <c r="L177" s="60"/>
      <c r="M177" s="60"/>
      <c r="N177" s="60"/>
      <c r="O177" s="60"/>
      <c r="P177" s="60"/>
      <c r="Q177" s="60"/>
      <c r="R177" s="60"/>
      <c r="S177" s="60"/>
      <c r="T177" s="60"/>
      <c r="U177" s="60"/>
      <c r="V177" s="60"/>
      <c r="W177" s="60"/>
      <c r="X177" s="60"/>
      <c r="Y177" s="60"/>
      <c r="Z177" s="60"/>
      <c r="AA177" s="60"/>
      <c r="AB177" s="60"/>
      <c r="AC177" s="60"/>
      <c r="AD177" s="60"/>
      <c r="AE177" s="60"/>
      <c r="AF177" s="60"/>
      <c r="AG177" s="60"/>
      <c r="AH177" s="60"/>
      <c r="AI177" s="60"/>
      <c r="AJ177" s="60"/>
      <c r="AK177" s="60"/>
      <c r="AL177" s="60"/>
      <c r="AM177" s="60"/>
      <c r="AN177" s="60"/>
      <c r="AO177" s="60"/>
      <c r="AP177" s="60"/>
      <c r="AQ177" s="60"/>
      <c r="AR177" s="60"/>
      <c r="AS177" s="60"/>
      <c r="AT177" s="60"/>
      <c r="AU177" s="60"/>
      <c r="AV177" s="60"/>
      <c r="AW177" s="60"/>
      <c r="AX177" s="60"/>
      <c r="AY177" s="60"/>
      <c r="AZ177" s="60"/>
      <c r="BA177" s="60"/>
      <c r="BB177" s="60"/>
      <c r="BC177" s="60"/>
      <c r="BD177" s="60"/>
      <c r="BE177" s="60"/>
      <c r="BF177" s="60"/>
      <c r="BG177" s="60"/>
      <c r="BH177" s="60"/>
      <c r="BI177" s="60"/>
      <c r="BJ177" s="60"/>
      <c r="BK177" s="60"/>
      <c r="BL177" s="60"/>
      <c r="BM177" s="60"/>
    </row>
    <row r="178" spans="1:65" s="51" customFormat="1" ht="30" customHeight="1" thickBot="1" x14ac:dyDescent="0.35">
      <c r="A178" s="46"/>
      <c r="B178" s="70"/>
      <c r="C178" s="69"/>
      <c r="D178" s="68"/>
      <c r="E178" s="67"/>
      <c r="F178" s="67"/>
      <c r="G178" s="61"/>
      <c r="H178" s="61" t="str">
        <f t="shared" si="8"/>
        <v/>
      </c>
      <c r="I178" s="66"/>
      <c r="J178" s="60"/>
      <c r="K178" s="60"/>
      <c r="L178" s="60"/>
      <c r="M178" s="60"/>
      <c r="N178" s="60"/>
      <c r="O178" s="60"/>
      <c r="P178" s="60"/>
      <c r="Q178" s="60"/>
      <c r="R178" s="60"/>
      <c r="S178" s="60"/>
      <c r="T178" s="60"/>
      <c r="U178" s="60"/>
      <c r="V178" s="60"/>
      <c r="W178" s="60"/>
      <c r="X178" s="60"/>
      <c r="Y178" s="60"/>
      <c r="Z178" s="60"/>
      <c r="AA178" s="60"/>
      <c r="AB178" s="60"/>
      <c r="AC178" s="60"/>
      <c r="AD178" s="60"/>
      <c r="AE178" s="60"/>
      <c r="AF178" s="60"/>
      <c r="AG178" s="60"/>
      <c r="AH178" s="60"/>
      <c r="AI178" s="60"/>
      <c r="AJ178" s="60"/>
      <c r="AK178" s="60"/>
      <c r="AL178" s="60"/>
      <c r="AM178" s="60"/>
      <c r="AN178" s="60"/>
      <c r="AO178" s="60"/>
      <c r="AP178" s="60"/>
      <c r="AQ178" s="60"/>
      <c r="AR178" s="60"/>
      <c r="AS178" s="60"/>
      <c r="AT178" s="60"/>
      <c r="AU178" s="60"/>
      <c r="AV178" s="60"/>
      <c r="AW178" s="60"/>
      <c r="AX178" s="60"/>
      <c r="AY178" s="60"/>
      <c r="AZ178" s="60"/>
      <c r="BA178" s="60"/>
      <c r="BB178" s="60"/>
      <c r="BC178" s="60"/>
      <c r="BD178" s="60"/>
      <c r="BE178" s="60"/>
      <c r="BF178" s="60"/>
      <c r="BG178" s="60"/>
      <c r="BH178" s="60"/>
      <c r="BI178" s="60"/>
      <c r="BJ178" s="60"/>
      <c r="BK178" s="60"/>
      <c r="BL178" s="60"/>
      <c r="BM178" s="60"/>
    </row>
    <row r="179" spans="1:65" s="51" customFormat="1" ht="30" customHeight="1" thickBot="1" x14ac:dyDescent="0.35">
      <c r="A179" s="46"/>
      <c r="B179" s="70"/>
      <c r="C179" s="69"/>
      <c r="D179" s="68"/>
      <c r="E179" s="67"/>
      <c r="F179" s="67"/>
      <c r="G179" s="61"/>
      <c r="H179" s="61" t="str">
        <f t="shared" si="8"/>
        <v/>
      </c>
      <c r="I179" s="66"/>
      <c r="J179" s="60"/>
      <c r="K179" s="60"/>
      <c r="L179" s="60"/>
      <c r="M179" s="60"/>
      <c r="N179" s="60"/>
      <c r="O179" s="60"/>
      <c r="P179" s="60"/>
      <c r="Q179" s="60"/>
      <c r="R179" s="60"/>
      <c r="S179" s="60"/>
      <c r="T179" s="60"/>
      <c r="U179" s="60"/>
      <c r="V179" s="60"/>
      <c r="W179" s="60"/>
      <c r="X179" s="60"/>
      <c r="Y179" s="60"/>
      <c r="Z179" s="60"/>
      <c r="AA179" s="60"/>
      <c r="AB179" s="60"/>
      <c r="AC179" s="60"/>
      <c r="AD179" s="60"/>
      <c r="AE179" s="60"/>
      <c r="AF179" s="60"/>
      <c r="AG179" s="60"/>
      <c r="AH179" s="60"/>
      <c r="AI179" s="60"/>
      <c r="AJ179" s="60"/>
      <c r="AK179" s="60"/>
      <c r="AL179" s="60"/>
      <c r="AM179" s="60"/>
      <c r="AN179" s="60"/>
      <c r="AO179" s="60"/>
      <c r="AP179" s="60"/>
      <c r="AQ179" s="60"/>
      <c r="AR179" s="60"/>
      <c r="AS179" s="60"/>
      <c r="AT179" s="60"/>
      <c r="AU179" s="60"/>
      <c r="AV179" s="60"/>
      <c r="AW179" s="60"/>
      <c r="AX179" s="60"/>
      <c r="AY179" s="60"/>
      <c r="AZ179" s="60"/>
      <c r="BA179" s="60"/>
      <c r="BB179" s="60"/>
      <c r="BC179" s="60"/>
      <c r="BD179" s="60"/>
      <c r="BE179" s="60"/>
      <c r="BF179" s="60"/>
      <c r="BG179" s="60"/>
      <c r="BH179" s="60"/>
      <c r="BI179" s="60"/>
      <c r="BJ179" s="60"/>
      <c r="BK179" s="60"/>
      <c r="BL179" s="60"/>
      <c r="BM179" s="60"/>
    </row>
    <row r="180" spans="1:65" s="51" customFormat="1" ht="30" customHeight="1" thickBot="1" x14ac:dyDescent="0.35">
      <c r="A180" s="46"/>
      <c r="B180" s="70"/>
      <c r="C180" s="69"/>
      <c r="D180" s="68"/>
      <c r="E180" s="67"/>
      <c r="F180" s="67"/>
      <c r="G180" s="61"/>
      <c r="H180" s="61" t="str">
        <f t="shared" si="8"/>
        <v/>
      </c>
      <c r="I180" s="66"/>
      <c r="J180" s="60"/>
      <c r="K180" s="60"/>
      <c r="L180" s="60"/>
      <c r="M180" s="60"/>
      <c r="N180" s="60"/>
      <c r="O180" s="60"/>
      <c r="P180" s="60"/>
      <c r="Q180" s="60"/>
      <c r="R180" s="60"/>
      <c r="S180" s="60"/>
      <c r="T180" s="60"/>
      <c r="U180" s="60"/>
      <c r="V180" s="60"/>
      <c r="W180" s="60"/>
      <c r="X180" s="60"/>
      <c r="Y180" s="60"/>
      <c r="Z180" s="60"/>
      <c r="AA180" s="60"/>
      <c r="AB180" s="60"/>
      <c r="AC180" s="60"/>
      <c r="AD180" s="60"/>
      <c r="AE180" s="60"/>
      <c r="AF180" s="60"/>
      <c r="AG180" s="60"/>
      <c r="AH180" s="60"/>
      <c r="AI180" s="60"/>
      <c r="AJ180" s="60"/>
      <c r="AK180" s="60"/>
      <c r="AL180" s="60"/>
      <c r="AM180" s="60"/>
      <c r="AN180" s="60"/>
      <c r="AO180" s="60"/>
      <c r="AP180" s="60"/>
      <c r="AQ180" s="60"/>
      <c r="AR180" s="60"/>
      <c r="AS180" s="60"/>
      <c r="AT180" s="60"/>
      <c r="AU180" s="60"/>
      <c r="AV180" s="60"/>
      <c r="AW180" s="60"/>
      <c r="AX180" s="60"/>
      <c r="AY180" s="60"/>
      <c r="AZ180" s="60"/>
      <c r="BA180" s="60"/>
      <c r="BB180" s="60"/>
      <c r="BC180" s="60"/>
      <c r="BD180" s="60"/>
      <c r="BE180" s="60"/>
      <c r="BF180" s="60"/>
      <c r="BG180" s="60"/>
      <c r="BH180" s="60"/>
      <c r="BI180" s="60"/>
      <c r="BJ180" s="60"/>
      <c r="BK180" s="60"/>
      <c r="BL180" s="60"/>
      <c r="BM180" s="60"/>
    </row>
    <row r="181" spans="1:65" s="51" customFormat="1" ht="30" customHeight="1" thickBot="1" x14ac:dyDescent="0.35">
      <c r="A181" s="46"/>
      <c r="B181" s="70"/>
      <c r="C181" s="69"/>
      <c r="D181" s="68"/>
      <c r="E181" s="67"/>
      <c r="F181" s="67"/>
      <c r="G181" s="61"/>
      <c r="H181" s="61" t="str">
        <f t="shared" si="8"/>
        <v/>
      </c>
      <c r="I181" s="66"/>
      <c r="J181" s="60"/>
      <c r="K181" s="60"/>
      <c r="L181" s="60"/>
      <c r="M181" s="60"/>
      <c r="N181" s="60"/>
      <c r="O181" s="60"/>
      <c r="P181" s="60"/>
      <c r="Q181" s="60"/>
      <c r="R181" s="60"/>
      <c r="S181" s="60"/>
      <c r="T181" s="60"/>
      <c r="U181" s="60"/>
      <c r="V181" s="60"/>
      <c r="W181" s="60"/>
      <c r="X181" s="60"/>
      <c r="Y181" s="60"/>
      <c r="Z181" s="60"/>
      <c r="AA181" s="60"/>
      <c r="AB181" s="60"/>
      <c r="AC181" s="60"/>
      <c r="AD181" s="60"/>
      <c r="AE181" s="60"/>
      <c r="AF181" s="60"/>
      <c r="AG181" s="60"/>
      <c r="AH181" s="60"/>
      <c r="AI181" s="60"/>
      <c r="AJ181" s="60"/>
      <c r="AK181" s="60"/>
      <c r="AL181" s="60"/>
      <c r="AM181" s="60"/>
      <c r="AN181" s="60"/>
      <c r="AO181" s="60"/>
      <c r="AP181" s="60"/>
      <c r="AQ181" s="60"/>
      <c r="AR181" s="60"/>
      <c r="AS181" s="60"/>
      <c r="AT181" s="60"/>
      <c r="AU181" s="60"/>
      <c r="AV181" s="60"/>
      <c r="AW181" s="60"/>
      <c r="AX181" s="60"/>
      <c r="AY181" s="60"/>
      <c r="AZ181" s="60"/>
      <c r="BA181" s="60"/>
      <c r="BB181" s="60"/>
      <c r="BC181" s="60"/>
      <c r="BD181" s="60"/>
      <c r="BE181" s="60"/>
      <c r="BF181" s="60"/>
      <c r="BG181" s="60"/>
      <c r="BH181" s="60"/>
      <c r="BI181" s="60"/>
      <c r="BJ181" s="60"/>
      <c r="BK181" s="60"/>
      <c r="BL181" s="60"/>
      <c r="BM181" s="60"/>
    </row>
    <row r="182" spans="1:65" s="51" customFormat="1" ht="30" customHeight="1" thickBot="1" x14ac:dyDescent="0.35">
      <c r="A182" s="46"/>
      <c r="B182" s="70"/>
      <c r="C182" s="69"/>
      <c r="D182" s="68"/>
      <c r="E182" s="67"/>
      <c r="F182" s="67"/>
      <c r="G182" s="61"/>
      <c r="H182" s="61" t="str">
        <f t="shared" si="8"/>
        <v/>
      </c>
      <c r="I182" s="66"/>
      <c r="J182" s="60"/>
      <c r="K182" s="60"/>
      <c r="L182" s="60"/>
      <c r="M182" s="60"/>
      <c r="N182" s="60"/>
      <c r="O182" s="60"/>
      <c r="P182" s="60"/>
      <c r="Q182" s="60"/>
      <c r="R182" s="60"/>
      <c r="S182" s="60"/>
      <c r="T182" s="60"/>
      <c r="U182" s="60"/>
      <c r="V182" s="60"/>
      <c r="W182" s="60"/>
      <c r="X182" s="60"/>
      <c r="Y182" s="60"/>
      <c r="Z182" s="60"/>
      <c r="AA182" s="60"/>
      <c r="AB182" s="60"/>
      <c r="AC182" s="60"/>
      <c r="AD182" s="60"/>
      <c r="AE182" s="60"/>
      <c r="AF182" s="60"/>
      <c r="AG182" s="60"/>
      <c r="AH182" s="60"/>
      <c r="AI182" s="60"/>
      <c r="AJ182" s="60"/>
      <c r="AK182" s="60"/>
      <c r="AL182" s="60"/>
      <c r="AM182" s="60"/>
      <c r="AN182" s="60"/>
      <c r="AO182" s="60"/>
      <c r="AP182" s="60"/>
      <c r="AQ182" s="60"/>
      <c r="AR182" s="60"/>
      <c r="AS182" s="60"/>
      <c r="AT182" s="60"/>
      <c r="AU182" s="60"/>
      <c r="AV182" s="60"/>
      <c r="AW182" s="60"/>
      <c r="AX182" s="60"/>
      <c r="AY182" s="60"/>
      <c r="AZ182" s="60"/>
      <c r="BA182" s="60"/>
      <c r="BB182" s="60"/>
      <c r="BC182" s="60"/>
      <c r="BD182" s="60"/>
      <c r="BE182" s="60"/>
      <c r="BF182" s="60"/>
      <c r="BG182" s="60"/>
      <c r="BH182" s="60"/>
      <c r="BI182" s="60"/>
      <c r="BJ182" s="60"/>
      <c r="BK182" s="60"/>
      <c r="BL182" s="60"/>
      <c r="BM182" s="60"/>
    </row>
    <row r="183" spans="1:65" s="51" customFormat="1" ht="30" customHeight="1" thickBot="1" x14ac:dyDescent="0.35">
      <c r="A183" s="46"/>
      <c r="B183" s="70"/>
      <c r="C183" s="69"/>
      <c r="D183" s="68"/>
      <c r="E183" s="67"/>
      <c r="F183" s="67"/>
      <c r="G183" s="61"/>
      <c r="H183" s="61"/>
      <c r="I183" s="66"/>
      <c r="J183" s="60"/>
      <c r="K183" s="60"/>
      <c r="L183" s="60"/>
      <c r="M183" s="60"/>
      <c r="N183" s="60"/>
      <c r="O183" s="60"/>
      <c r="P183" s="60"/>
      <c r="Q183" s="60"/>
      <c r="R183" s="60"/>
      <c r="S183" s="60"/>
      <c r="T183" s="60"/>
      <c r="U183" s="60"/>
      <c r="V183" s="60"/>
      <c r="W183" s="60"/>
      <c r="X183" s="60"/>
      <c r="Y183" s="60"/>
      <c r="Z183" s="60"/>
      <c r="AA183" s="60"/>
      <c r="AB183" s="60"/>
      <c r="AC183" s="60"/>
      <c r="AD183" s="60"/>
      <c r="AE183" s="60"/>
      <c r="AF183" s="60"/>
      <c r="AG183" s="60"/>
      <c r="AH183" s="60"/>
      <c r="AI183" s="60"/>
      <c r="AJ183" s="60"/>
      <c r="AK183" s="60"/>
      <c r="AL183" s="60"/>
      <c r="AM183" s="60"/>
      <c r="AN183" s="60"/>
      <c r="AO183" s="60"/>
      <c r="AP183" s="60"/>
      <c r="AQ183" s="60"/>
      <c r="AR183" s="60"/>
      <c r="AS183" s="60"/>
      <c r="AT183" s="60"/>
      <c r="AU183" s="60"/>
      <c r="AV183" s="60"/>
      <c r="AW183" s="60"/>
      <c r="AX183" s="60"/>
      <c r="AY183" s="60"/>
      <c r="AZ183" s="60"/>
      <c r="BA183" s="60"/>
      <c r="BB183" s="60"/>
      <c r="BC183" s="60"/>
      <c r="BD183" s="60"/>
      <c r="BE183" s="60"/>
      <c r="BF183" s="60"/>
      <c r="BG183" s="60"/>
      <c r="BH183" s="60"/>
      <c r="BI183" s="60"/>
      <c r="BJ183" s="60"/>
      <c r="BK183" s="60"/>
      <c r="BL183" s="60"/>
      <c r="BM183" s="60"/>
    </row>
    <row r="184" spans="1:65" s="51" customFormat="1" ht="30" customHeight="1" thickBot="1" x14ac:dyDescent="0.35">
      <c r="A184" s="46"/>
      <c r="B184" s="70"/>
      <c r="C184" s="69"/>
      <c r="D184" s="68"/>
      <c r="E184" s="67"/>
      <c r="F184" s="67"/>
      <c r="G184" s="61"/>
      <c r="H184" s="61"/>
      <c r="I184" s="66"/>
      <c r="J184" s="60"/>
      <c r="K184" s="60"/>
      <c r="L184" s="60"/>
      <c r="M184" s="60"/>
      <c r="N184" s="60"/>
      <c r="O184" s="60"/>
      <c r="P184" s="60"/>
      <c r="Q184" s="60"/>
      <c r="R184" s="60"/>
      <c r="S184" s="60"/>
      <c r="T184" s="60"/>
      <c r="U184" s="60"/>
      <c r="V184" s="60"/>
      <c r="W184" s="60"/>
      <c r="X184" s="60"/>
      <c r="Y184" s="60"/>
      <c r="Z184" s="60"/>
      <c r="AA184" s="60"/>
      <c r="AB184" s="60"/>
      <c r="AC184" s="60"/>
      <c r="AD184" s="60"/>
      <c r="AE184" s="60"/>
      <c r="AF184" s="60"/>
      <c r="AG184" s="60"/>
      <c r="AH184" s="60"/>
      <c r="AI184" s="60"/>
      <c r="AJ184" s="60"/>
      <c r="AK184" s="60"/>
      <c r="AL184" s="60"/>
      <c r="AM184" s="60"/>
      <c r="AN184" s="60"/>
      <c r="AO184" s="60"/>
      <c r="AP184" s="60"/>
      <c r="AQ184" s="60"/>
      <c r="AR184" s="60"/>
      <c r="AS184" s="60"/>
      <c r="AT184" s="60"/>
      <c r="AU184" s="60"/>
      <c r="AV184" s="60"/>
      <c r="AW184" s="60"/>
      <c r="AX184" s="60"/>
      <c r="AY184" s="60"/>
      <c r="AZ184" s="60"/>
      <c r="BA184" s="60"/>
      <c r="BB184" s="60"/>
      <c r="BC184" s="60"/>
      <c r="BD184" s="60"/>
      <c r="BE184" s="60"/>
      <c r="BF184" s="60"/>
      <c r="BG184" s="60"/>
      <c r="BH184" s="60"/>
      <c r="BI184" s="60"/>
      <c r="BJ184" s="60"/>
      <c r="BK184" s="60"/>
      <c r="BL184" s="60"/>
      <c r="BM184" s="60"/>
    </row>
    <row r="185" spans="1:65" s="51" customFormat="1" ht="30" customHeight="1" thickBot="1" x14ac:dyDescent="0.35">
      <c r="A185" s="46"/>
      <c r="B185" s="70" t="s">
        <v>118</v>
      </c>
      <c r="C185" s="69"/>
      <c r="D185" s="68"/>
      <c r="E185" s="67" t="s">
        <v>117</v>
      </c>
      <c r="F185" s="67" t="s">
        <v>117</v>
      </c>
      <c r="G185" s="61"/>
      <c r="H185" s="61" t="e">
        <f>IF(OR(ISBLANK(task_start),ISBLANK(task_end)),"",task_end-task_start+1)</f>
        <v>#VALUE!</v>
      </c>
      <c r="I185" s="66"/>
      <c r="J185" s="60"/>
      <c r="K185" s="60"/>
      <c r="L185" s="60"/>
      <c r="M185" s="60"/>
      <c r="N185" s="60"/>
      <c r="O185" s="60"/>
      <c r="P185" s="60"/>
      <c r="Q185" s="60"/>
      <c r="R185" s="60"/>
      <c r="S185" s="60"/>
      <c r="T185" s="60"/>
      <c r="U185" s="60"/>
      <c r="V185" s="60"/>
      <c r="W185" s="60"/>
      <c r="X185" s="60"/>
      <c r="Y185" s="60"/>
      <c r="Z185" s="60"/>
      <c r="AA185" s="60"/>
      <c r="AB185" s="60"/>
      <c r="AC185" s="60"/>
      <c r="AD185" s="60"/>
      <c r="AE185" s="60"/>
      <c r="AF185" s="60"/>
      <c r="AG185" s="60"/>
      <c r="AH185" s="60"/>
      <c r="AI185" s="60"/>
      <c r="AJ185" s="60"/>
      <c r="AK185" s="60"/>
      <c r="AL185" s="60"/>
      <c r="AM185" s="60"/>
      <c r="AN185" s="60"/>
      <c r="AO185" s="60"/>
      <c r="AP185" s="60"/>
      <c r="AQ185" s="60"/>
      <c r="AR185" s="60"/>
      <c r="AS185" s="60"/>
      <c r="AT185" s="60"/>
      <c r="AU185" s="60"/>
      <c r="AV185" s="60"/>
      <c r="AW185" s="60"/>
      <c r="AX185" s="60"/>
      <c r="AY185" s="60"/>
      <c r="AZ185" s="60"/>
      <c r="BA185" s="60"/>
      <c r="BB185" s="60"/>
      <c r="BC185" s="60"/>
      <c r="BD185" s="60"/>
      <c r="BE185" s="60"/>
      <c r="BF185" s="60"/>
      <c r="BG185" s="60"/>
      <c r="BH185" s="60"/>
      <c r="BI185" s="60"/>
      <c r="BJ185" s="60"/>
      <c r="BK185" s="60"/>
      <c r="BL185" s="60"/>
      <c r="BM185" s="60"/>
    </row>
    <row r="186" spans="1:65" s="51" customFormat="1" ht="30" customHeight="1" thickBot="1" x14ac:dyDescent="0.35">
      <c r="A186" s="46" t="s">
        <v>116</v>
      </c>
      <c r="B186" s="65"/>
      <c r="C186" s="64"/>
      <c r="D186" s="63"/>
      <c r="E186" s="62"/>
      <c r="F186" s="62"/>
      <c r="G186" s="61"/>
      <c r="H186" s="61" t="str">
        <f>IF(OR(ISBLANK(task_start),ISBLANK(task_end)),"",task_end-task_start+1)</f>
        <v/>
      </c>
      <c r="I186" s="61"/>
      <c r="J186" s="60"/>
      <c r="K186" s="60"/>
      <c r="L186" s="60"/>
      <c r="M186" s="60"/>
      <c r="N186" s="60"/>
      <c r="O186" s="60"/>
      <c r="P186" s="60"/>
      <c r="Q186" s="60"/>
      <c r="R186" s="60"/>
      <c r="S186" s="60"/>
      <c r="T186" s="60"/>
      <c r="U186" s="60"/>
      <c r="V186" s="60"/>
      <c r="W186" s="60"/>
      <c r="X186" s="60"/>
      <c r="Y186" s="60"/>
      <c r="Z186" s="60"/>
      <c r="AA186" s="60"/>
      <c r="AB186" s="60"/>
      <c r="AC186" s="60"/>
      <c r="AD186" s="60"/>
      <c r="AE186" s="60"/>
      <c r="AF186" s="60"/>
      <c r="AG186" s="60"/>
      <c r="AH186" s="60"/>
      <c r="AI186" s="60"/>
      <c r="AJ186" s="60"/>
      <c r="AK186" s="60"/>
      <c r="AL186" s="60"/>
      <c r="AM186" s="60"/>
      <c r="AN186" s="60"/>
      <c r="AO186" s="60"/>
      <c r="AP186" s="60"/>
      <c r="AQ186" s="60"/>
      <c r="AR186" s="60"/>
      <c r="AS186" s="60"/>
      <c r="AT186" s="60"/>
      <c r="AU186" s="60"/>
      <c r="AV186" s="60"/>
      <c r="AW186" s="60"/>
      <c r="AX186" s="60"/>
      <c r="AY186" s="60"/>
      <c r="AZ186" s="60"/>
      <c r="BA186" s="60"/>
      <c r="BB186" s="60"/>
      <c r="BC186" s="60"/>
      <c r="BD186" s="60"/>
      <c r="BE186" s="60"/>
      <c r="BF186" s="60"/>
      <c r="BG186" s="60"/>
      <c r="BH186" s="60"/>
      <c r="BI186" s="60"/>
      <c r="BJ186" s="60"/>
      <c r="BK186" s="60"/>
      <c r="BL186" s="60"/>
      <c r="BM186" s="60"/>
    </row>
    <row r="187" spans="1:65" s="51" customFormat="1" ht="30" customHeight="1" thickBot="1" x14ac:dyDescent="0.35">
      <c r="A187" s="59" t="s">
        <v>115</v>
      </c>
      <c r="B187" s="58" t="s">
        <v>114</v>
      </c>
      <c r="C187" s="57"/>
      <c r="D187" s="56"/>
      <c r="E187" s="55"/>
      <c r="F187" s="54"/>
      <c r="G187" s="53"/>
      <c r="H187" s="53" t="str">
        <f>IF(OR(ISBLANK(task_start),ISBLANK(task_end)),"",task_end-task_start+1)</f>
        <v/>
      </c>
      <c r="I187" s="53"/>
      <c r="J187" s="52"/>
      <c r="K187" s="52"/>
      <c r="L187" s="52"/>
      <c r="M187" s="52"/>
      <c r="N187" s="52"/>
      <c r="O187" s="52"/>
      <c r="P187" s="52"/>
      <c r="Q187" s="52"/>
      <c r="R187" s="52"/>
      <c r="S187" s="52"/>
      <c r="T187" s="52"/>
      <c r="U187" s="52"/>
      <c r="V187" s="52"/>
      <c r="W187" s="52"/>
      <c r="X187" s="52"/>
      <c r="Y187" s="52"/>
      <c r="Z187" s="52"/>
      <c r="AA187" s="52"/>
      <c r="AB187" s="52"/>
      <c r="AC187" s="52"/>
      <c r="AD187" s="52"/>
      <c r="AE187" s="52"/>
      <c r="AF187" s="52"/>
      <c r="AG187" s="52"/>
      <c r="AH187" s="52"/>
      <c r="AI187" s="52"/>
      <c r="AJ187" s="52"/>
      <c r="AK187" s="52"/>
      <c r="AL187" s="52"/>
      <c r="AM187" s="52"/>
      <c r="AN187" s="52"/>
      <c r="AO187" s="52"/>
      <c r="AP187" s="52"/>
      <c r="AQ187" s="52"/>
      <c r="AR187" s="52"/>
      <c r="AS187" s="52"/>
      <c r="AT187" s="52"/>
      <c r="AU187" s="52"/>
      <c r="AV187" s="52"/>
      <c r="AW187" s="52"/>
      <c r="AX187" s="52"/>
      <c r="AY187" s="52"/>
      <c r="AZ187" s="52"/>
      <c r="BA187" s="52"/>
      <c r="BB187" s="52"/>
      <c r="BC187" s="52"/>
      <c r="BD187" s="52"/>
      <c r="BE187" s="52"/>
      <c r="BF187" s="52"/>
      <c r="BG187" s="52"/>
      <c r="BH187" s="52"/>
      <c r="BI187" s="52"/>
      <c r="BJ187" s="52"/>
      <c r="BK187" s="52"/>
      <c r="BL187" s="52"/>
      <c r="BM187" s="52"/>
    </row>
    <row r="188" spans="1:65" ht="30" customHeight="1" x14ac:dyDescent="0.3">
      <c r="G188" s="50"/>
    </row>
    <row r="189" spans="1:65" ht="30" customHeight="1" x14ac:dyDescent="0.3">
      <c r="C189" s="49"/>
      <c r="F189" s="48"/>
    </row>
    <row r="190" spans="1:65" ht="30" customHeight="1" x14ac:dyDescent="0.35">
      <c r="C190" s="47"/>
    </row>
    <row r="191" spans="1:65" ht="30" customHeight="1" x14ac:dyDescent="0.3">
      <c r="G191" s="123" t="s">
        <v>359</v>
      </c>
    </row>
  </sheetData>
  <mergeCells count="12">
    <mergeCell ref="AE4:AK4"/>
    <mergeCell ref="AL4:AR4"/>
    <mergeCell ref="AS4:AY4"/>
    <mergeCell ref="AZ4:BF4"/>
    <mergeCell ref="BG4:BM4"/>
    <mergeCell ref="Q4:W4"/>
    <mergeCell ref="X4:AD4"/>
    <mergeCell ref="B5:G5"/>
    <mergeCell ref="C3:D3"/>
    <mergeCell ref="E3:F3"/>
    <mergeCell ref="C4:D4"/>
    <mergeCell ref="J4:P4"/>
  </mergeCells>
  <phoneticPr fontId="34" type="noConversion"/>
  <conditionalFormatting sqref="C35:C87 D7:D187">
    <cfRule type="dataBar" priority="1">
      <dataBar>
        <cfvo type="num" val="0"/>
        <cfvo type="num" val="1"/>
        <color theme="0" tint="-0.249977111117893"/>
      </dataBar>
      <extLst>
        <ext xmlns:x14="http://schemas.microsoft.com/office/spreadsheetml/2009/9/main" uri="{B025F937-C7B1-47D3-B67F-A62EFF666E3E}">
          <x14:id>{15822096-8A44-4E59-BAD6-F2A5C18FCD0D}</x14:id>
        </ext>
      </extLst>
    </cfRule>
  </conditionalFormatting>
  <conditionalFormatting sqref="J5:BM187">
    <cfRule type="expression" dxfId="677" priority="4">
      <formula>AND(TODAY()&gt;=J$5,TODAY()&lt;K$5)</formula>
    </cfRule>
  </conditionalFormatting>
  <conditionalFormatting sqref="J7:BM187">
    <cfRule type="expression" dxfId="676" priority="2">
      <formula>AND(task_start&lt;=J$5,ROUNDDOWN((task_end-task_start+1)*task_progress,0)+task_start-1&gt;=J$5)</formula>
    </cfRule>
    <cfRule type="expression" dxfId="675" priority="3" stopIfTrue="1">
      <formula>AND(task_end&gt;=J$5,task_start&lt;K$5)</formula>
    </cfRule>
  </conditionalFormatting>
  <dataValidations count="1">
    <dataValidation type="whole" operator="greaterThanOrEqual" allowBlank="1" showInputMessage="1" promptTitle="显示周数" prompt="更改此数字将滚动甘特图视图。" sqref="E4">
      <formula1>1</formula1>
    </dataValidation>
  </dataValidations>
  <hyperlinks>
    <hyperlink ref="J2" r:id="rId1"/>
    <hyperlink ref="J1" r:id="rId2"/>
  </hyperlinks>
  <printOptions horizontalCentered="1"/>
  <pageMargins left="0.35" right="0.35" top="0.35" bottom="0.5" header="0.3" footer="0.3"/>
  <pageSetup paperSize="9" scale="51" fitToHeight="0" orientation="landscape" r:id="rId3"/>
  <headerFooter differentFirst="1" scaleWithDoc="0">
    <oddFooter>Page &amp;P of &amp;N</oddFooter>
  </headerFooter>
  <extLst>
    <ext xmlns:x14="http://schemas.microsoft.com/office/spreadsheetml/2009/9/main" uri="{78C0D931-6437-407d-A8EE-F0AAD7539E65}">
      <x14:conditionalFormattings>
        <x14:conditionalFormatting xmlns:xm="http://schemas.microsoft.com/office/excel/2006/main">
          <x14:cfRule type="dataBar" id="{15822096-8A44-4E59-BAD6-F2A5C18FCD0D}">
            <x14:dataBar minLength="0" maxLength="100" gradient="0">
              <x14:cfvo type="num">
                <xm:f>0</xm:f>
              </x14:cfvo>
              <x14:cfvo type="num">
                <xm:f>1</xm:f>
              </x14:cfvo>
              <x14:negativeFillColor rgb="FFFF0000"/>
              <x14:axisColor rgb="FF000000"/>
            </x14:dataBar>
          </x14:cfRule>
          <xm:sqref>C35:C87 D7:D187</xm:sqref>
        </x14:conditionalFormatting>
      </x14:conditionalFormatting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rgb="FF92D050"/>
  </sheetPr>
  <dimension ref="A1:IL21"/>
  <sheetViews>
    <sheetView topLeftCell="C1" zoomScale="115" zoomScaleNormal="115" workbookViewId="0">
      <pane ySplit="3" topLeftCell="A16" activePane="bottomLeft" state="frozen"/>
      <selection pane="bottomLeft" activeCell="H20" sqref="H20"/>
    </sheetView>
  </sheetViews>
  <sheetFormatPr defaultColWidth="9" defaultRowHeight="14.25" x14ac:dyDescent="0.15"/>
  <cols>
    <col min="1" max="1" width="5.375" style="1" customWidth="1"/>
    <col min="2" max="2" width="4.25" style="1" customWidth="1"/>
    <col min="3" max="3" width="33.625" style="1" customWidth="1"/>
    <col min="4" max="4" width="6" style="2" customWidth="1"/>
    <col min="5" max="5" width="10.375" style="1" customWidth="1"/>
    <col min="6" max="6" width="11.75" style="1" customWidth="1"/>
    <col min="7" max="7" width="12.75" style="1" customWidth="1"/>
    <col min="8" max="8" width="12" style="1" customWidth="1"/>
    <col min="9" max="9" width="10.75" style="1" customWidth="1"/>
    <col min="10" max="10" width="8.625" style="1" customWidth="1"/>
    <col min="11" max="11" width="19.375" style="1" hidden="1" customWidth="1"/>
    <col min="12" max="14" width="9" style="1" hidden="1" customWidth="1"/>
    <col min="15" max="15" width="0.25" style="1" hidden="1" customWidth="1"/>
    <col min="16" max="16" width="34.75" style="1" customWidth="1"/>
    <col min="17" max="17" width="43" style="3" customWidth="1"/>
    <col min="18" max="16384" width="9" style="4"/>
  </cols>
  <sheetData>
    <row r="1" spans="1:246" ht="41.25" customHeight="1" x14ac:dyDescent="0.15">
      <c r="A1" s="214" t="s">
        <v>0</v>
      </c>
      <c r="B1" s="214"/>
      <c r="C1" s="214"/>
      <c r="D1" s="214"/>
      <c r="E1" s="214"/>
      <c r="F1" s="214"/>
      <c r="G1" s="214"/>
      <c r="H1" s="214"/>
      <c r="I1" s="214"/>
      <c r="J1" s="214"/>
      <c r="K1" s="214"/>
      <c r="L1" s="214"/>
      <c r="M1" s="214"/>
      <c r="N1" s="214"/>
      <c r="O1" s="214"/>
      <c r="P1" s="214"/>
      <c r="Q1" s="21"/>
      <c r="R1" s="22"/>
      <c r="S1" s="22"/>
      <c r="T1" s="22"/>
      <c r="U1" s="22"/>
      <c r="V1" s="22"/>
      <c r="W1" s="22"/>
      <c r="X1" s="22"/>
      <c r="Y1" s="22"/>
      <c r="Z1" s="22"/>
      <c r="AA1" s="22"/>
      <c r="AB1" s="22"/>
      <c r="AC1" s="22"/>
      <c r="AD1" s="22"/>
      <c r="AE1" s="22"/>
      <c r="AF1" s="22"/>
      <c r="AG1" s="22"/>
      <c r="AH1" s="22"/>
      <c r="AI1" s="22"/>
      <c r="AJ1" s="22"/>
      <c r="AK1" s="22"/>
      <c r="AL1" s="22"/>
      <c r="AM1" s="22"/>
      <c r="AN1" s="22"/>
      <c r="AO1" s="22"/>
      <c r="AP1" s="22"/>
      <c r="AQ1" s="22"/>
      <c r="AR1" s="22"/>
      <c r="AS1" s="22"/>
      <c r="AT1" s="22"/>
      <c r="AU1" s="22"/>
      <c r="AV1" s="22"/>
      <c r="AW1" s="22"/>
      <c r="AX1" s="22"/>
      <c r="AY1" s="22"/>
      <c r="AZ1" s="22"/>
      <c r="BA1" s="22"/>
      <c r="BB1" s="22"/>
      <c r="BC1" s="22"/>
      <c r="BD1" s="22"/>
      <c r="BE1" s="22"/>
      <c r="BF1" s="22"/>
      <c r="BG1" s="22"/>
      <c r="BH1" s="22"/>
      <c r="BI1" s="22"/>
      <c r="BJ1" s="22"/>
      <c r="BK1" s="22"/>
      <c r="BL1" s="22"/>
      <c r="BM1" s="22"/>
      <c r="BN1" s="22"/>
      <c r="BO1" s="22"/>
      <c r="BP1" s="22"/>
      <c r="BQ1" s="22"/>
      <c r="BR1" s="22"/>
      <c r="BS1" s="22"/>
      <c r="BT1" s="22"/>
      <c r="BU1" s="22"/>
      <c r="BV1" s="22"/>
      <c r="BW1" s="22"/>
      <c r="BX1" s="22"/>
      <c r="BY1" s="22"/>
      <c r="BZ1" s="22"/>
      <c r="CA1" s="22"/>
      <c r="CB1" s="22"/>
      <c r="CC1" s="22"/>
      <c r="CD1" s="22"/>
      <c r="CE1" s="22"/>
      <c r="CF1" s="22"/>
      <c r="CG1" s="22"/>
      <c r="CH1" s="22"/>
      <c r="CI1" s="22"/>
      <c r="CJ1" s="22"/>
      <c r="CK1" s="22"/>
      <c r="CL1" s="22"/>
      <c r="CM1" s="22"/>
      <c r="CN1" s="22"/>
      <c r="CO1" s="22"/>
      <c r="CP1" s="22"/>
      <c r="CQ1" s="22"/>
      <c r="CR1" s="22"/>
      <c r="CS1" s="22"/>
      <c r="CT1" s="22"/>
      <c r="CU1" s="22"/>
      <c r="CV1" s="22"/>
      <c r="CW1" s="22"/>
      <c r="CX1" s="22"/>
      <c r="CY1" s="22"/>
      <c r="CZ1" s="22"/>
      <c r="DA1" s="22"/>
      <c r="DB1" s="22"/>
      <c r="DC1" s="22"/>
      <c r="DD1" s="22"/>
      <c r="DE1" s="22"/>
      <c r="DF1" s="22"/>
      <c r="DG1" s="22"/>
      <c r="DH1" s="22"/>
      <c r="DI1" s="22"/>
      <c r="DJ1" s="22"/>
      <c r="DK1" s="22"/>
      <c r="DL1" s="22"/>
      <c r="DM1" s="22"/>
      <c r="DN1" s="22"/>
      <c r="DO1" s="22"/>
      <c r="DP1" s="22"/>
      <c r="DQ1" s="22"/>
      <c r="DR1" s="22"/>
      <c r="DS1" s="22"/>
      <c r="DT1" s="22"/>
      <c r="DU1" s="22"/>
      <c r="DV1" s="22"/>
      <c r="DW1" s="22"/>
      <c r="DX1" s="22"/>
      <c r="DY1" s="22"/>
      <c r="DZ1" s="22"/>
      <c r="EA1" s="22"/>
      <c r="EB1" s="22"/>
      <c r="EC1" s="22"/>
      <c r="ED1" s="22"/>
      <c r="EE1" s="22"/>
      <c r="EF1" s="22"/>
      <c r="EG1" s="22"/>
      <c r="EH1" s="22"/>
      <c r="EI1" s="22"/>
      <c r="EJ1" s="22"/>
      <c r="EK1" s="22"/>
      <c r="EL1" s="22"/>
      <c r="EM1" s="22"/>
      <c r="EN1" s="22"/>
      <c r="EO1" s="22"/>
      <c r="EP1" s="22"/>
      <c r="EQ1" s="22"/>
      <c r="ER1" s="22"/>
      <c r="ES1" s="22"/>
      <c r="ET1" s="22"/>
      <c r="EU1" s="22"/>
      <c r="EV1" s="22"/>
      <c r="EW1" s="22"/>
      <c r="EX1" s="22"/>
      <c r="EY1" s="22"/>
      <c r="EZ1" s="22"/>
      <c r="FA1" s="22"/>
      <c r="FB1" s="22"/>
      <c r="FC1" s="22"/>
      <c r="FD1" s="22"/>
      <c r="FE1" s="22"/>
      <c r="FF1" s="22"/>
      <c r="FG1" s="22"/>
      <c r="FH1" s="22"/>
      <c r="FI1" s="22"/>
      <c r="FJ1" s="22"/>
      <c r="FK1" s="22"/>
      <c r="FL1" s="22"/>
      <c r="FM1" s="22"/>
      <c r="FN1" s="22"/>
      <c r="FO1" s="22"/>
      <c r="FP1" s="22"/>
      <c r="FQ1" s="22"/>
      <c r="FR1" s="22"/>
      <c r="FS1" s="22"/>
      <c r="FT1" s="22"/>
      <c r="FU1" s="22"/>
      <c r="FV1" s="22"/>
      <c r="FW1" s="22"/>
      <c r="FX1" s="22"/>
      <c r="FY1" s="22"/>
      <c r="FZ1" s="22"/>
      <c r="GA1" s="22"/>
      <c r="GB1" s="22"/>
      <c r="GC1" s="22"/>
      <c r="GD1" s="22"/>
      <c r="GE1" s="22"/>
      <c r="GF1" s="22"/>
      <c r="GG1" s="22"/>
      <c r="GH1" s="22"/>
      <c r="GI1" s="22"/>
      <c r="GJ1" s="22"/>
      <c r="GK1" s="22"/>
      <c r="GL1" s="22"/>
      <c r="GM1" s="22"/>
      <c r="GN1" s="22"/>
      <c r="GO1" s="22"/>
      <c r="GP1" s="22"/>
      <c r="GQ1" s="22"/>
      <c r="GR1" s="22"/>
      <c r="GS1" s="22"/>
      <c r="GT1" s="22"/>
      <c r="GU1" s="22"/>
      <c r="GV1" s="22"/>
      <c r="GW1" s="22"/>
      <c r="GX1" s="22"/>
      <c r="GY1" s="22"/>
      <c r="GZ1" s="22"/>
      <c r="HA1" s="22"/>
      <c r="HB1" s="22"/>
      <c r="HC1" s="22"/>
      <c r="HD1" s="22"/>
      <c r="HE1" s="22"/>
      <c r="HF1" s="22"/>
      <c r="HG1" s="22"/>
      <c r="HH1" s="22"/>
      <c r="HI1" s="22"/>
      <c r="HJ1" s="22"/>
      <c r="HK1" s="22"/>
      <c r="HL1" s="22"/>
      <c r="HM1" s="22"/>
      <c r="HN1" s="22"/>
      <c r="HO1" s="22"/>
      <c r="HP1" s="22"/>
      <c r="HQ1" s="22"/>
      <c r="HR1" s="22"/>
      <c r="HS1" s="22"/>
      <c r="HT1" s="22"/>
      <c r="HU1" s="22"/>
      <c r="HV1" s="22"/>
      <c r="HW1" s="22"/>
      <c r="HX1" s="22"/>
      <c r="HY1" s="22"/>
      <c r="HZ1" s="22"/>
      <c r="IA1" s="22"/>
      <c r="IB1" s="22"/>
      <c r="IC1" s="22"/>
      <c r="ID1" s="22"/>
      <c r="IE1" s="22"/>
      <c r="IF1" s="22"/>
      <c r="IG1" s="22"/>
      <c r="IH1" s="22"/>
      <c r="II1" s="22"/>
      <c r="IJ1" s="22"/>
      <c r="IK1" s="22"/>
      <c r="IL1" s="22"/>
    </row>
    <row r="2" spans="1:246" ht="18.75" customHeight="1" x14ac:dyDescent="0.2">
      <c r="A2" s="215" t="s">
        <v>1</v>
      </c>
      <c r="B2" s="215"/>
      <c r="C2" s="5">
        <f ca="1">TODAY()</f>
        <v>44477</v>
      </c>
      <c r="D2" s="6" t="s">
        <v>2</v>
      </c>
      <c r="E2" s="7"/>
      <c r="F2" s="8"/>
      <c r="G2" s="8"/>
      <c r="H2" s="8"/>
      <c r="I2" s="8"/>
      <c r="J2" s="8"/>
      <c r="K2" s="17"/>
      <c r="L2" s="17"/>
      <c r="M2" s="17"/>
      <c r="N2" s="17"/>
      <c r="O2" s="17"/>
      <c r="P2" s="18"/>
      <c r="Q2" s="23"/>
      <c r="R2" s="24"/>
      <c r="S2" s="24"/>
      <c r="T2" s="24"/>
      <c r="U2" s="24"/>
      <c r="V2" s="24"/>
      <c r="W2" s="24"/>
      <c r="X2" s="24"/>
      <c r="Y2" s="24"/>
      <c r="Z2" s="24"/>
      <c r="AA2" s="24"/>
      <c r="AB2" s="24"/>
      <c r="AC2" s="24"/>
      <c r="AD2" s="24"/>
      <c r="AE2" s="24"/>
      <c r="AF2" s="24"/>
      <c r="AG2" s="24"/>
      <c r="AH2" s="24"/>
      <c r="AI2" s="24"/>
      <c r="AJ2" s="24"/>
      <c r="AK2" s="24"/>
      <c r="AL2" s="24"/>
      <c r="AM2" s="24"/>
      <c r="AN2" s="24"/>
      <c r="AO2" s="24"/>
      <c r="AP2" s="24"/>
      <c r="AQ2" s="24"/>
      <c r="AR2" s="24"/>
      <c r="AS2" s="24"/>
      <c r="AT2" s="24"/>
      <c r="AU2" s="24"/>
      <c r="AV2" s="24"/>
      <c r="AW2" s="24"/>
      <c r="AX2" s="24"/>
      <c r="AY2" s="24"/>
      <c r="AZ2" s="24"/>
      <c r="BA2" s="24"/>
      <c r="BB2" s="24"/>
      <c r="BC2" s="24"/>
      <c r="BD2" s="24"/>
      <c r="BE2" s="24"/>
      <c r="BF2" s="24"/>
      <c r="BG2" s="24"/>
      <c r="BH2" s="24"/>
      <c r="BI2" s="24"/>
      <c r="BJ2" s="24"/>
      <c r="BK2" s="24"/>
      <c r="BL2" s="24"/>
      <c r="BM2" s="24"/>
      <c r="BN2" s="24"/>
      <c r="BO2" s="24"/>
      <c r="BP2" s="24"/>
      <c r="BQ2" s="24"/>
      <c r="BR2" s="24"/>
      <c r="BS2" s="24"/>
      <c r="BT2" s="24"/>
      <c r="BU2" s="24"/>
      <c r="BV2" s="24"/>
      <c r="BW2" s="24"/>
      <c r="BX2" s="24"/>
      <c r="BY2" s="24"/>
      <c r="BZ2" s="24"/>
      <c r="CA2" s="24"/>
      <c r="CB2" s="24"/>
      <c r="CC2" s="24"/>
      <c r="CD2" s="24"/>
      <c r="CE2" s="24"/>
      <c r="CF2" s="24"/>
      <c r="CG2" s="24"/>
      <c r="CH2" s="24"/>
      <c r="CI2" s="24"/>
      <c r="CJ2" s="24"/>
      <c r="CK2" s="24"/>
      <c r="CL2" s="24"/>
      <c r="CM2" s="24"/>
      <c r="CN2" s="24"/>
      <c r="CO2" s="24"/>
      <c r="CP2" s="24"/>
      <c r="CQ2" s="24"/>
      <c r="CR2" s="24"/>
      <c r="CS2" s="24"/>
      <c r="CT2" s="24"/>
      <c r="CU2" s="24"/>
      <c r="CV2" s="24"/>
      <c r="CW2" s="24"/>
      <c r="CX2" s="24"/>
      <c r="CY2" s="24"/>
      <c r="CZ2" s="24"/>
      <c r="DA2" s="24"/>
      <c r="DB2" s="24"/>
      <c r="DC2" s="24"/>
      <c r="DD2" s="24"/>
      <c r="DE2" s="24"/>
      <c r="DF2" s="24"/>
      <c r="DG2" s="24"/>
      <c r="DH2" s="24"/>
      <c r="DI2" s="24"/>
      <c r="DJ2" s="24"/>
      <c r="DK2" s="24"/>
      <c r="DL2" s="24"/>
      <c r="DM2" s="24"/>
      <c r="DN2" s="24"/>
      <c r="DO2" s="24"/>
      <c r="DP2" s="24"/>
      <c r="DQ2" s="24"/>
      <c r="DR2" s="24"/>
      <c r="DS2" s="24"/>
      <c r="DT2" s="24"/>
      <c r="DU2" s="24"/>
      <c r="DV2" s="24"/>
      <c r="DW2" s="24"/>
      <c r="DX2" s="24"/>
      <c r="DY2" s="24"/>
      <c r="DZ2" s="24"/>
      <c r="EA2" s="24"/>
      <c r="EB2" s="24"/>
      <c r="EC2" s="24"/>
      <c r="ED2" s="24"/>
      <c r="EE2" s="24"/>
      <c r="EF2" s="24"/>
      <c r="EG2" s="24"/>
      <c r="EH2" s="24"/>
      <c r="EI2" s="24"/>
      <c r="EJ2" s="24"/>
      <c r="EK2" s="24"/>
      <c r="EL2" s="24"/>
      <c r="EM2" s="24"/>
      <c r="EN2" s="24"/>
      <c r="EO2" s="24"/>
      <c r="EP2" s="24"/>
      <c r="EQ2" s="24"/>
      <c r="ER2" s="24"/>
      <c r="ES2" s="24"/>
      <c r="ET2" s="24"/>
      <c r="EU2" s="24"/>
      <c r="EV2" s="24"/>
      <c r="EW2" s="24"/>
      <c r="EX2" s="24"/>
      <c r="EY2" s="24"/>
      <c r="EZ2" s="24"/>
      <c r="FA2" s="24"/>
      <c r="FB2" s="24"/>
      <c r="FC2" s="24"/>
      <c r="FD2" s="24"/>
      <c r="FE2" s="24"/>
      <c r="FF2" s="24"/>
      <c r="FG2" s="24"/>
      <c r="FH2" s="24"/>
      <c r="FI2" s="24"/>
      <c r="FJ2" s="24"/>
      <c r="FK2" s="24"/>
      <c r="FL2" s="24"/>
      <c r="FM2" s="24"/>
      <c r="FN2" s="24"/>
      <c r="FO2" s="24"/>
      <c r="FP2" s="24"/>
      <c r="FQ2" s="24"/>
      <c r="FR2" s="24"/>
      <c r="FS2" s="24"/>
      <c r="FT2" s="24"/>
      <c r="FU2" s="24"/>
      <c r="FV2" s="24"/>
      <c r="FW2" s="24"/>
      <c r="FX2" s="24"/>
      <c r="FY2" s="24"/>
      <c r="FZ2" s="24"/>
      <c r="GA2" s="24"/>
      <c r="GB2" s="24"/>
      <c r="GC2" s="24"/>
      <c r="GD2" s="24"/>
      <c r="GE2" s="24"/>
      <c r="GF2" s="24"/>
      <c r="GG2" s="24"/>
      <c r="GH2" s="24"/>
      <c r="GI2" s="24"/>
      <c r="GJ2" s="24"/>
      <c r="GK2" s="24"/>
      <c r="GL2" s="24"/>
      <c r="GM2" s="24"/>
      <c r="GN2" s="24"/>
      <c r="GO2" s="24"/>
      <c r="GP2" s="24"/>
      <c r="GQ2" s="24"/>
      <c r="GR2" s="24"/>
      <c r="GS2" s="24"/>
      <c r="GT2" s="24"/>
      <c r="GU2" s="24"/>
      <c r="GV2" s="24"/>
      <c r="GW2" s="24"/>
      <c r="GX2" s="24"/>
      <c r="GY2" s="24"/>
      <c r="GZ2" s="24"/>
      <c r="HA2" s="24"/>
      <c r="HB2" s="24"/>
      <c r="HC2" s="24"/>
      <c r="HD2" s="24"/>
      <c r="HE2" s="24"/>
      <c r="HF2" s="24"/>
      <c r="HG2" s="24"/>
      <c r="HH2" s="24"/>
      <c r="HI2" s="24"/>
      <c r="HJ2" s="24"/>
      <c r="HK2" s="24"/>
      <c r="HL2" s="24"/>
      <c r="HM2" s="24"/>
      <c r="HN2" s="24"/>
      <c r="HO2" s="24"/>
      <c r="HP2" s="24"/>
      <c r="HQ2" s="24"/>
      <c r="HR2" s="24"/>
      <c r="HS2" s="24"/>
      <c r="HT2" s="24"/>
      <c r="HU2" s="24"/>
      <c r="HV2" s="24"/>
      <c r="HW2" s="24"/>
      <c r="HX2" s="24"/>
      <c r="HY2" s="24"/>
      <c r="HZ2" s="24"/>
      <c r="IA2" s="24"/>
      <c r="IB2" s="24"/>
      <c r="IC2" s="24"/>
      <c r="ID2" s="24"/>
      <c r="IE2" s="24"/>
      <c r="IF2" s="24"/>
      <c r="IG2" s="24"/>
      <c r="IH2" s="24"/>
      <c r="II2" s="24"/>
      <c r="IJ2" s="24"/>
      <c r="IK2" s="24"/>
      <c r="IL2" s="24"/>
    </row>
    <row r="3" spans="1:246" ht="39" customHeight="1" x14ac:dyDescent="0.15">
      <c r="A3" s="9" t="s">
        <v>3</v>
      </c>
      <c r="B3" s="9" t="s">
        <v>4</v>
      </c>
      <c r="C3" s="9" t="s">
        <v>5</v>
      </c>
      <c r="D3" s="9" t="s">
        <v>6</v>
      </c>
      <c r="E3" s="9" t="s">
        <v>7</v>
      </c>
      <c r="F3" s="9" t="s">
        <v>8</v>
      </c>
      <c r="G3" s="9" t="s">
        <v>9</v>
      </c>
      <c r="H3" s="9" t="s">
        <v>10</v>
      </c>
      <c r="I3" s="9" t="s">
        <v>11</v>
      </c>
      <c r="J3" s="9" t="s">
        <v>12</v>
      </c>
      <c r="K3" s="9" t="s">
        <v>13</v>
      </c>
      <c r="L3" s="9" t="s">
        <v>14</v>
      </c>
      <c r="M3" s="9" t="s">
        <v>15</v>
      </c>
      <c r="N3" s="9" t="s">
        <v>16</v>
      </c>
      <c r="O3" s="9" t="s">
        <v>17</v>
      </c>
      <c r="P3" s="19" t="s">
        <v>18</v>
      </c>
      <c r="Q3" s="37"/>
      <c r="R3" s="26"/>
      <c r="S3" s="26"/>
      <c r="T3" s="26"/>
      <c r="U3" s="26"/>
      <c r="V3" s="26"/>
      <c r="W3" s="26"/>
      <c r="X3" s="26"/>
      <c r="Y3" s="26"/>
      <c r="Z3" s="26"/>
      <c r="AA3" s="26"/>
      <c r="AB3" s="26"/>
      <c r="AC3" s="26"/>
      <c r="AD3" s="26"/>
      <c r="AE3" s="26"/>
      <c r="AF3" s="26"/>
      <c r="AG3" s="26"/>
      <c r="AH3" s="26"/>
      <c r="AI3" s="26"/>
      <c r="AJ3" s="26"/>
      <c r="AK3" s="26"/>
      <c r="AL3" s="26"/>
      <c r="AM3" s="26"/>
      <c r="AN3" s="26"/>
      <c r="AO3" s="26"/>
      <c r="AP3" s="26"/>
      <c r="AQ3" s="26"/>
      <c r="AR3" s="26"/>
      <c r="AS3" s="26"/>
      <c r="AT3" s="26"/>
      <c r="AU3" s="26"/>
      <c r="AV3" s="26"/>
      <c r="AW3" s="26"/>
      <c r="AX3" s="26"/>
      <c r="AY3" s="26"/>
      <c r="AZ3" s="26"/>
      <c r="BA3" s="26"/>
      <c r="BB3" s="26"/>
      <c r="BC3" s="26"/>
      <c r="BD3" s="26"/>
      <c r="BE3" s="26"/>
      <c r="BF3" s="26"/>
      <c r="BG3" s="26"/>
      <c r="BH3" s="26"/>
      <c r="BI3" s="26"/>
      <c r="BJ3" s="26"/>
      <c r="BK3" s="26"/>
      <c r="BL3" s="26"/>
      <c r="BM3" s="26"/>
      <c r="BN3" s="26"/>
      <c r="BO3" s="26"/>
      <c r="BP3" s="26"/>
      <c r="BQ3" s="26"/>
      <c r="BR3" s="26"/>
      <c r="BS3" s="26"/>
      <c r="BT3" s="26"/>
      <c r="BU3" s="26"/>
      <c r="BV3" s="26"/>
      <c r="BW3" s="26"/>
      <c r="BX3" s="26"/>
      <c r="BY3" s="26"/>
      <c r="BZ3" s="26"/>
      <c r="CA3" s="26"/>
      <c r="CB3" s="26"/>
      <c r="CC3" s="26"/>
      <c r="CD3" s="26"/>
      <c r="CE3" s="26"/>
      <c r="CF3" s="26"/>
      <c r="CG3" s="26"/>
      <c r="CH3" s="26"/>
      <c r="CI3" s="26"/>
      <c r="CJ3" s="26"/>
      <c r="CK3" s="26"/>
      <c r="CL3" s="26"/>
      <c r="CM3" s="26"/>
      <c r="CN3" s="26"/>
      <c r="CO3" s="26"/>
      <c r="CP3" s="26"/>
      <c r="CQ3" s="26"/>
      <c r="CR3" s="26"/>
      <c r="CS3" s="26"/>
      <c r="CT3" s="26"/>
      <c r="CU3" s="26"/>
      <c r="CV3" s="26"/>
      <c r="CW3" s="26"/>
      <c r="CX3" s="26"/>
      <c r="CY3" s="26"/>
      <c r="CZ3" s="26"/>
      <c r="DA3" s="26"/>
      <c r="DB3" s="26"/>
      <c r="DC3" s="26"/>
      <c r="DD3" s="26"/>
      <c r="DE3" s="26"/>
      <c r="DF3" s="26"/>
      <c r="DG3" s="26"/>
      <c r="DH3" s="26"/>
      <c r="DI3" s="26"/>
      <c r="DJ3" s="26"/>
      <c r="DK3" s="26"/>
      <c r="DL3" s="26"/>
      <c r="DM3" s="26"/>
      <c r="DN3" s="26"/>
      <c r="DO3" s="26"/>
      <c r="DP3" s="26"/>
      <c r="DQ3" s="26"/>
      <c r="DR3" s="26"/>
      <c r="DS3" s="26"/>
      <c r="DT3" s="26"/>
      <c r="DU3" s="26"/>
      <c r="DV3" s="26"/>
      <c r="DW3" s="26"/>
      <c r="DX3" s="26"/>
      <c r="DY3" s="26"/>
      <c r="DZ3" s="26"/>
      <c r="EA3" s="26"/>
      <c r="EB3" s="26"/>
      <c r="EC3" s="26"/>
      <c r="ED3" s="26"/>
      <c r="EE3" s="26"/>
      <c r="EF3" s="26"/>
      <c r="EG3" s="26"/>
      <c r="EH3" s="26"/>
      <c r="EI3" s="26"/>
      <c r="EJ3" s="26"/>
      <c r="EK3" s="26"/>
      <c r="EL3" s="26"/>
      <c r="EM3" s="26"/>
      <c r="EN3" s="26"/>
      <c r="EO3" s="26"/>
      <c r="EP3" s="26"/>
      <c r="EQ3" s="26"/>
      <c r="ER3" s="26"/>
      <c r="ES3" s="26"/>
      <c r="ET3" s="26"/>
      <c r="EU3" s="26"/>
      <c r="EV3" s="26"/>
      <c r="EW3" s="26"/>
      <c r="EX3" s="26"/>
      <c r="EY3" s="26"/>
      <c r="EZ3" s="26"/>
      <c r="FA3" s="26"/>
      <c r="FB3" s="26"/>
      <c r="FC3" s="26"/>
      <c r="FD3" s="26"/>
      <c r="FE3" s="26"/>
      <c r="FF3" s="26"/>
      <c r="FG3" s="26"/>
      <c r="FH3" s="26"/>
      <c r="FI3" s="26"/>
      <c r="FJ3" s="26"/>
      <c r="FK3" s="26"/>
      <c r="FL3" s="26"/>
      <c r="FM3" s="26"/>
      <c r="FN3" s="26"/>
      <c r="FO3" s="26"/>
      <c r="FP3" s="26"/>
      <c r="FQ3" s="26"/>
      <c r="FR3" s="26"/>
      <c r="FS3" s="26"/>
      <c r="FT3" s="26"/>
      <c r="FU3" s="26"/>
      <c r="FV3" s="26"/>
      <c r="FW3" s="26"/>
      <c r="FX3" s="26"/>
      <c r="FY3" s="26"/>
      <c r="FZ3" s="26"/>
      <c r="GA3" s="26"/>
      <c r="GB3" s="26"/>
      <c r="GC3" s="26"/>
      <c r="GD3" s="26"/>
      <c r="GE3" s="26"/>
      <c r="GF3" s="26"/>
      <c r="GG3" s="26"/>
      <c r="GH3" s="26"/>
      <c r="GI3" s="26"/>
      <c r="GJ3" s="26"/>
      <c r="GK3" s="26"/>
      <c r="GL3" s="26"/>
      <c r="GM3" s="26"/>
      <c r="GN3" s="26"/>
      <c r="GO3" s="26"/>
      <c r="GP3" s="26"/>
      <c r="GQ3" s="26"/>
      <c r="GR3" s="26"/>
      <c r="GS3" s="26"/>
      <c r="GT3" s="26"/>
      <c r="GU3" s="26"/>
      <c r="GV3" s="26"/>
      <c r="GW3" s="26"/>
      <c r="GX3" s="26"/>
      <c r="GY3" s="26"/>
      <c r="GZ3" s="26"/>
      <c r="HA3" s="26"/>
      <c r="HB3" s="26"/>
      <c r="HC3" s="26"/>
      <c r="HD3" s="26"/>
      <c r="HE3" s="26"/>
      <c r="HF3" s="26"/>
      <c r="HG3" s="26"/>
      <c r="HH3" s="26"/>
      <c r="HI3" s="26"/>
      <c r="HJ3" s="26"/>
      <c r="HK3" s="26"/>
      <c r="HL3" s="26"/>
      <c r="HM3" s="26"/>
      <c r="HN3" s="26"/>
      <c r="HO3" s="26"/>
      <c r="HP3" s="26"/>
      <c r="HQ3" s="26"/>
      <c r="HR3" s="26"/>
      <c r="HS3" s="26"/>
      <c r="HT3" s="26"/>
      <c r="HU3" s="26"/>
      <c r="HV3" s="26"/>
      <c r="HW3" s="26"/>
      <c r="HX3" s="26"/>
      <c r="HY3" s="26"/>
      <c r="HZ3" s="26"/>
      <c r="IA3" s="26"/>
      <c r="IB3" s="26"/>
      <c r="IC3" s="26"/>
      <c r="ID3" s="26"/>
      <c r="IE3" s="26"/>
      <c r="IF3" s="26"/>
      <c r="IG3" s="26"/>
      <c r="IH3" s="26"/>
      <c r="II3" s="26"/>
      <c r="IJ3" s="26"/>
      <c r="IK3" s="26"/>
      <c r="IL3" s="26"/>
    </row>
    <row r="4" spans="1:246" ht="60.75" customHeight="1" x14ac:dyDescent="0.15">
      <c r="A4" s="15">
        <v>234</v>
      </c>
      <c r="B4" s="13"/>
      <c r="C4" s="16" t="s">
        <v>19</v>
      </c>
      <c r="D4" s="13" t="s">
        <v>20</v>
      </c>
      <c r="E4" s="30" t="s">
        <v>21</v>
      </c>
      <c r="F4" s="30">
        <v>43640</v>
      </c>
      <c r="G4" s="30">
        <v>43668</v>
      </c>
      <c r="H4" s="30">
        <v>43676</v>
      </c>
      <c r="I4" s="14">
        <v>43696</v>
      </c>
      <c r="J4" s="13" t="str">
        <f t="shared" ref="J4" ca="1" si="0">IF(AND(I4&lt;=$C$2,I4&lt;&gt;0),"DONE",IF(K4&lt;0,"OVERDUE",IF(AND(K4="",O4&lt;0),"OVERDUE","IN TIME")))</f>
        <v>DONE</v>
      </c>
      <c r="K4" s="13">
        <f t="shared" ref="K4" ca="1" si="1">IF(H4&gt;0,H4-$C$2,"")</f>
        <v>-801</v>
      </c>
      <c r="L4" s="13">
        <f t="shared" ref="L4" ca="1" si="2">IF(J4="OVERDUE",1,0)</f>
        <v>0</v>
      </c>
      <c r="M4" s="13">
        <f t="shared" ref="M4" ca="1" si="3">IF(J4="IN TIME",1,0)</f>
        <v>0</v>
      </c>
      <c r="N4" s="13">
        <f t="shared" ref="N4" ca="1" si="4">IF(J4="DONE",1,0)</f>
        <v>1</v>
      </c>
      <c r="O4" s="13">
        <f t="shared" ref="O4" ca="1" si="5">IF(G4&gt;0,G4-$C$2,"")</f>
        <v>-809</v>
      </c>
      <c r="P4" s="41" t="s">
        <v>22</v>
      </c>
      <c r="Q4" s="27"/>
      <c r="R4" s="27"/>
      <c r="S4" s="27"/>
      <c r="T4" s="27"/>
      <c r="U4" s="27"/>
      <c r="V4" s="27"/>
      <c r="W4" s="27"/>
      <c r="X4" s="27"/>
      <c r="Y4" s="27"/>
      <c r="Z4" s="27"/>
      <c r="AA4" s="27"/>
      <c r="AB4" s="27"/>
      <c r="AC4" s="27"/>
      <c r="AD4" s="27"/>
    </row>
    <row r="5" spans="1:246" ht="82.5" customHeight="1" x14ac:dyDescent="0.15">
      <c r="A5" s="15">
        <v>235</v>
      </c>
      <c r="B5" s="13"/>
      <c r="C5" s="28" t="s">
        <v>23</v>
      </c>
      <c r="D5" s="30" t="s">
        <v>24</v>
      </c>
      <c r="E5" s="30" t="s">
        <v>25</v>
      </c>
      <c r="F5" s="30">
        <v>43640</v>
      </c>
      <c r="G5" s="30">
        <v>43646</v>
      </c>
      <c r="H5" s="30">
        <v>43653</v>
      </c>
      <c r="I5" s="30">
        <v>43661</v>
      </c>
      <c r="J5" s="13" t="str">
        <f t="shared" ref="J5" ca="1" si="6">IF(AND(I5&lt;=$C$2,I5&lt;&gt;0),"DONE",IF(K5&lt;0,"OVERDUE",IF(AND(K5="",O5&lt;0),"OVERDUE","IN TIME")))</f>
        <v>DONE</v>
      </c>
      <c r="K5" s="13">
        <f t="shared" ref="K5" ca="1" si="7">IF(H5&gt;0,H5-$C$2,"")</f>
        <v>-824</v>
      </c>
      <c r="L5" s="13">
        <f t="shared" ref="L5" ca="1" si="8">IF(J5="OVERDUE",1,0)</f>
        <v>0</v>
      </c>
      <c r="M5" s="13">
        <f t="shared" ref="M5" ca="1" si="9">IF(J5="IN TIME",1,0)</f>
        <v>0</v>
      </c>
      <c r="N5" s="13">
        <f t="shared" ref="N5" ca="1" si="10">IF(J5="DONE",1,0)</f>
        <v>1</v>
      </c>
      <c r="O5" s="13">
        <f t="shared" ref="O5" ca="1" si="11">IF(G5&gt;0,G5-$C$2,"")</f>
        <v>-831</v>
      </c>
      <c r="P5" s="41" t="s">
        <v>26</v>
      </c>
      <c r="Q5" s="27"/>
      <c r="R5" s="27"/>
      <c r="S5" s="27"/>
      <c r="T5" s="27"/>
      <c r="U5" s="27"/>
      <c r="V5" s="27"/>
      <c r="W5" s="27"/>
      <c r="X5" s="27"/>
      <c r="Y5" s="27"/>
      <c r="Z5" s="27"/>
      <c r="AA5" s="27"/>
      <c r="AB5" s="27"/>
      <c r="AC5" s="27"/>
      <c r="AD5" s="27"/>
    </row>
    <row r="6" spans="1:246" ht="50.25" customHeight="1" x14ac:dyDescent="0.15">
      <c r="A6" s="15">
        <v>236</v>
      </c>
      <c r="B6" s="13"/>
      <c r="C6" s="28" t="s">
        <v>27</v>
      </c>
      <c r="D6" s="30" t="s">
        <v>24</v>
      </c>
      <c r="E6" s="30" t="s">
        <v>21</v>
      </c>
      <c r="F6" s="30">
        <v>43640</v>
      </c>
      <c r="G6" s="30">
        <v>43640</v>
      </c>
      <c r="H6" s="30">
        <v>43647</v>
      </c>
      <c r="I6" s="30">
        <v>43654</v>
      </c>
      <c r="J6" s="13" t="str">
        <f t="shared" ref="J6" ca="1" si="12">IF(AND(I6&lt;=$C$2,I6&lt;&gt;0),"DONE",IF(K6&lt;0,"OVERDUE",IF(AND(K6="",O6&lt;0),"OVERDUE","IN TIME")))</f>
        <v>DONE</v>
      </c>
      <c r="K6" s="13">
        <f t="shared" ref="K6" ca="1" si="13">IF(H6&gt;0,H6-$C$2,"")</f>
        <v>-830</v>
      </c>
      <c r="L6" s="13">
        <f t="shared" ref="L6" ca="1" si="14">IF(J6="OVERDUE",1,0)</f>
        <v>0</v>
      </c>
      <c r="M6" s="13">
        <f t="shared" ref="M6" ca="1" si="15">IF(J6="IN TIME",1,0)</f>
        <v>0</v>
      </c>
      <c r="N6" s="13">
        <f t="shared" ref="N6" ca="1" si="16">IF(J6="DONE",1,0)</f>
        <v>1</v>
      </c>
      <c r="O6" s="13">
        <f t="shared" ref="O6" ca="1" si="17">IF(G6&gt;0,G6-$C$2,"")</f>
        <v>-837</v>
      </c>
      <c r="P6" s="41" t="s">
        <v>28</v>
      </c>
      <c r="Q6" s="27"/>
      <c r="R6" s="27"/>
      <c r="S6" s="27"/>
      <c r="T6" s="27"/>
      <c r="U6" s="27"/>
      <c r="V6" s="27"/>
      <c r="W6" s="27"/>
      <c r="X6" s="27"/>
      <c r="Y6" s="27"/>
      <c r="Z6" s="27"/>
      <c r="AA6" s="27"/>
      <c r="AB6" s="27"/>
      <c r="AC6" s="27"/>
      <c r="AD6" s="27"/>
    </row>
    <row r="7" spans="1:246" ht="74.25" customHeight="1" x14ac:dyDescent="0.15">
      <c r="A7" s="15">
        <v>237</v>
      </c>
      <c r="B7" s="13"/>
      <c r="C7" s="28" t="s">
        <v>29</v>
      </c>
      <c r="D7" s="30" t="s">
        <v>24</v>
      </c>
      <c r="E7" s="30" t="s">
        <v>21</v>
      </c>
      <c r="F7" s="30">
        <v>43640</v>
      </c>
      <c r="G7" s="30">
        <v>43648</v>
      </c>
      <c r="H7" s="30">
        <v>43661</v>
      </c>
      <c r="I7" s="30">
        <v>43661</v>
      </c>
      <c r="J7" s="13" t="str">
        <f t="shared" ref="J7" ca="1" si="18">IF(AND(I7&lt;=$C$2,I7&lt;&gt;0),"DONE",IF(K7&lt;0,"OVERDUE",IF(AND(K7="",O7&lt;0),"OVERDUE","IN TIME")))</f>
        <v>DONE</v>
      </c>
      <c r="K7" s="13">
        <f t="shared" ref="K7" ca="1" si="19">IF(H7&gt;0,H7-$C$2,"")</f>
        <v>-816</v>
      </c>
      <c r="L7" s="13">
        <f t="shared" ref="L7" ca="1" si="20">IF(J7="OVERDUE",1,0)</f>
        <v>0</v>
      </c>
      <c r="M7" s="13">
        <f t="shared" ref="M7" ca="1" si="21">IF(J7="IN TIME",1,0)</f>
        <v>0</v>
      </c>
      <c r="N7" s="13">
        <f t="shared" ref="N7" ca="1" si="22">IF(J7="DONE",1,0)</f>
        <v>1</v>
      </c>
      <c r="O7" s="13">
        <f t="shared" ref="O7" ca="1" si="23">IF(G7&gt;0,G7-$C$2,"")</f>
        <v>-829</v>
      </c>
      <c r="P7" s="41" t="s">
        <v>30</v>
      </c>
      <c r="Q7" s="27"/>
      <c r="R7" s="27"/>
      <c r="S7" s="27"/>
      <c r="T7" s="27"/>
      <c r="U7" s="27"/>
      <c r="V7" s="27"/>
      <c r="W7" s="27"/>
      <c r="X7" s="27"/>
      <c r="Y7" s="27"/>
      <c r="Z7" s="27"/>
      <c r="AA7" s="27"/>
      <c r="AB7" s="27"/>
      <c r="AC7" s="27"/>
      <c r="AD7" s="27"/>
    </row>
    <row r="8" spans="1:246" ht="189" customHeight="1" x14ac:dyDescent="0.15">
      <c r="A8" s="15">
        <v>238</v>
      </c>
      <c r="B8" s="13"/>
      <c r="C8" s="28" t="s">
        <v>31</v>
      </c>
      <c r="D8" s="30" t="s">
        <v>24</v>
      </c>
      <c r="E8" s="30" t="s">
        <v>32</v>
      </c>
      <c r="F8" s="30">
        <v>43640</v>
      </c>
      <c r="G8" s="30">
        <v>43647</v>
      </c>
      <c r="H8" s="30">
        <v>43678</v>
      </c>
      <c r="I8" s="30">
        <v>43683</v>
      </c>
      <c r="J8" s="13" t="str">
        <f t="shared" ref="J8" ca="1" si="24">IF(AND(I8&lt;=$C$2,I8&lt;&gt;0),"DONE",IF(K8&lt;0,"OVERDUE",IF(AND(K8="",O8&lt;0),"OVERDUE","IN TIME")))</f>
        <v>DONE</v>
      </c>
      <c r="K8" s="13">
        <f t="shared" ref="K8" ca="1" si="25">IF(H8&gt;0,H8-$C$2,"")</f>
        <v>-799</v>
      </c>
      <c r="L8" s="13">
        <f t="shared" ref="L8" ca="1" si="26">IF(J8="OVERDUE",1,0)</f>
        <v>0</v>
      </c>
      <c r="M8" s="13">
        <f t="shared" ref="M8" ca="1" si="27">IF(J8="IN TIME",1,0)</f>
        <v>0</v>
      </c>
      <c r="N8" s="13">
        <f t="shared" ref="N8" ca="1" si="28">IF(J8="DONE",1,0)</f>
        <v>1</v>
      </c>
      <c r="O8" s="13">
        <f t="shared" ref="O8" ca="1" si="29">IF(G8&gt;0,G8-$C$2,"")</f>
        <v>-830</v>
      </c>
      <c r="P8" s="41" t="s">
        <v>33</v>
      </c>
      <c r="Q8" s="27"/>
      <c r="R8" s="27"/>
      <c r="S8" s="27"/>
      <c r="T8" s="27"/>
      <c r="U8" s="27"/>
      <c r="V8" s="27"/>
      <c r="W8" s="27"/>
      <c r="X8" s="27"/>
      <c r="Y8" s="27"/>
      <c r="Z8" s="27"/>
      <c r="AA8" s="27"/>
      <c r="AB8" s="27"/>
      <c r="AC8" s="27"/>
      <c r="AD8" s="27"/>
    </row>
    <row r="9" spans="1:246" ht="90.75" customHeight="1" x14ac:dyDescent="0.15">
      <c r="A9" s="15">
        <v>239</v>
      </c>
      <c r="B9" s="13"/>
      <c r="C9" s="40" t="s">
        <v>34</v>
      </c>
      <c r="D9" s="30" t="s">
        <v>24</v>
      </c>
      <c r="E9" s="30" t="s">
        <v>21</v>
      </c>
      <c r="F9" s="30">
        <v>43640</v>
      </c>
      <c r="G9" s="30">
        <v>43678</v>
      </c>
      <c r="H9" s="30">
        <v>43697</v>
      </c>
      <c r="I9" s="30">
        <v>43683</v>
      </c>
      <c r="J9" s="13" t="str">
        <f t="shared" ref="J9" ca="1" si="30">IF(AND(I9&lt;=$C$2,I9&lt;&gt;0),"DONE",IF(K9&lt;0,"OVERDUE",IF(AND(K9="",O9&lt;0),"OVERDUE","IN TIME")))</f>
        <v>DONE</v>
      </c>
      <c r="K9" s="13">
        <f t="shared" ref="K9" ca="1" si="31">IF(H9&gt;0,H9-$C$2,"")</f>
        <v>-780</v>
      </c>
      <c r="L9" s="13">
        <f t="shared" ref="L9" ca="1" si="32">IF(J9="OVERDUE",1,0)</f>
        <v>0</v>
      </c>
      <c r="M9" s="13">
        <f t="shared" ref="M9" ca="1" si="33">IF(J9="IN TIME",1,0)</f>
        <v>0</v>
      </c>
      <c r="N9" s="13">
        <f t="shared" ref="N9" ca="1" si="34">IF(J9="DONE",1,0)</f>
        <v>1</v>
      </c>
      <c r="O9" s="13">
        <f t="shared" ref="O9" ca="1" si="35">IF(G9&gt;0,G9-$C$2,"")</f>
        <v>-799</v>
      </c>
      <c r="P9" s="41" t="s">
        <v>35</v>
      </c>
      <c r="Q9" s="27"/>
      <c r="R9" s="27"/>
      <c r="S9" s="27"/>
      <c r="T9" s="27"/>
      <c r="U9" s="27"/>
      <c r="V9" s="27"/>
      <c r="W9" s="27"/>
      <c r="X9" s="27"/>
      <c r="Y9" s="27"/>
      <c r="Z9" s="27"/>
      <c r="AA9" s="27"/>
      <c r="AB9" s="27"/>
      <c r="AC9" s="27"/>
      <c r="AD9" s="27"/>
    </row>
    <row r="10" spans="1:246" ht="93" customHeight="1" x14ac:dyDescent="0.15">
      <c r="A10" s="15">
        <v>240</v>
      </c>
      <c r="B10" s="13"/>
      <c r="C10" s="28" t="s">
        <v>36</v>
      </c>
      <c r="D10" s="30" t="s">
        <v>37</v>
      </c>
      <c r="E10" s="30" t="s">
        <v>38</v>
      </c>
      <c r="F10" s="30">
        <v>43640</v>
      </c>
      <c r="G10" s="30">
        <v>43661</v>
      </c>
      <c r="H10" s="30">
        <v>43676</v>
      </c>
      <c r="I10" s="30">
        <v>43696</v>
      </c>
      <c r="J10" s="13" t="str">
        <f t="shared" ref="J10" ca="1" si="36">IF(AND(I10&lt;=$C$2,I10&lt;&gt;0),"DONE",IF(K10&lt;0,"OVERDUE",IF(AND(K10="",O10&lt;0),"OVERDUE","IN TIME")))</f>
        <v>DONE</v>
      </c>
      <c r="K10" s="13">
        <f t="shared" ref="K10" ca="1" si="37">IF(H10&gt;0,H10-$C$2,"")</f>
        <v>-801</v>
      </c>
      <c r="L10" s="13">
        <f t="shared" ref="L10" ca="1" si="38">IF(J10="OVERDUE",1,0)</f>
        <v>0</v>
      </c>
      <c r="M10" s="13">
        <f t="shared" ref="M10" ca="1" si="39">IF(J10="IN TIME",1,0)</f>
        <v>0</v>
      </c>
      <c r="N10" s="13">
        <f t="shared" ref="N10" ca="1" si="40">IF(J10="DONE",1,0)</f>
        <v>1</v>
      </c>
      <c r="O10" s="13">
        <f t="shared" ref="O10" ca="1" si="41">IF(G10&gt;0,G10-$C$2,"")</f>
        <v>-816</v>
      </c>
      <c r="P10" s="41" t="s">
        <v>39</v>
      </c>
      <c r="Q10" s="27"/>
      <c r="R10" s="27"/>
      <c r="S10" s="27"/>
      <c r="T10" s="27"/>
      <c r="U10" s="27"/>
      <c r="V10" s="27"/>
      <c r="W10" s="27"/>
      <c r="X10" s="27"/>
      <c r="Y10" s="27"/>
      <c r="Z10" s="27"/>
      <c r="AA10" s="27"/>
      <c r="AB10" s="27"/>
      <c r="AC10" s="27"/>
      <c r="AD10" s="27"/>
    </row>
    <row r="11" spans="1:246" ht="68.25" customHeight="1" x14ac:dyDescent="0.15">
      <c r="A11" s="15">
        <v>241</v>
      </c>
      <c r="B11" s="13"/>
      <c r="C11" s="28" t="s">
        <v>40</v>
      </c>
      <c r="D11" s="30" t="s">
        <v>24</v>
      </c>
      <c r="E11" s="30" t="s">
        <v>38</v>
      </c>
      <c r="F11" s="30">
        <v>43640</v>
      </c>
      <c r="G11" s="30">
        <v>43684</v>
      </c>
      <c r="H11" s="30">
        <v>43691</v>
      </c>
      <c r="I11" s="30">
        <v>43696</v>
      </c>
      <c r="J11" s="13" t="str">
        <f t="shared" ref="J11" ca="1" si="42">IF(AND(I11&lt;=$C$2,I11&lt;&gt;0),"DONE",IF(K11&lt;0,"OVERDUE",IF(AND(K11="",O11&lt;0),"OVERDUE","IN TIME")))</f>
        <v>DONE</v>
      </c>
      <c r="K11" s="13">
        <f t="shared" ref="K11" ca="1" si="43">IF(H11&gt;0,H11-$C$2,"")</f>
        <v>-786</v>
      </c>
      <c r="L11" s="13">
        <f t="shared" ref="L11" ca="1" si="44">IF(J11="OVERDUE",1,0)</f>
        <v>0</v>
      </c>
      <c r="M11" s="13">
        <f t="shared" ref="M11" ca="1" si="45">IF(J11="IN TIME",1,0)</f>
        <v>0</v>
      </c>
      <c r="N11" s="13">
        <f t="shared" ref="N11" ca="1" si="46">IF(J11="DONE",1,0)</f>
        <v>1</v>
      </c>
      <c r="O11" s="13">
        <f t="shared" ref="O11" ca="1" si="47">IF(G11&gt;0,G11-$C$2,"")</f>
        <v>-793</v>
      </c>
      <c r="P11" s="20" t="s">
        <v>41</v>
      </c>
      <c r="Q11" s="27"/>
      <c r="R11" s="27"/>
      <c r="S11" s="27"/>
      <c r="T11" s="27"/>
      <c r="U11" s="27"/>
      <c r="V11" s="27"/>
      <c r="W11" s="27"/>
      <c r="X11" s="27"/>
      <c r="Y11" s="27"/>
      <c r="Z11" s="27"/>
      <c r="AA11" s="27"/>
      <c r="AB11" s="27"/>
      <c r="AC11" s="27"/>
      <c r="AD11" s="27"/>
    </row>
    <row r="12" spans="1:246" ht="60" customHeight="1" x14ac:dyDescent="0.15">
      <c r="A12" s="15">
        <v>242</v>
      </c>
      <c r="B12" s="13"/>
      <c r="C12" s="28" t="s">
        <v>42</v>
      </c>
      <c r="D12" s="30" t="s">
        <v>37</v>
      </c>
      <c r="E12" s="30" t="s">
        <v>21</v>
      </c>
      <c r="F12" s="30">
        <v>43640</v>
      </c>
      <c r="G12" s="30">
        <v>43696</v>
      </c>
      <c r="H12" s="30">
        <v>43703</v>
      </c>
      <c r="I12" s="30">
        <v>43696</v>
      </c>
      <c r="J12" s="13" t="str">
        <f t="shared" ref="J12" ca="1" si="48">IF(AND(I12&lt;=$C$2,I12&lt;&gt;0),"DONE",IF(K12&lt;0,"OVERDUE",IF(AND(K12="",O12&lt;0),"OVERDUE","IN TIME")))</f>
        <v>DONE</v>
      </c>
      <c r="K12" s="13">
        <f t="shared" ref="K12" ca="1" si="49">IF(H12&gt;0,H12-$C$2,"")</f>
        <v>-774</v>
      </c>
      <c r="L12" s="13">
        <f t="shared" ref="L12" ca="1" si="50">IF(J12="OVERDUE",1,0)</f>
        <v>0</v>
      </c>
      <c r="M12" s="13">
        <f t="shared" ref="M12" ca="1" si="51">IF(J12="IN TIME",1,0)</f>
        <v>0</v>
      </c>
      <c r="N12" s="13">
        <f t="shared" ref="N12" ca="1" si="52">IF(J12="DONE",1,0)</f>
        <v>1</v>
      </c>
      <c r="O12" s="13">
        <f t="shared" ref="O12" ca="1" si="53">IF(G12&gt;0,G12-$C$2,"")</f>
        <v>-781</v>
      </c>
      <c r="P12" s="41" t="s">
        <v>43</v>
      </c>
      <c r="Q12" s="27"/>
      <c r="R12" s="27"/>
      <c r="S12" s="27"/>
      <c r="T12" s="27"/>
      <c r="U12" s="27"/>
      <c r="V12" s="27"/>
      <c r="W12" s="27"/>
      <c r="X12" s="27"/>
      <c r="Y12" s="27"/>
      <c r="Z12" s="27"/>
      <c r="AA12" s="27"/>
      <c r="AB12" s="27"/>
      <c r="AC12" s="27"/>
      <c r="AD12" s="27"/>
    </row>
    <row r="13" spans="1:246" ht="24.6" customHeight="1" x14ac:dyDescent="0.15">
      <c r="A13" s="15">
        <v>243</v>
      </c>
      <c r="B13" s="13"/>
      <c r="C13" s="28" t="s">
        <v>44</v>
      </c>
      <c r="D13" s="30" t="s">
        <v>24</v>
      </c>
      <c r="E13" s="30" t="s">
        <v>21</v>
      </c>
      <c r="F13" s="30">
        <v>43682</v>
      </c>
      <c r="G13" s="30">
        <v>43683</v>
      </c>
      <c r="H13" s="30">
        <v>43686</v>
      </c>
      <c r="I13" s="14">
        <v>43696</v>
      </c>
      <c r="J13" s="13" t="str">
        <f t="shared" ref="J13" ca="1" si="54">IF(AND(I13&lt;=$C$2,I13&lt;&gt;0),"DONE",IF(K13&lt;0,"OVERDUE",IF(AND(K13="",O13&lt;0),"OVERDUE","IN TIME")))</f>
        <v>DONE</v>
      </c>
      <c r="K13" s="13">
        <f t="shared" ref="K13" ca="1" si="55">IF(H13&gt;0,H13-$C$2,"")</f>
        <v>-791</v>
      </c>
      <c r="L13" s="13">
        <f t="shared" ref="L13" ca="1" si="56">IF(J13="OVERDUE",1,0)</f>
        <v>0</v>
      </c>
      <c r="M13" s="13">
        <f t="shared" ref="M13" ca="1" si="57">IF(J13="IN TIME",1,0)</f>
        <v>0</v>
      </c>
      <c r="N13" s="13">
        <f t="shared" ref="N13" ca="1" si="58">IF(J13="DONE",1,0)</f>
        <v>1</v>
      </c>
      <c r="O13" s="13">
        <f t="shared" ref="O13" ca="1" si="59">IF(G13&gt;0,G13-$C$2,"")</f>
        <v>-794</v>
      </c>
      <c r="P13" s="20" t="s">
        <v>45</v>
      </c>
      <c r="Q13" s="27"/>
      <c r="R13" s="27"/>
      <c r="S13" s="27"/>
      <c r="T13" s="27"/>
      <c r="U13" s="27"/>
      <c r="V13" s="27"/>
      <c r="W13" s="27"/>
      <c r="X13" s="27"/>
      <c r="Y13" s="27"/>
      <c r="Z13" s="27"/>
      <c r="AA13" s="27"/>
      <c r="AB13" s="27"/>
      <c r="AC13" s="27"/>
      <c r="AD13" s="27"/>
    </row>
    <row r="14" spans="1:246" ht="102" customHeight="1" x14ac:dyDescent="0.15">
      <c r="A14" s="15">
        <v>244</v>
      </c>
      <c r="B14" s="13"/>
      <c r="C14" s="28" t="s">
        <v>46</v>
      </c>
      <c r="D14" s="30" t="s">
        <v>24</v>
      </c>
      <c r="E14" s="30" t="s">
        <v>47</v>
      </c>
      <c r="F14" s="30">
        <v>43696</v>
      </c>
      <c r="G14" s="30">
        <v>43723</v>
      </c>
      <c r="H14" s="30"/>
      <c r="I14" s="31">
        <v>43871</v>
      </c>
      <c r="J14" s="13" t="str">
        <f t="shared" ref="J14" ca="1" si="60">IF(AND(I14&lt;=$C$2,I14&lt;&gt;0),"DONE",IF(K14&lt;0,"OVERDUE",IF(AND(K14="",O14&lt;0),"OVERDUE","IN TIME")))</f>
        <v>DONE</v>
      </c>
      <c r="K14" s="13" t="str">
        <f t="shared" ref="K14" si="61">IF(H14&gt;0,H14-$C$2,"")</f>
        <v/>
      </c>
      <c r="L14" s="13">
        <f t="shared" ref="L14" ca="1" si="62">IF(J14="OVERDUE",1,0)</f>
        <v>0</v>
      </c>
      <c r="M14" s="13">
        <f t="shared" ref="M14" ca="1" si="63">IF(J14="IN TIME",1,0)</f>
        <v>0</v>
      </c>
      <c r="N14" s="13">
        <f t="shared" ref="N14" ca="1" si="64">IF(J14="DONE",1,0)</f>
        <v>1</v>
      </c>
      <c r="O14" s="13">
        <f t="shared" ref="O14" ca="1" si="65">IF(G14&gt;0,G14-$C$2,"")</f>
        <v>-754</v>
      </c>
      <c r="P14" s="20" t="s">
        <v>48</v>
      </c>
      <c r="Q14" s="27"/>
      <c r="R14" s="27"/>
      <c r="S14" s="27"/>
      <c r="T14" s="27"/>
      <c r="U14" s="27"/>
      <c r="V14" s="27"/>
      <c r="W14" s="27"/>
      <c r="X14" s="27"/>
      <c r="Y14" s="27"/>
      <c r="Z14" s="27"/>
      <c r="AA14" s="27"/>
      <c r="AB14" s="27"/>
      <c r="AC14" s="27"/>
      <c r="AD14" s="27"/>
    </row>
    <row r="15" spans="1:246" ht="78.75" customHeight="1" x14ac:dyDescent="0.15">
      <c r="A15" s="15">
        <v>245</v>
      </c>
      <c r="B15" s="13"/>
      <c r="C15" s="16" t="s">
        <v>49</v>
      </c>
      <c r="D15" s="13" t="s">
        <v>24</v>
      </c>
      <c r="E15" s="13" t="s">
        <v>21</v>
      </c>
      <c r="F15" s="14">
        <v>43787</v>
      </c>
      <c r="G15" s="14">
        <v>43792</v>
      </c>
      <c r="H15" s="14"/>
      <c r="I15" s="14">
        <v>43801</v>
      </c>
      <c r="J15" s="13" t="str">
        <f t="shared" ref="J15" ca="1" si="66">IF(AND(I15&lt;=$C$2,I15&lt;&gt;0),"DONE",IF(K15&lt;0,"OVERDUE",IF(AND(K15="",O15&lt;0),"OVERDUE","IN TIME")))</f>
        <v>DONE</v>
      </c>
      <c r="K15" s="13" t="str">
        <f t="shared" ref="K15" si="67">IF(H15&gt;0,H15-$C$2,"")</f>
        <v/>
      </c>
      <c r="L15" s="13">
        <f t="shared" ref="L15" ca="1" si="68">IF(J15="OVERDUE",1,0)</f>
        <v>0</v>
      </c>
      <c r="M15" s="13">
        <f t="shared" ref="M15" ca="1" si="69">IF(J15="IN TIME",1,0)</f>
        <v>0</v>
      </c>
      <c r="N15" s="13">
        <f t="shared" ref="N15" ca="1" si="70">IF(J15="DONE",1,0)</f>
        <v>1</v>
      </c>
      <c r="O15" s="13">
        <f t="shared" ref="O15" ca="1" si="71">IF(G15&gt;0,G15-$C$2,"")</f>
        <v>-685</v>
      </c>
      <c r="P15" s="20" t="s">
        <v>50</v>
      </c>
      <c r="Q15" s="27"/>
      <c r="R15" s="27"/>
      <c r="S15" s="27"/>
      <c r="T15" s="27"/>
      <c r="U15" s="27"/>
      <c r="V15" s="27"/>
      <c r="W15" s="27"/>
      <c r="X15" s="27"/>
      <c r="Y15" s="27"/>
      <c r="Z15" s="27"/>
      <c r="AA15" s="27"/>
      <c r="AB15" s="27"/>
      <c r="AC15" s="27"/>
      <c r="AD15" s="27"/>
    </row>
    <row r="16" spans="1:246" ht="45.75" customHeight="1" x14ac:dyDescent="0.15">
      <c r="A16" s="15">
        <v>246</v>
      </c>
      <c r="B16" s="13"/>
      <c r="C16" s="12" t="s">
        <v>51</v>
      </c>
      <c r="D16" s="13" t="s">
        <v>24</v>
      </c>
      <c r="E16" s="13" t="s">
        <v>21</v>
      </c>
      <c r="F16" s="14">
        <v>43794</v>
      </c>
      <c r="G16" s="14">
        <v>43799</v>
      </c>
      <c r="H16" s="14"/>
      <c r="I16" s="14">
        <v>43806</v>
      </c>
      <c r="J16" s="13" t="str">
        <f t="shared" ref="J16" ca="1" si="72">IF(AND(I16&lt;=$C$2,I16&lt;&gt;0),"DONE",IF(K16&lt;0,"OVERDUE",IF(AND(K16="",O16&lt;0),"OVERDUE","IN TIME")))</f>
        <v>DONE</v>
      </c>
      <c r="K16" s="13" t="str">
        <f t="shared" ref="K16" si="73">IF(H16&gt;0,H16-$C$2,"")</f>
        <v/>
      </c>
      <c r="L16" s="13">
        <f t="shared" ref="L16" ca="1" si="74">IF(J16="OVERDUE",1,0)</f>
        <v>0</v>
      </c>
      <c r="M16" s="13">
        <f t="shared" ref="M16" ca="1" si="75">IF(J16="IN TIME",1,0)</f>
        <v>0</v>
      </c>
      <c r="N16" s="13">
        <f t="shared" ref="N16" ca="1" si="76">IF(J16="DONE",1,0)</f>
        <v>1</v>
      </c>
      <c r="O16" s="13">
        <f t="shared" ref="O16" ca="1" si="77">IF(G16&gt;0,G16-$C$2,"")</f>
        <v>-678</v>
      </c>
      <c r="P16" s="20" t="s">
        <v>52</v>
      </c>
      <c r="Q16" s="27"/>
      <c r="R16" s="27"/>
      <c r="S16" s="27"/>
      <c r="T16" s="27"/>
      <c r="U16" s="27"/>
      <c r="V16" s="27"/>
      <c r="W16" s="27"/>
      <c r="X16" s="27"/>
      <c r="Y16" s="27"/>
      <c r="Z16" s="27"/>
      <c r="AA16" s="27"/>
      <c r="AB16" s="27"/>
      <c r="AC16" s="27"/>
      <c r="AD16" s="27"/>
    </row>
    <row r="17" spans="1:30" ht="24.6" customHeight="1" x14ac:dyDescent="0.15">
      <c r="A17" s="15">
        <v>247</v>
      </c>
      <c r="B17" s="13"/>
      <c r="C17" s="12" t="s">
        <v>364</v>
      </c>
      <c r="D17" s="13" t="s">
        <v>24</v>
      </c>
      <c r="E17" s="13" t="s">
        <v>365</v>
      </c>
      <c r="F17" s="14">
        <v>43899</v>
      </c>
      <c r="G17" s="14">
        <v>43911</v>
      </c>
      <c r="H17" s="14"/>
      <c r="I17" s="14">
        <v>44025</v>
      </c>
      <c r="J17" s="13" t="str">
        <f t="shared" ref="J17" ca="1" si="78">IF(AND(I17&lt;=$C$2,I17&lt;&gt;0),"DONE",IF(K17&lt;0,"OVERDUE",IF(AND(K17="",O17&lt;0),"OVERDUE","IN TIME")))</f>
        <v>DONE</v>
      </c>
      <c r="K17" s="13" t="str">
        <f t="shared" ref="K17" si="79">IF(H17&gt;0,H17-$C$2,"")</f>
        <v/>
      </c>
      <c r="L17" s="13">
        <f t="shared" ref="L17" ca="1" si="80">IF(J17="OVERDUE",1,0)</f>
        <v>0</v>
      </c>
      <c r="M17" s="13">
        <f t="shared" ref="M17" ca="1" si="81">IF(J17="IN TIME",1,0)</f>
        <v>0</v>
      </c>
      <c r="N17" s="13">
        <f t="shared" ref="N17" ca="1" si="82">IF(J17="DONE",1,0)</f>
        <v>1</v>
      </c>
      <c r="O17" s="13">
        <f t="shared" ref="O17" ca="1" si="83">IF(G17&gt;0,G17-$C$2,"")</f>
        <v>-566</v>
      </c>
      <c r="P17" s="20" t="s">
        <v>514</v>
      </c>
      <c r="Q17" s="27"/>
      <c r="R17" s="27"/>
      <c r="S17" s="27"/>
      <c r="T17" s="27"/>
      <c r="U17" s="27"/>
      <c r="V17" s="27"/>
      <c r="W17" s="27"/>
      <c r="X17" s="27"/>
      <c r="Y17" s="27"/>
      <c r="Z17" s="27"/>
      <c r="AA17" s="27"/>
      <c r="AB17" s="27"/>
      <c r="AC17" s="27"/>
      <c r="AD17" s="27"/>
    </row>
    <row r="18" spans="1:30" ht="24.6" customHeight="1" x14ac:dyDescent="0.15">
      <c r="A18" s="15">
        <v>248</v>
      </c>
      <c r="B18" s="13"/>
      <c r="C18" s="12" t="s">
        <v>525</v>
      </c>
      <c r="D18" s="13" t="s">
        <v>24</v>
      </c>
      <c r="E18" s="13" t="s">
        <v>358</v>
      </c>
      <c r="F18" s="14">
        <v>44053</v>
      </c>
      <c r="G18" s="14">
        <v>44064</v>
      </c>
      <c r="H18" s="14"/>
      <c r="I18" s="14">
        <v>44067</v>
      </c>
      <c r="J18" s="13" t="str">
        <f t="shared" ref="J18" ca="1" si="84">IF(AND(I18&lt;=$C$2,I18&lt;&gt;0),"DONE",IF(K18&lt;0,"OVERDUE",IF(AND(K18="",O18&lt;0),"OVERDUE","IN TIME")))</f>
        <v>DONE</v>
      </c>
      <c r="K18" s="13" t="str">
        <f t="shared" ref="K18" si="85">IF(H18&gt;0,H18-$C$2,"")</f>
        <v/>
      </c>
      <c r="L18" s="13">
        <f t="shared" ref="L18" ca="1" si="86">IF(J18="OVERDUE",1,0)</f>
        <v>0</v>
      </c>
      <c r="M18" s="13">
        <f t="shared" ref="M18" ca="1" si="87">IF(J18="IN TIME",1,0)</f>
        <v>0</v>
      </c>
      <c r="N18" s="13">
        <f t="shared" ref="N18" ca="1" si="88">IF(J18="DONE",1,0)</f>
        <v>1</v>
      </c>
      <c r="O18" s="13">
        <f t="shared" ref="O18" ca="1" si="89">IF(G18&gt;0,G18-$C$2,"")</f>
        <v>-413</v>
      </c>
      <c r="P18" s="20" t="s">
        <v>527</v>
      </c>
      <c r="Q18" s="27"/>
      <c r="R18" s="27"/>
      <c r="S18" s="27"/>
      <c r="T18" s="27"/>
      <c r="U18" s="27"/>
      <c r="V18" s="27"/>
      <c r="W18" s="27"/>
      <c r="X18" s="27"/>
      <c r="Y18" s="27"/>
      <c r="Z18" s="27"/>
      <c r="AA18" s="27"/>
      <c r="AB18" s="27"/>
      <c r="AC18" s="27"/>
      <c r="AD18" s="27"/>
    </row>
    <row r="19" spans="1:30" ht="24.6" customHeight="1" x14ac:dyDescent="0.15">
      <c r="A19" s="15">
        <v>249</v>
      </c>
      <c r="B19" s="13"/>
      <c r="C19" s="12"/>
      <c r="D19" s="13"/>
      <c r="E19" s="13"/>
      <c r="F19" s="14"/>
      <c r="G19" s="14"/>
      <c r="H19" s="14"/>
      <c r="I19" s="14"/>
      <c r="J19" s="13" t="str">
        <f t="shared" ref="J19" ca="1" si="90">IF(AND(I19&lt;=$C$2,I19&lt;&gt;0),"DONE",IF(K19&lt;0,"OVERDUE",IF(AND(K19="",O19&lt;0),"OVERDUE","IN TIME")))</f>
        <v>IN TIME</v>
      </c>
      <c r="K19" s="13" t="str">
        <f t="shared" ref="K19" si="91">IF(H19&gt;0,H19-$C$2,"")</f>
        <v/>
      </c>
      <c r="L19" s="13">
        <f t="shared" ref="L19" ca="1" si="92">IF(J19="OVERDUE",1,0)</f>
        <v>0</v>
      </c>
      <c r="M19" s="13">
        <f t="shared" ref="M19" ca="1" si="93">IF(J19="IN TIME",1,0)</f>
        <v>1</v>
      </c>
      <c r="N19" s="13">
        <f t="shared" ref="N19" ca="1" si="94">IF(J19="DONE",1,0)</f>
        <v>0</v>
      </c>
      <c r="O19" s="13" t="str">
        <f t="shared" ref="O19" si="95">IF(G19&gt;0,G19-$C$2,"")</f>
        <v/>
      </c>
      <c r="P19" s="20"/>
      <c r="Q19" s="27"/>
      <c r="R19" s="27"/>
      <c r="S19" s="27"/>
      <c r="T19" s="27"/>
      <c r="U19" s="27"/>
      <c r="V19" s="27"/>
      <c r="W19" s="27"/>
      <c r="X19" s="27"/>
      <c r="Y19" s="27"/>
      <c r="Z19" s="27"/>
      <c r="AA19" s="27"/>
      <c r="AB19" s="27"/>
      <c r="AC19" s="27"/>
      <c r="AD19" s="27"/>
    </row>
    <row r="20" spans="1:30" ht="24.6" customHeight="1" x14ac:dyDescent="0.15">
      <c r="A20" s="15">
        <v>250</v>
      </c>
      <c r="B20" s="13"/>
      <c r="C20" s="12" t="s">
        <v>596</v>
      </c>
      <c r="D20" s="13" t="s">
        <v>24</v>
      </c>
      <c r="E20" s="13" t="s">
        <v>597</v>
      </c>
      <c r="F20" s="14">
        <v>44172</v>
      </c>
      <c r="G20" s="14">
        <v>44179</v>
      </c>
      <c r="H20" s="14"/>
      <c r="I20" s="14">
        <v>44179</v>
      </c>
      <c r="J20" s="13" t="str">
        <f t="shared" ref="J20" ca="1" si="96">IF(AND(I20&lt;=$C$2,I20&lt;&gt;0),"DONE",IF(K20&lt;0,"OVERDUE",IF(AND(K20="",O20&lt;0),"OVERDUE","IN TIME")))</f>
        <v>DONE</v>
      </c>
      <c r="K20" s="13" t="str">
        <f t="shared" ref="K20" si="97">IF(H20&gt;0,H20-$C$2,"")</f>
        <v/>
      </c>
      <c r="L20" s="13">
        <f t="shared" ref="L20" ca="1" si="98">IF(J20="OVERDUE",1,0)</f>
        <v>0</v>
      </c>
      <c r="M20" s="13">
        <f t="shared" ref="M20" ca="1" si="99">IF(J20="IN TIME",1,0)</f>
        <v>0</v>
      </c>
      <c r="N20" s="13">
        <f t="shared" ref="N20" ca="1" si="100">IF(J20="DONE",1,0)</f>
        <v>1</v>
      </c>
      <c r="O20" s="13">
        <f t="shared" ref="O20" ca="1" si="101">IF(G20&gt;0,G20-$C$2,"")</f>
        <v>-298</v>
      </c>
      <c r="P20" s="20" t="s">
        <v>598</v>
      </c>
      <c r="Q20" s="27"/>
      <c r="R20" s="27"/>
      <c r="S20" s="27"/>
      <c r="T20" s="27"/>
      <c r="U20" s="27"/>
      <c r="V20" s="27"/>
      <c r="W20" s="27"/>
      <c r="X20" s="27"/>
      <c r="Y20" s="27"/>
      <c r="Z20" s="27"/>
      <c r="AA20" s="27"/>
      <c r="AB20" s="27"/>
      <c r="AC20" s="27"/>
      <c r="AD20" s="27"/>
    </row>
    <row r="21" spans="1:30" ht="24.6" customHeight="1" x14ac:dyDescent="0.15">
      <c r="A21" s="15">
        <v>251</v>
      </c>
      <c r="B21" s="13"/>
      <c r="C21" s="12"/>
      <c r="D21" s="13"/>
      <c r="E21" s="13"/>
      <c r="F21" s="14"/>
      <c r="G21" s="14"/>
      <c r="H21" s="14"/>
      <c r="I21" s="14"/>
      <c r="J21" s="13" t="str">
        <f t="shared" ref="J21" ca="1" si="102">IF(AND(I21&lt;=$C$2,I21&lt;&gt;0),"DONE",IF(K21&lt;0,"OVERDUE",IF(AND(K21="",O21&lt;0),"OVERDUE","IN TIME")))</f>
        <v>IN TIME</v>
      </c>
      <c r="K21" s="13" t="str">
        <f t="shared" ref="K21" si="103">IF(H21&gt;0,H21-$C$2,"")</f>
        <v/>
      </c>
      <c r="L21" s="13">
        <f t="shared" ref="L21" ca="1" si="104">IF(J21="OVERDUE",1,0)</f>
        <v>0</v>
      </c>
      <c r="M21" s="13">
        <f t="shared" ref="M21" ca="1" si="105">IF(J21="IN TIME",1,0)</f>
        <v>1</v>
      </c>
      <c r="N21" s="13">
        <f t="shared" ref="N21" ca="1" si="106">IF(J21="DONE",1,0)</f>
        <v>0</v>
      </c>
      <c r="O21" s="13" t="str">
        <f t="shared" ref="O21" si="107">IF(G21&gt;0,G21-$C$2,"")</f>
        <v/>
      </c>
      <c r="P21" s="20"/>
      <c r="Q21" s="27"/>
      <c r="R21" s="27"/>
      <c r="S21" s="27"/>
      <c r="T21" s="27"/>
      <c r="U21" s="27"/>
      <c r="V21" s="27"/>
      <c r="W21" s="27"/>
      <c r="X21" s="27"/>
      <c r="Y21" s="27"/>
      <c r="Z21" s="27"/>
      <c r="AA21" s="27"/>
      <c r="AB21" s="27"/>
      <c r="AC21" s="27"/>
      <c r="AD21" s="27"/>
    </row>
  </sheetData>
  <autoFilter ref="A3:P18"/>
  <mergeCells count="2">
    <mergeCell ref="A1:P1"/>
    <mergeCell ref="A2:B2"/>
  </mergeCells>
  <phoneticPr fontId="34" type="noConversion"/>
  <conditionalFormatting sqref="J4">
    <cfRule type="cellIs" dxfId="674" priority="52" operator="equal">
      <formula>"OVERDUE"</formula>
    </cfRule>
    <cfRule type="cellIs" dxfId="673" priority="53" operator="equal">
      <formula>"DONE"</formula>
    </cfRule>
    <cfRule type="cellIs" dxfId="672" priority="54" operator="equal">
      <formula>"DONE"</formula>
    </cfRule>
  </conditionalFormatting>
  <conditionalFormatting sqref="J5">
    <cfRule type="cellIs" dxfId="671" priority="49" operator="equal">
      <formula>"OVERDUE"</formula>
    </cfRule>
    <cfRule type="cellIs" dxfId="670" priority="50" operator="equal">
      <formula>"DONE"</formula>
    </cfRule>
    <cfRule type="cellIs" dxfId="669" priority="51" operator="equal">
      <formula>"DONE"</formula>
    </cfRule>
  </conditionalFormatting>
  <conditionalFormatting sqref="J6">
    <cfRule type="cellIs" dxfId="668" priority="46" operator="equal">
      <formula>"OVERDUE"</formula>
    </cfRule>
    <cfRule type="cellIs" dxfId="667" priority="47" operator="equal">
      <formula>"DONE"</formula>
    </cfRule>
    <cfRule type="cellIs" dxfId="666" priority="48" operator="equal">
      <formula>"DONE"</formula>
    </cfRule>
  </conditionalFormatting>
  <conditionalFormatting sqref="J7">
    <cfRule type="cellIs" dxfId="665" priority="43" operator="equal">
      <formula>"OVERDUE"</formula>
    </cfRule>
    <cfRule type="cellIs" dxfId="664" priority="44" operator="equal">
      <formula>"DONE"</formula>
    </cfRule>
    <cfRule type="cellIs" dxfId="663" priority="45" operator="equal">
      <formula>"DONE"</formula>
    </cfRule>
  </conditionalFormatting>
  <conditionalFormatting sqref="J8">
    <cfRule type="cellIs" dxfId="662" priority="40" operator="equal">
      <formula>"OVERDUE"</formula>
    </cfRule>
    <cfRule type="cellIs" dxfId="661" priority="41" operator="equal">
      <formula>"DONE"</formula>
    </cfRule>
    <cfRule type="cellIs" dxfId="660" priority="42" operator="equal">
      <formula>"DONE"</formula>
    </cfRule>
  </conditionalFormatting>
  <conditionalFormatting sqref="J9">
    <cfRule type="cellIs" dxfId="659" priority="37" operator="equal">
      <formula>"OVERDUE"</formula>
    </cfRule>
    <cfRule type="cellIs" dxfId="658" priority="38" operator="equal">
      <formula>"DONE"</formula>
    </cfRule>
    <cfRule type="cellIs" dxfId="657" priority="39" operator="equal">
      <formula>"DONE"</formula>
    </cfRule>
  </conditionalFormatting>
  <conditionalFormatting sqref="J10">
    <cfRule type="cellIs" dxfId="656" priority="34" operator="equal">
      <formula>"OVERDUE"</formula>
    </cfRule>
    <cfRule type="cellIs" dxfId="655" priority="35" operator="equal">
      <formula>"DONE"</formula>
    </cfRule>
    <cfRule type="cellIs" dxfId="654" priority="36" operator="equal">
      <formula>"DONE"</formula>
    </cfRule>
  </conditionalFormatting>
  <conditionalFormatting sqref="J11">
    <cfRule type="cellIs" dxfId="653" priority="31" operator="equal">
      <formula>"OVERDUE"</formula>
    </cfRule>
    <cfRule type="cellIs" dxfId="652" priority="32" operator="equal">
      <formula>"DONE"</formula>
    </cfRule>
    <cfRule type="cellIs" dxfId="651" priority="33" operator="equal">
      <formula>"DONE"</formula>
    </cfRule>
  </conditionalFormatting>
  <conditionalFormatting sqref="J12">
    <cfRule type="cellIs" dxfId="650" priority="28" operator="equal">
      <formula>"OVERDUE"</formula>
    </cfRule>
    <cfRule type="cellIs" dxfId="649" priority="29" operator="equal">
      <formula>"DONE"</formula>
    </cfRule>
    <cfRule type="cellIs" dxfId="648" priority="30" operator="equal">
      <formula>"DONE"</formula>
    </cfRule>
  </conditionalFormatting>
  <conditionalFormatting sqref="J13">
    <cfRule type="cellIs" dxfId="647" priority="25" operator="equal">
      <formula>"OVERDUE"</formula>
    </cfRule>
    <cfRule type="cellIs" dxfId="646" priority="26" operator="equal">
      <formula>"DONE"</formula>
    </cfRule>
    <cfRule type="cellIs" dxfId="645" priority="27" operator="equal">
      <formula>"DONE"</formula>
    </cfRule>
  </conditionalFormatting>
  <conditionalFormatting sqref="J14">
    <cfRule type="cellIs" dxfId="644" priority="22" operator="equal">
      <formula>"OVERDUE"</formula>
    </cfRule>
    <cfRule type="cellIs" dxfId="643" priority="23" operator="equal">
      <formula>"DONE"</formula>
    </cfRule>
    <cfRule type="cellIs" dxfId="642" priority="24" operator="equal">
      <formula>"DONE"</formula>
    </cfRule>
  </conditionalFormatting>
  <conditionalFormatting sqref="J15">
    <cfRule type="cellIs" dxfId="641" priority="19" operator="equal">
      <formula>"OVERDUE"</formula>
    </cfRule>
    <cfRule type="cellIs" dxfId="640" priority="20" operator="equal">
      <formula>"DONE"</formula>
    </cfRule>
    <cfRule type="cellIs" dxfId="639" priority="21" operator="equal">
      <formula>"DONE"</formula>
    </cfRule>
  </conditionalFormatting>
  <conditionalFormatting sqref="J16">
    <cfRule type="cellIs" dxfId="638" priority="16" operator="equal">
      <formula>"OVERDUE"</formula>
    </cfRule>
    <cfRule type="cellIs" dxfId="637" priority="17" operator="equal">
      <formula>"DONE"</formula>
    </cfRule>
    <cfRule type="cellIs" dxfId="636" priority="18" operator="equal">
      <formula>"DONE"</formula>
    </cfRule>
  </conditionalFormatting>
  <conditionalFormatting sqref="J17">
    <cfRule type="cellIs" dxfId="635" priority="13" operator="equal">
      <formula>"OVERDUE"</formula>
    </cfRule>
    <cfRule type="cellIs" dxfId="634" priority="14" operator="equal">
      <formula>"DONE"</formula>
    </cfRule>
    <cfRule type="cellIs" dxfId="633" priority="15" operator="equal">
      <formula>"DONE"</formula>
    </cfRule>
  </conditionalFormatting>
  <conditionalFormatting sqref="J18">
    <cfRule type="cellIs" dxfId="632" priority="10" operator="equal">
      <formula>"OVERDUE"</formula>
    </cfRule>
    <cfRule type="cellIs" dxfId="631" priority="11" operator="equal">
      <formula>"DONE"</formula>
    </cfRule>
    <cfRule type="cellIs" dxfId="630" priority="12" operator="equal">
      <formula>"DONE"</formula>
    </cfRule>
  </conditionalFormatting>
  <conditionalFormatting sqref="J2:J3 J22:J1048576">
    <cfRule type="cellIs" dxfId="629" priority="910" operator="equal">
      <formula>"OVERDUE"</formula>
    </cfRule>
    <cfRule type="cellIs" dxfId="628" priority="911" operator="equal">
      <formula>"DONE"</formula>
    </cfRule>
    <cfRule type="cellIs" dxfId="627" priority="912" operator="equal">
      <formula>"DONE"</formula>
    </cfRule>
  </conditionalFormatting>
  <conditionalFormatting sqref="J19">
    <cfRule type="cellIs" dxfId="626" priority="7" operator="equal">
      <formula>"OVERDUE"</formula>
    </cfRule>
    <cfRule type="cellIs" dxfId="625" priority="8" operator="equal">
      <formula>"DONE"</formula>
    </cfRule>
    <cfRule type="cellIs" dxfId="624" priority="9" operator="equal">
      <formula>"DONE"</formula>
    </cfRule>
  </conditionalFormatting>
  <conditionalFormatting sqref="J20">
    <cfRule type="cellIs" dxfId="623" priority="4" operator="equal">
      <formula>"OVERDUE"</formula>
    </cfRule>
    <cfRule type="cellIs" dxfId="622" priority="5" operator="equal">
      <formula>"DONE"</formula>
    </cfRule>
    <cfRule type="cellIs" dxfId="621" priority="6" operator="equal">
      <formula>"DONE"</formula>
    </cfRule>
  </conditionalFormatting>
  <conditionalFormatting sqref="J21">
    <cfRule type="cellIs" dxfId="620" priority="1" operator="equal">
      <formula>"OVERDUE"</formula>
    </cfRule>
    <cfRule type="cellIs" dxfId="619" priority="2" operator="equal">
      <formula>"DONE"</formula>
    </cfRule>
    <cfRule type="cellIs" dxfId="618" priority="3" operator="equal">
      <formula>"DONE"</formula>
    </cfRule>
  </conditionalFormatting>
  <dataValidations count="1">
    <dataValidation type="list" allowBlank="1" showInputMessage="1" showErrorMessage="1" sqref="D1:D4 D15:D1048576">
      <formula1>"高,中,低"</formula1>
    </dataValidation>
  </dataValidations>
  <pageMargins left="0.51180555555555596" right="0" top="0.35416666666666702" bottom="0.39305555555555599" header="0.31388888888888899" footer="0.31388888888888899"/>
  <pageSetup paperSize="9"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5132" r:id="rId4" name="Button 12">
              <controlPr defaultSize="0" print="0" autoPict="0" macro="[0]!Insert_Line_moban">
                <anchor moveWithCells="1">
                  <from>
                    <xdr:col>0</xdr:col>
                    <xdr:colOff>104775</xdr:colOff>
                    <xdr:row>21</xdr:row>
                    <xdr:rowOff>85725</xdr:rowOff>
                  </from>
                  <to>
                    <xdr:col>2</xdr:col>
                    <xdr:colOff>695325</xdr:colOff>
                    <xdr:row>22</xdr:row>
                    <xdr:rowOff>161925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rgb="FF92D050"/>
  </sheetPr>
  <dimension ref="A1:IL14"/>
  <sheetViews>
    <sheetView workbookViewId="0">
      <pane ySplit="3" topLeftCell="A6" activePane="bottomLeft" state="frozen"/>
      <selection pane="bottomLeft" activeCell="C7" sqref="C7"/>
    </sheetView>
  </sheetViews>
  <sheetFormatPr defaultColWidth="9" defaultRowHeight="14.25" x14ac:dyDescent="0.15"/>
  <cols>
    <col min="1" max="1" width="5.375" style="1" customWidth="1"/>
    <col min="2" max="2" width="4.25" style="1" customWidth="1"/>
    <col min="3" max="3" width="37.75" style="1" customWidth="1"/>
    <col min="4" max="4" width="6" style="2" customWidth="1"/>
    <col min="5" max="5" width="10.375" style="1" customWidth="1"/>
    <col min="6" max="6" width="11.75" style="1" customWidth="1"/>
    <col min="7" max="7" width="12.75" style="1" customWidth="1"/>
    <col min="8" max="8" width="12" style="1" customWidth="1"/>
    <col min="9" max="9" width="10.75" style="1" customWidth="1"/>
    <col min="10" max="10" width="8.625" style="1" customWidth="1"/>
    <col min="11" max="11" width="19.375" style="1" hidden="1" customWidth="1"/>
    <col min="12" max="14" width="9" style="1" hidden="1" customWidth="1"/>
    <col min="15" max="15" width="0.25" style="1" hidden="1" customWidth="1"/>
    <col min="16" max="16" width="34.75" style="1" customWidth="1"/>
    <col min="17" max="17" width="43" style="3" customWidth="1"/>
    <col min="18" max="16384" width="9" style="4"/>
  </cols>
  <sheetData>
    <row r="1" spans="1:246" ht="41.25" customHeight="1" x14ac:dyDescent="0.15">
      <c r="A1" s="214" t="s">
        <v>0</v>
      </c>
      <c r="B1" s="214"/>
      <c r="C1" s="214"/>
      <c r="D1" s="214"/>
      <c r="E1" s="214"/>
      <c r="F1" s="214"/>
      <c r="G1" s="214"/>
      <c r="H1" s="214"/>
      <c r="I1" s="214"/>
      <c r="J1" s="214"/>
      <c r="K1" s="214"/>
      <c r="L1" s="214"/>
      <c r="M1" s="214"/>
      <c r="N1" s="214"/>
      <c r="O1" s="214"/>
      <c r="P1" s="214"/>
      <c r="Q1" s="21"/>
      <c r="R1" s="22"/>
      <c r="S1" s="22"/>
      <c r="T1" s="22"/>
      <c r="U1" s="22"/>
      <c r="V1" s="22"/>
      <c r="W1" s="22"/>
      <c r="X1" s="22"/>
      <c r="Y1" s="22"/>
      <c r="Z1" s="22"/>
      <c r="AA1" s="22"/>
      <c r="AB1" s="22"/>
      <c r="AC1" s="22"/>
      <c r="AD1" s="22"/>
      <c r="AE1" s="22"/>
      <c r="AF1" s="22"/>
      <c r="AG1" s="22"/>
      <c r="AH1" s="22"/>
      <c r="AI1" s="22"/>
      <c r="AJ1" s="22"/>
      <c r="AK1" s="22"/>
      <c r="AL1" s="22"/>
      <c r="AM1" s="22"/>
      <c r="AN1" s="22"/>
      <c r="AO1" s="22"/>
      <c r="AP1" s="22"/>
      <c r="AQ1" s="22"/>
      <c r="AR1" s="22"/>
      <c r="AS1" s="22"/>
      <c r="AT1" s="22"/>
      <c r="AU1" s="22"/>
      <c r="AV1" s="22"/>
      <c r="AW1" s="22"/>
      <c r="AX1" s="22"/>
      <c r="AY1" s="22"/>
      <c r="AZ1" s="22"/>
      <c r="BA1" s="22"/>
      <c r="BB1" s="22"/>
      <c r="BC1" s="22"/>
      <c r="BD1" s="22"/>
      <c r="BE1" s="22"/>
      <c r="BF1" s="22"/>
      <c r="BG1" s="22"/>
      <c r="BH1" s="22"/>
      <c r="BI1" s="22"/>
      <c r="BJ1" s="22"/>
      <c r="BK1" s="22"/>
      <c r="BL1" s="22"/>
      <c r="BM1" s="22"/>
      <c r="BN1" s="22"/>
      <c r="BO1" s="22"/>
      <c r="BP1" s="22"/>
      <c r="BQ1" s="22"/>
      <c r="BR1" s="22"/>
      <c r="BS1" s="22"/>
      <c r="BT1" s="22"/>
      <c r="BU1" s="22"/>
      <c r="BV1" s="22"/>
      <c r="BW1" s="22"/>
      <c r="BX1" s="22"/>
      <c r="BY1" s="22"/>
      <c r="BZ1" s="22"/>
      <c r="CA1" s="22"/>
      <c r="CB1" s="22"/>
      <c r="CC1" s="22"/>
      <c r="CD1" s="22"/>
      <c r="CE1" s="22"/>
      <c r="CF1" s="22"/>
      <c r="CG1" s="22"/>
      <c r="CH1" s="22"/>
      <c r="CI1" s="22"/>
      <c r="CJ1" s="22"/>
      <c r="CK1" s="22"/>
      <c r="CL1" s="22"/>
      <c r="CM1" s="22"/>
      <c r="CN1" s="22"/>
      <c r="CO1" s="22"/>
      <c r="CP1" s="22"/>
      <c r="CQ1" s="22"/>
      <c r="CR1" s="22"/>
      <c r="CS1" s="22"/>
      <c r="CT1" s="22"/>
      <c r="CU1" s="22"/>
      <c r="CV1" s="22"/>
      <c r="CW1" s="22"/>
      <c r="CX1" s="22"/>
      <c r="CY1" s="22"/>
      <c r="CZ1" s="22"/>
      <c r="DA1" s="22"/>
      <c r="DB1" s="22"/>
      <c r="DC1" s="22"/>
      <c r="DD1" s="22"/>
      <c r="DE1" s="22"/>
      <c r="DF1" s="22"/>
      <c r="DG1" s="22"/>
      <c r="DH1" s="22"/>
      <c r="DI1" s="22"/>
      <c r="DJ1" s="22"/>
      <c r="DK1" s="22"/>
      <c r="DL1" s="22"/>
      <c r="DM1" s="22"/>
      <c r="DN1" s="22"/>
      <c r="DO1" s="22"/>
      <c r="DP1" s="22"/>
      <c r="DQ1" s="22"/>
      <c r="DR1" s="22"/>
      <c r="DS1" s="22"/>
      <c r="DT1" s="22"/>
      <c r="DU1" s="22"/>
      <c r="DV1" s="22"/>
      <c r="DW1" s="22"/>
      <c r="DX1" s="22"/>
      <c r="DY1" s="22"/>
      <c r="DZ1" s="22"/>
      <c r="EA1" s="22"/>
      <c r="EB1" s="22"/>
      <c r="EC1" s="22"/>
      <c r="ED1" s="22"/>
      <c r="EE1" s="22"/>
      <c r="EF1" s="22"/>
      <c r="EG1" s="22"/>
      <c r="EH1" s="22"/>
      <c r="EI1" s="22"/>
      <c r="EJ1" s="22"/>
      <c r="EK1" s="22"/>
      <c r="EL1" s="22"/>
      <c r="EM1" s="22"/>
      <c r="EN1" s="22"/>
      <c r="EO1" s="22"/>
      <c r="EP1" s="22"/>
      <c r="EQ1" s="22"/>
      <c r="ER1" s="22"/>
      <c r="ES1" s="22"/>
      <c r="ET1" s="22"/>
      <c r="EU1" s="22"/>
      <c r="EV1" s="22"/>
      <c r="EW1" s="22"/>
      <c r="EX1" s="22"/>
      <c r="EY1" s="22"/>
      <c r="EZ1" s="22"/>
      <c r="FA1" s="22"/>
      <c r="FB1" s="22"/>
      <c r="FC1" s="22"/>
      <c r="FD1" s="22"/>
      <c r="FE1" s="22"/>
      <c r="FF1" s="22"/>
      <c r="FG1" s="22"/>
      <c r="FH1" s="22"/>
      <c r="FI1" s="22"/>
      <c r="FJ1" s="22"/>
      <c r="FK1" s="22"/>
      <c r="FL1" s="22"/>
      <c r="FM1" s="22"/>
      <c r="FN1" s="22"/>
      <c r="FO1" s="22"/>
      <c r="FP1" s="22"/>
      <c r="FQ1" s="22"/>
      <c r="FR1" s="22"/>
      <c r="FS1" s="22"/>
      <c r="FT1" s="22"/>
      <c r="FU1" s="22"/>
      <c r="FV1" s="22"/>
      <c r="FW1" s="22"/>
      <c r="FX1" s="22"/>
      <c r="FY1" s="22"/>
      <c r="FZ1" s="22"/>
      <c r="GA1" s="22"/>
      <c r="GB1" s="22"/>
      <c r="GC1" s="22"/>
      <c r="GD1" s="22"/>
      <c r="GE1" s="22"/>
      <c r="GF1" s="22"/>
      <c r="GG1" s="22"/>
      <c r="GH1" s="22"/>
      <c r="GI1" s="22"/>
      <c r="GJ1" s="22"/>
      <c r="GK1" s="22"/>
      <c r="GL1" s="22"/>
      <c r="GM1" s="22"/>
      <c r="GN1" s="22"/>
      <c r="GO1" s="22"/>
      <c r="GP1" s="22"/>
      <c r="GQ1" s="22"/>
      <c r="GR1" s="22"/>
      <c r="GS1" s="22"/>
      <c r="GT1" s="22"/>
      <c r="GU1" s="22"/>
      <c r="GV1" s="22"/>
      <c r="GW1" s="22"/>
      <c r="GX1" s="22"/>
      <c r="GY1" s="22"/>
      <c r="GZ1" s="22"/>
      <c r="HA1" s="22"/>
      <c r="HB1" s="22"/>
      <c r="HC1" s="22"/>
      <c r="HD1" s="22"/>
      <c r="HE1" s="22"/>
      <c r="HF1" s="22"/>
      <c r="HG1" s="22"/>
      <c r="HH1" s="22"/>
      <c r="HI1" s="22"/>
      <c r="HJ1" s="22"/>
      <c r="HK1" s="22"/>
      <c r="HL1" s="22"/>
      <c r="HM1" s="22"/>
      <c r="HN1" s="22"/>
      <c r="HO1" s="22"/>
      <c r="HP1" s="22"/>
      <c r="HQ1" s="22"/>
      <c r="HR1" s="22"/>
      <c r="HS1" s="22"/>
      <c r="HT1" s="22"/>
      <c r="HU1" s="22"/>
      <c r="HV1" s="22"/>
      <c r="HW1" s="22"/>
      <c r="HX1" s="22"/>
      <c r="HY1" s="22"/>
      <c r="HZ1" s="22"/>
      <c r="IA1" s="22"/>
      <c r="IB1" s="22"/>
      <c r="IC1" s="22"/>
      <c r="ID1" s="22"/>
      <c r="IE1" s="22"/>
      <c r="IF1" s="22"/>
      <c r="IG1" s="22"/>
      <c r="IH1" s="22"/>
      <c r="II1" s="22"/>
      <c r="IJ1" s="22"/>
      <c r="IK1" s="22"/>
      <c r="IL1" s="22"/>
    </row>
    <row r="2" spans="1:246" ht="18.75" customHeight="1" x14ac:dyDescent="0.2">
      <c r="A2" s="215" t="s">
        <v>1</v>
      </c>
      <c r="B2" s="215"/>
      <c r="C2" s="5">
        <f ca="1">TODAY()</f>
        <v>44477</v>
      </c>
      <c r="D2" s="6" t="s">
        <v>2</v>
      </c>
      <c r="E2" s="7"/>
      <c r="F2" s="8"/>
      <c r="G2" s="8"/>
      <c r="H2" s="8"/>
      <c r="I2" s="8"/>
      <c r="J2" s="8"/>
      <c r="K2" s="17"/>
      <c r="L2" s="17"/>
      <c r="M2" s="17"/>
      <c r="N2" s="17"/>
      <c r="O2" s="17"/>
      <c r="P2" s="18"/>
      <c r="Q2" s="23"/>
      <c r="R2" s="24"/>
      <c r="S2" s="24"/>
      <c r="T2" s="24"/>
      <c r="U2" s="24"/>
      <c r="V2" s="24"/>
      <c r="W2" s="24"/>
      <c r="X2" s="24"/>
      <c r="Y2" s="24"/>
      <c r="Z2" s="24"/>
      <c r="AA2" s="24"/>
      <c r="AB2" s="24"/>
      <c r="AC2" s="24"/>
      <c r="AD2" s="24"/>
      <c r="AE2" s="24"/>
      <c r="AF2" s="24"/>
      <c r="AG2" s="24"/>
      <c r="AH2" s="24"/>
      <c r="AI2" s="24"/>
      <c r="AJ2" s="24"/>
      <c r="AK2" s="24"/>
      <c r="AL2" s="24"/>
      <c r="AM2" s="24"/>
      <c r="AN2" s="24"/>
      <c r="AO2" s="24"/>
      <c r="AP2" s="24"/>
      <c r="AQ2" s="24"/>
      <c r="AR2" s="24"/>
      <c r="AS2" s="24"/>
      <c r="AT2" s="24"/>
      <c r="AU2" s="24"/>
      <c r="AV2" s="24"/>
      <c r="AW2" s="24"/>
      <c r="AX2" s="24"/>
      <c r="AY2" s="24"/>
      <c r="AZ2" s="24"/>
      <c r="BA2" s="24"/>
      <c r="BB2" s="24"/>
      <c r="BC2" s="24"/>
      <c r="BD2" s="24"/>
      <c r="BE2" s="24"/>
      <c r="BF2" s="24"/>
      <c r="BG2" s="24"/>
      <c r="BH2" s="24"/>
      <c r="BI2" s="24"/>
      <c r="BJ2" s="24"/>
      <c r="BK2" s="24"/>
      <c r="BL2" s="24"/>
      <c r="BM2" s="24"/>
      <c r="BN2" s="24"/>
      <c r="BO2" s="24"/>
      <c r="BP2" s="24"/>
      <c r="BQ2" s="24"/>
      <c r="BR2" s="24"/>
      <c r="BS2" s="24"/>
      <c r="BT2" s="24"/>
      <c r="BU2" s="24"/>
      <c r="BV2" s="24"/>
      <c r="BW2" s="24"/>
      <c r="BX2" s="24"/>
      <c r="BY2" s="24"/>
      <c r="BZ2" s="24"/>
      <c r="CA2" s="24"/>
      <c r="CB2" s="24"/>
      <c r="CC2" s="24"/>
      <c r="CD2" s="24"/>
      <c r="CE2" s="24"/>
      <c r="CF2" s="24"/>
      <c r="CG2" s="24"/>
      <c r="CH2" s="24"/>
      <c r="CI2" s="24"/>
      <c r="CJ2" s="24"/>
      <c r="CK2" s="24"/>
      <c r="CL2" s="24"/>
      <c r="CM2" s="24"/>
      <c r="CN2" s="24"/>
      <c r="CO2" s="24"/>
      <c r="CP2" s="24"/>
      <c r="CQ2" s="24"/>
      <c r="CR2" s="24"/>
      <c r="CS2" s="24"/>
      <c r="CT2" s="24"/>
      <c r="CU2" s="24"/>
      <c r="CV2" s="24"/>
      <c r="CW2" s="24"/>
      <c r="CX2" s="24"/>
      <c r="CY2" s="24"/>
      <c r="CZ2" s="24"/>
      <c r="DA2" s="24"/>
      <c r="DB2" s="24"/>
      <c r="DC2" s="24"/>
      <c r="DD2" s="24"/>
      <c r="DE2" s="24"/>
      <c r="DF2" s="24"/>
      <c r="DG2" s="24"/>
      <c r="DH2" s="24"/>
      <c r="DI2" s="24"/>
      <c r="DJ2" s="24"/>
      <c r="DK2" s="24"/>
      <c r="DL2" s="24"/>
      <c r="DM2" s="24"/>
      <c r="DN2" s="24"/>
      <c r="DO2" s="24"/>
      <c r="DP2" s="24"/>
      <c r="DQ2" s="24"/>
      <c r="DR2" s="24"/>
      <c r="DS2" s="24"/>
      <c r="DT2" s="24"/>
      <c r="DU2" s="24"/>
      <c r="DV2" s="24"/>
      <c r="DW2" s="24"/>
      <c r="DX2" s="24"/>
      <c r="DY2" s="24"/>
      <c r="DZ2" s="24"/>
      <c r="EA2" s="24"/>
      <c r="EB2" s="24"/>
      <c r="EC2" s="24"/>
      <c r="ED2" s="24"/>
      <c r="EE2" s="24"/>
      <c r="EF2" s="24"/>
      <c r="EG2" s="24"/>
      <c r="EH2" s="24"/>
      <c r="EI2" s="24"/>
      <c r="EJ2" s="24"/>
      <c r="EK2" s="24"/>
      <c r="EL2" s="24"/>
      <c r="EM2" s="24"/>
      <c r="EN2" s="24"/>
      <c r="EO2" s="24"/>
      <c r="EP2" s="24"/>
      <c r="EQ2" s="24"/>
      <c r="ER2" s="24"/>
      <c r="ES2" s="24"/>
      <c r="ET2" s="24"/>
      <c r="EU2" s="24"/>
      <c r="EV2" s="24"/>
      <c r="EW2" s="24"/>
      <c r="EX2" s="24"/>
      <c r="EY2" s="24"/>
      <c r="EZ2" s="24"/>
      <c r="FA2" s="24"/>
      <c r="FB2" s="24"/>
      <c r="FC2" s="24"/>
      <c r="FD2" s="24"/>
      <c r="FE2" s="24"/>
      <c r="FF2" s="24"/>
      <c r="FG2" s="24"/>
      <c r="FH2" s="24"/>
      <c r="FI2" s="24"/>
      <c r="FJ2" s="24"/>
      <c r="FK2" s="24"/>
      <c r="FL2" s="24"/>
      <c r="FM2" s="24"/>
      <c r="FN2" s="24"/>
      <c r="FO2" s="24"/>
      <c r="FP2" s="24"/>
      <c r="FQ2" s="24"/>
      <c r="FR2" s="24"/>
      <c r="FS2" s="24"/>
      <c r="FT2" s="24"/>
      <c r="FU2" s="24"/>
      <c r="FV2" s="24"/>
      <c r="FW2" s="24"/>
      <c r="FX2" s="24"/>
      <c r="FY2" s="24"/>
      <c r="FZ2" s="24"/>
      <c r="GA2" s="24"/>
      <c r="GB2" s="24"/>
      <c r="GC2" s="24"/>
      <c r="GD2" s="24"/>
      <c r="GE2" s="24"/>
      <c r="GF2" s="24"/>
      <c r="GG2" s="24"/>
      <c r="GH2" s="24"/>
      <c r="GI2" s="24"/>
      <c r="GJ2" s="24"/>
      <c r="GK2" s="24"/>
      <c r="GL2" s="24"/>
      <c r="GM2" s="24"/>
      <c r="GN2" s="24"/>
      <c r="GO2" s="24"/>
      <c r="GP2" s="24"/>
      <c r="GQ2" s="24"/>
      <c r="GR2" s="24"/>
      <c r="GS2" s="24"/>
      <c r="GT2" s="24"/>
      <c r="GU2" s="24"/>
      <c r="GV2" s="24"/>
      <c r="GW2" s="24"/>
      <c r="GX2" s="24"/>
      <c r="GY2" s="24"/>
      <c r="GZ2" s="24"/>
      <c r="HA2" s="24"/>
      <c r="HB2" s="24"/>
      <c r="HC2" s="24"/>
      <c r="HD2" s="24"/>
      <c r="HE2" s="24"/>
      <c r="HF2" s="24"/>
      <c r="HG2" s="24"/>
      <c r="HH2" s="24"/>
      <c r="HI2" s="24"/>
      <c r="HJ2" s="24"/>
      <c r="HK2" s="24"/>
      <c r="HL2" s="24"/>
      <c r="HM2" s="24"/>
      <c r="HN2" s="24"/>
      <c r="HO2" s="24"/>
      <c r="HP2" s="24"/>
      <c r="HQ2" s="24"/>
      <c r="HR2" s="24"/>
      <c r="HS2" s="24"/>
      <c r="HT2" s="24"/>
      <c r="HU2" s="24"/>
      <c r="HV2" s="24"/>
      <c r="HW2" s="24"/>
      <c r="HX2" s="24"/>
      <c r="HY2" s="24"/>
      <c r="HZ2" s="24"/>
      <c r="IA2" s="24"/>
      <c r="IB2" s="24"/>
      <c r="IC2" s="24"/>
      <c r="ID2" s="24"/>
      <c r="IE2" s="24"/>
      <c r="IF2" s="24"/>
      <c r="IG2" s="24"/>
      <c r="IH2" s="24"/>
      <c r="II2" s="24"/>
      <c r="IJ2" s="24"/>
      <c r="IK2" s="24"/>
      <c r="IL2" s="24"/>
    </row>
    <row r="3" spans="1:246" ht="39" customHeight="1" x14ac:dyDescent="0.15">
      <c r="A3" s="9" t="s">
        <v>3</v>
      </c>
      <c r="B3" s="9" t="s">
        <v>4</v>
      </c>
      <c r="C3" s="9" t="s">
        <v>5</v>
      </c>
      <c r="D3" s="9" t="s">
        <v>6</v>
      </c>
      <c r="E3" s="9" t="s">
        <v>7</v>
      </c>
      <c r="F3" s="9" t="s">
        <v>8</v>
      </c>
      <c r="G3" s="9" t="s">
        <v>9</v>
      </c>
      <c r="H3" s="9" t="s">
        <v>10</v>
      </c>
      <c r="I3" s="9" t="s">
        <v>11</v>
      </c>
      <c r="J3" s="9" t="s">
        <v>12</v>
      </c>
      <c r="K3" s="9" t="s">
        <v>13</v>
      </c>
      <c r="L3" s="9" t="s">
        <v>14</v>
      </c>
      <c r="M3" s="9" t="s">
        <v>15</v>
      </c>
      <c r="N3" s="9" t="s">
        <v>16</v>
      </c>
      <c r="O3" s="9" t="s">
        <v>17</v>
      </c>
      <c r="P3" s="19" t="s">
        <v>18</v>
      </c>
      <c r="Q3" s="37"/>
      <c r="R3" s="26"/>
      <c r="S3" s="26"/>
      <c r="T3" s="26"/>
      <c r="U3" s="26"/>
      <c r="V3" s="26"/>
      <c r="W3" s="26"/>
      <c r="X3" s="26"/>
      <c r="Y3" s="26"/>
      <c r="Z3" s="26"/>
      <c r="AA3" s="26"/>
      <c r="AB3" s="26"/>
      <c r="AC3" s="26"/>
      <c r="AD3" s="26"/>
      <c r="AE3" s="26"/>
      <c r="AF3" s="26"/>
      <c r="AG3" s="26"/>
      <c r="AH3" s="26"/>
      <c r="AI3" s="26"/>
      <c r="AJ3" s="26"/>
      <c r="AK3" s="26"/>
      <c r="AL3" s="26"/>
      <c r="AM3" s="26"/>
      <c r="AN3" s="26"/>
      <c r="AO3" s="26"/>
      <c r="AP3" s="26"/>
      <c r="AQ3" s="26"/>
      <c r="AR3" s="26"/>
      <c r="AS3" s="26"/>
      <c r="AT3" s="26"/>
      <c r="AU3" s="26"/>
      <c r="AV3" s="26"/>
      <c r="AW3" s="26"/>
      <c r="AX3" s="26"/>
      <c r="AY3" s="26"/>
      <c r="AZ3" s="26"/>
      <c r="BA3" s="26"/>
      <c r="BB3" s="26"/>
      <c r="BC3" s="26"/>
      <c r="BD3" s="26"/>
      <c r="BE3" s="26"/>
      <c r="BF3" s="26"/>
      <c r="BG3" s="26"/>
      <c r="BH3" s="26"/>
      <c r="BI3" s="26"/>
      <c r="BJ3" s="26"/>
      <c r="BK3" s="26"/>
      <c r="BL3" s="26"/>
      <c r="BM3" s="26"/>
      <c r="BN3" s="26"/>
      <c r="BO3" s="26"/>
      <c r="BP3" s="26"/>
      <c r="BQ3" s="26"/>
      <c r="BR3" s="26"/>
      <c r="BS3" s="26"/>
      <c r="BT3" s="26"/>
      <c r="BU3" s="26"/>
      <c r="BV3" s="26"/>
      <c r="BW3" s="26"/>
      <c r="BX3" s="26"/>
      <c r="BY3" s="26"/>
      <c r="BZ3" s="26"/>
      <c r="CA3" s="26"/>
      <c r="CB3" s="26"/>
      <c r="CC3" s="26"/>
      <c r="CD3" s="26"/>
      <c r="CE3" s="26"/>
      <c r="CF3" s="26"/>
      <c r="CG3" s="26"/>
      <c r="CH3" s="26"/>
      <c r="CI3" s="26"/>
      <c r="CJ3" s="26"/>
      <c r="CK3" s="26"/>
      <c r="CL3" s="26"/>
      <c r="CM3" s="26"/>
      <c r="CN3" s="26"/>
      <c r="CO3" s="26"/>
      <c r="CP3" s="26"/>
      <c r="CQ3" s="26"/>
      <c r="CR3" s="26"/>
      <c r="CS3" s="26"/>
      <c r="CT3" s="26"/>
      <c r="CU3" s="26"/>
      <c r="CV3" s="26"/>
      <c r="CW3" s="26"/>
      <c r="CX3" s="26"/>
      <c r="CY3" s="26"/>
      <c r="CZ3" s="26"/>
      <c r="DA3" s="26"/>
      <c r="DB3" s="26"/>
      <c r="DC3" s="26"/>
      <c r="DD3" s="26"/>
      <c r="DE3" s="26"/>
      <c r="DF3" s="26"/>
      <c r="DG3" s="26"/>
      <c r="DH3" s="26"/>
      <c r="DI3" s="26"/>
      <c r="DJ3" s="26"/>
      <c r="DK3" s="26"/>
      <c r="DL3" s="26"/>
      <c r="DM3" s="26"/>
      <c r="DN3" s="26"/>
      <c r="DO3" s="26"/>
      <c r="DP3" s="26"/>
      <c r="DQ3" s="26"/>
      <c r="DR3" s="26"/>
      <c r="DS3" s="26"/>
      <c r="DT3" s="26"/>
      <c r="DU3" s="26"/>
      <c r="DV3" s="26"/>
      <c r="DW3" s="26"/>
      <c r="DX3" s="26"/>
      <c r="DY3" s="26"/>
      <c r="DZ3" s="26"/>
      <c r="EA3" s="26"/>
      <c r="EB3" s="26"/>
      <c r="EC3" s="26"/>
      <c r="ED3" s="26"/>
      <c r="EE3" s="26"/>
      <c r="EF3" s="26"/>
      <c r="EG3" s="26"/>
      <c r="EH3" s="26"/>
      <c r="EI3" s="26"/>
      <c r="EJ3" s="26"/>
      <c r="EK3" s="26"/>
      <c r="EL3" s="26"/>
      <c r="EM3" s="26"/>
      <c r="EN3" s="26"/>
      <c r="EO3" s="26"/>
      <c r="EP3" s="26"/>
      <c r="EQ3" s="26"/>
      <c r="ER3" s="26"/>
      <c r="ES3" s="26"/>
      <c r="ET3" s="26"/>
      <c r="EU3" s="26"/>
      <c r="EV3" s="26"/>
      <c r="EW3" s="26"/>
      <c r="EX3" s="26"/>
      <c r="EY3" s="26"/>
      <c r="EZ3" s="26"/>
      <c r="FA3" s="26"/>
      <c r="FB3" s="26"/>
      <c r="FC3" s="26"/>
      <c r="FD3" s="26"/>
      <c r="FE3" s="26"/>
      <c r="FF3" s="26"/>
      <c r="FG3" s="26"/>
      <c r="FH3" s="26"/>
      <c r="FI3" s="26"/>
      <c r="FJ3" s="26"/>
      <c r="FK3" s="26"/>
      <c r="FL3" s="26"/>
      <c r="FM3" s="26"/>
      <c r="FN3" s="26"/>
      <c r="FO3" s="26"/>
      <c r="FP3" s="26"/>
      <c r="FQ3" s="26"/>
      <c r="FR3" s="26"/>
      <c r="FS3" s="26"/>
      <c r="FT3" s="26"/>
      <c r="FU3" s="26"/>
      <c r="FV3" s="26"/>
      <c r="FW3" s="26"/>
      <c r="FX3" s="26"/>
      <c r="FY3" s="26"/>
      <c r="FZ3" s="26"/>
      <c r="GA3" s="26"/>
      <c r="GB3" s="26"/>
      <c r="GC3" s="26"/>
      <c r="GD3" s="26"/>
      <c r="GE3" s="26"/>
      <c r="GF3" s="26"/>
      <c r="GG3" s="26"/>
      <c r="GH3" s="26"/>
      <c r="GI3" s="26"/>
      <c r="GJ3" s="26"/>
      <c r="GK3" s="26"/>
      <c r="GL3" s="26"/>
      <c r="GM3" s="26"/>
      <c r="GN3" s="26"/>
      <c r="GO3" s="26"/>
      <c r="GP3" s="26"/>
      <c r="GQ3" s="26"/>
      <c r="GR3" s="26"/>
      <c r="GS3" s="26"/>
      <c r="GT3" s="26"/>
      <c r="GU3" s="26"/>
      <c r="GV3" s="26"/>
      <c r="GW3" s="26"/>
      <c r="GX3" s="26"/>
      <c r="GY3" s="26"/>
      <c r="GZ3" s="26"/>
      <c r="HA3" s="26"/>
      <c r="HB3" s="26"/>
      <c r="HC3" s="26"/>
      <c r="HD3" s="26"/>
      <c r="HE3" s="26"/>
      <c r="HF3" s="26"/>
      <c r="HG3" s="26"/>
      <c r="HH3" s="26"/>
      <c r="HI3" s="26"/>
      <c r="HJ3" s="26"/>
      <c r="HK3" s="26"/>
      <c r="HL3" s="26"/>
      <c r="HM3" s="26"/>
      <c r="HN3" s="26"/>
      <c r="HO3" s="26"/>
      <c r="HP3" s="26"/>
      <c r="HQ3" s="26"/>
      <c r="HR3" s="26"/>
      <c r="HS3" s="26"/>
      <c r="HT3" s="26"/>
      <c r="HU3" s="26"/>
      <c r="HV3" s="26"/>
      <c r="HW3" s="26"/>
      <c r="HX3" s="26"/>
      <c r="HY3" s="26"/>
      <c r="HZ3" s="26"/>
      <c r="IA3" s="26"/>
      <c r="IB3" s="26"/>
      <c r="IC3" s="26"/>
      <c r="ID3" s="26"/>
      <c r="IE3" s="26"/>
      <c r="IF3" s="26"/>
      <c r="IG3" s="26"/>
      <c r="IH3" s="26"/>
      <c r="II3" s="26"/>
      <c r="IJ3" s="26"/>
      <c r="IK3" s="26"/>
      <c r="IL3" s="26"/>
    </row>
    <row r="4" spans="1:246" ht="76.5" customHeight="1" x14ac:dyDescent="0.15">
      <c r="A4" s="15">
        <v>234</v>
      </c>
      <c r="B4" s="13"/>
      <c r="C4" s="16" t="s">
        <v>53</v>
      </c>
      <c r="D4" s="13" t="s">
        <v>37</v>
      </c>
      <c r="E4" s="13" t="s">
        <v>47</v>
      </c>
      <c r="F4" s="14">
        <v>43689</v>
      </c>
      <c r="G4" s="14">
        <v>43693</v>
      </c>
      <c r="H4" s="14"/>
      <c r="I4" s="14">
        <v>43710</v>
      </c>
      <c r="J4" s="13" t="str">
        <f t="shared" ref="J4:J8" ca="1" si="0">IF(AND(I4&lt;=$C$2,I4&lt;&gt;0),"DONE",IF(K4&lt;0,"OVERDUE",IF(AND(K4="",O4&lt;0),"OVERDUE","IN TIME")))</f>
        <v>DONE</v>
      </c>
      <c r="K4" s="13" t="str">
        <f t="shared" ref="K4:K8" si="1">IF(H4&gt;0,H4-$C$2,"")</f>
        <v/>
      </c>
      <c r="L4" s="13">
        <f t="shared" ref="L4:L8" ca="1" si="2">IF(J4="OVERDUE",1,0)</f>
        <v>0</v>
      </c>
      <c r="M4" s="13">
        <f t="shared" ref="M4:M8" ca="1" si="3">IF(J4="IN TIME",1,0)</f>
        <v>0</v>
      </c>
      <c r="N4" s="13">
        <f t="shared" ref="N4:N8" ca="1" si="4">IF(J4="DONE",1,0)</f>
        <v>1</v>
      </c>
      <c r="O4" s="13">
        <f t="shared" ref="O4:O8" ca="1" si="5">IF(G4&gt;0,G4-$C$2,"")</f>
        <v>-784</v>
      </c>
      <c r="P4" s="20" t="s">
        <v>54</v>
      </c>
      <c r="Q4" s="27"/>
      <c r="R4" s="27"/>
      <c r="S4" s="27"/>
      <c r="T4" s="27"/>
      <c r="U4" s="27"/>
      <c r="V4" s="27"/>
      <c r="W4" s="27"/>
      <c r="X4" s="27"/>
      <c r="Y4" s="27"/>
      <c r="Z4" s="27"/>
      <c r="AA4" s="27"/>
      <c r="AB4" s="27"/>
      <c r="AC4" s="27"/>
      <c r="AD4" s="27"/>
    </row>
    <row r="5" spans="1:246" ht="144.75" customHeight="1" x14ac:dyDescent="0.15">
      <c r="A5" s="15">
        <v>235</v>
      </c>
      <c r="B5" s="13"/>
      <c r="C5" s="16" t="s">
        <v>55</v>
      </c>
      <c r="D5" s="13" t="s">
        <v>37</v>
      </c>
      <c r="E5" s="13" t="s">
        <v>47</v>
      </c>
      <c r="F5" s="14">
        <v>43696</v>
      </c>
      <c r="G5" s="14">
        <v>43707</v>
      </c>
      <c r="H5" s="14"/>
      <c r="I5" s="14">
        <v>43724</v>
      </c>
      <c r="J5" s="13" t="str">
        <f t="shared" ca="1" si="0"/>
        <v>DONE</v>
      </c>
      <c r="K5" s="13" t="str">
        <f t="shared" si="1"/>
        <v/>
      </c>
      <c r="L5" s="13">
        <f t="shared" ca="1" si="2"/>
        <v>0</v>
      </c>
      <c r="M5" s="13">
        <f t="shared" ca="1" si="3"/>
        <v>0</v>
      </c>
      <c r="N5" s="13">
        <f t="shared" ca="1" si="4"/>
        <v>1</v>
      </c>
      <c r="O5" s="13">
        <f t="shared" ca="1" si="5"/>
        <v>-770</v>
      </c>
      <c r="P5" s="20" t="s">
        <v>56</v>
      </c>
      <c r="Q5" s="27"/>
      <c r="R5" s="27"/>
      <c r="S5" s="27"/>
      <c r="T5" s="27"/>
      <c r="U5" s="27"/>
      <c r="V5" s="27"/>
      <c r="W5" s="27"/>
      <c r="X5" s="27"/>
      <c r="Y5" s="27"/>
      <c r="Z5" s="27"/>
      <c r="AA5" s="27"/>
      <c r="AB5" s="27"/>
      <c r="AC5" s="27"/>
      <c r="AD5" s="27"/>
    </row>
    <row r="6" spans="1:246" ht="78.75" customHeight="1" x14ac:dyDescent="0.15">
      <c r="A6" s="15">
        <v>236</v>
      </c>
      <c r="B6" s="13"/>
      <c r="C6" s="38" t="s">
        <v>57</v>
      </c>
      <c r="D6" s="11" t="s">
        <v>37</v>
      </c>
      <c r="E6" s="13" t="s">
        <v>47</v>
      </c>
      <c r="F6" s="14">
        <v>43710</v>
      </c>
      <c r="G6" s="14">
        <v>43714</v>
      </c>
      <c r="H6" s="14"/>
      <c r="I6" s="14"/>
      <c r="J6" s="13" t="str">
        <f t="shared" ca="1" si="0"/>
        <v>OVERDUE</v>
      </c>
      <c r="K6" s="13" t="str">
        <f t="shared" si="1"/>
        <v/>
      </c>
      <c r="L6" s="13">
        <f t="shared" ca="1" si="2"/>
        <v>1</v>
      </c>
      <c r="M6" s="13">
        <f t="shared" ca="1" si="3"/>
        <v>0</v>
      </c>
      <c r="N6" s="13">
        <f t="shared" ca="1" si="4"/>
        <v>0</v>
      </c>
      <c r="O6" s="13">
        <f t="shared" ca="1" si="5"/>
        <v>-763</v>
      </c>
      <c r="P6" s="20" t="s">
        <v>58</v>
      </c>
      <c r="Q6" s="27"/>
      <c r="R6" s="27"/>
      <c r="S6" s="27"/>
      <c r="T6" s="27"/>
      <c r="U6" s="27"/>
      <c r="V6" s="27"/>
      <c r="W6" s="27"/>
      <c r="X6" s="27"/>
      <c r="Y6" s="27"/>
      <c r="Z6" s="27"/>
      <c r="AA6" s="27"/>
      <c r="AB6" s="27"/>
      <c r="AC6" s="27"/>
      <c r="AD6" s="27"/>
    </row>
    <row r="7" spans="1:246" ht="60" customHeight="1" x14ac:dyDescent="0.15">
      <c r="A7" s="15">
        <v>237</v>
      </c>
      <c r="B7" s="13"/>
      <c r="C7" s="39" t="s">
        <v>59</v>
      </c>
      <c r="D7" s="13" t="s">
        <v>37</v>
      </c>
      <c r="E7" s="13" t="s">
        <v>47</v>
      </c>
      <c r="F7" s="14">
        <v>43717</v>
      </c>
      <c r="G7" s="14">
        <v>43721</v>
      </c>
      <c r="H7" s="14"/>
      <c r="I7" s="14"/>
      <c r="J7" s="13" t="str">
        <f t="shared" ca="1" si="0"/>
        <v>OVERDUE</v>
      </c>
      <c r="K7" s="13" t="str">
        <f t="shared" si="1"/>
        <v/>
      </c>
      <c r="L7" s="13">
        <f t="shared" ca="1" si="2"/>
        <v>1</v>
      </c>
      <c r="M7" s="13">
        <f t="shared" ca="1" si="3"/>
        <v>0</v>
      </c>
      <c r="N7" s="13">
        <f t="shared" ca="1" si="4"/>
        <v>0</v>
      </c>
      <c r="O7" s="13">
        <f t="shared" ca="1" si="5"/>
        <v>-756</v>
      </c>
      <c r="P7" s="20" t="s">
        <v>60</v>
      </c>
      <c r="Q7" s="27"/>
      <c r="R7" s="27"/>
      <c r="S7" s="27"/>
      <c r="T7" s="27"/>
      <c r="U7" s="27"/>
      <c r="V7" s="27"/>
      <c r="W7" s="27"/>
      <c r="X7" s="27"/>
      <c r="Y7" s="27"/>
      <c r="Z7" s="27"/>
      <c r="AA7" s="27"/>
      <c r="AB7" s="27"/>
      <c r="AC7" s="27"/>
      <c r="AD7" s="27"/>
    </row>
    <row r="8" spans="1:246" ht="24.6" customHeight="1" x14ac:dyDescent="0.15">
      <c r="A8" s="15">
        <v>238</v>
      </c>
      <c r="B8" s="13"/>
      <c r="C8" s="39" t="s">
        <v>61</v>
      </c>
      <c r="D8" s="13" t="s">
        <v>37</v>
      </c>
      <c r="E8" s="13" t="s">
        <v>47</v>
      </c>
      <c r="F8" s="14">
        <v>43724</v>
      </c>
      <c r="G8" s="14">
        <v>43726</v>
      </c>
      <c r="H8" s="14"/>
      <c r="I8" s="14"/>
      <c r="J8" s="13" t="str">
        <f t="shared" ca="1" si="0"/>
        <v>OVERDUE</v>
      </c>
      <c r="K8" s="13" t="str">
        <f t="shared" si="1"/>
        <v/>
      </c>
      <c r="L8" s="13">
        <f t="shared" ca="1" si="2"/>
        <v>1</v>
      </c>
      <c r="M8" s="13">
        <f t="shared" ca="1" si="3"/>
        <v>0</v>
      </c>
      <c r="N8" s="13">
        <f t="shared" ca="1" si="4"/>
        <v>0</v>
      </c>
      <c r="O8" s="13">
        <f t="shared" ca="1" si="5"/>
        <v>-751</v>
      </c>
      <c r="P8" s="20"/>
      <c r="Q8" s="27"/>
      <c r="R8" s="27"/>
      <c r="S8" s="27"/>
      <c r="T8" s="27"/>
      <c r="U8" s="27"/>
      <c r="V8" s="27"/>
      <c r="W8" s="27"/>
      <c r="X8" s="27"/>
      <c r="Y8" s="27"/>
      <c r="Z8" s="27"/>
      <c r="AA8" s="27"/>
      <c r="AB8" s="27"/>
      <c r="AC8" s="27"/>
      <c r="AD8" s="27"/>
    </row>
    <row r="9" spans="1:246" ht="24.6" customHeight="1" x14ac:dyDescent="0.15">
      <c r="A9" s="15">
        <v>239</v>
      </c>
      <c r="B9" s="13"/>
      <c r="C9" s="39" t="s">
        <v>62</v>
      </c>
      <c r="D9" s="13" t="s">
        <v>37</v>
      </c>
      <c r="E9" s="13" t="s">
        <v>47</v>
      </c>
      <c r="F9" s="14">
        <v>43727</v>
      </c>
      <c r="G9" s="14">
        <v>43735</v>
      </c>
      <c r="H9" s="14"/>
      <c r="I9" s="14"/>
      <c r="J9" s="13" t="str">
        <f t="shared" ref="J9" ca="1" si="6">IF(AND(I9&lt;=$C$2,I9&lt;&gt;0),"DONE",IF(K9&lt;0,"OVERDUE",IF(AND(K9="",O9&lt;0),"OVERDUE","IN TIME")))</f>
        <v>OVERDUE</v>
      </c>
      <c r="K9" s="13" t="str">
        <f t="shared" ref="K9" si="7">IF(H9&gt;0,H9-$C$2,"")</f>
        <v/>
      </c>
      <c r="L9" s="13">
        <f t="shared" ref="L9" ca="1" si="8">IF(J9="OVERDUE",1,0)</f>
        <v>1</v>
      </c>
      <c r="M9" s="13">
        <f t="shared" ref="M9" ca="1" si="9">IF(J9="IN TIME",1,0)</f>
        <v>0</v>
      </c>
      <c r="N9" s="13">
        <f t="shared" ref="N9" ca="1" si="10">IF(J9="DONE",1,0)</f>
        <v>0</v>
      </c>
      <c r="O9" s="13">
        <f t="shared" ref="O9" ca="1" si="11">IF(G9&gt;0,G9-$C$2,"")</f>
        <v>-742</v>
      </c>
      <c r="P9" s="20"/>
      <c r="Q9" s="27"/>
      <c r="R9" s="27"/>
      <c r="S9" s="27"/>
      <c r="T9" s="27"/>
      <c r="U9" s="27"/>
      <c r="V9" s="27"/>
      <c r="W9" s="27"/>
      <c r="X9" s="27"/>
      <c r="Y9" s="27"/>
      <c r="Z9" s="27"/>
      <c r="AA9" s="27"/>
      <c r="AB9" s="27"/>
      <c r="AC9" s="27"/>
      <c r="AD9" s="27"/>
    </row>
    <row r="10" spans="1:246" ht="60.75" customHeight="1" x14ac:dyDescent="0.15">
      <c r="A10" s="15">
        <v>240</v>
      </c>
      <c r="B10" s="13"/>
      <c r="C10" s="39" t="s">
        <v>63</v>
      </c>
      <c r="D10" s="13" t="s">
        <v>37</v>
      </c>
      <c r="E10" s="13" t="s">
        <v>47</v>
      </c>
      <c r="F10" s="14">
        <v>43735</v>
      </c>
      <c r="G10" s="14">
        <v>43738</v>
      </c>
      <c r="H10" s="14"/>
      <c r="I10" s="14"/>
      <c r="J10" s="13" t="str">
        <f t="shared" ref="J10" ca="1" si="12">IF(AND(I10&lt;=$C$2,I10&lt;&gt;0),"DONE",IF(K10&lt;0,"OVERDUE",IF(AND(K10="",O10&lt;0),"OVERDUE","IN TIME")))</f>
        <v>OVERDUE</v>
      </c>
      <c r="K10" s="13" t="str">
        <f t="shared" ref="K10" si="13">IF(H10&gt;0,H10-$C$2,"")</f>
        <v/>
      </c>
      <c r="L10" s="13">
        <f t="shared" ref="L10" ca="1" si="14">IF(J10="OVERDUE",1,0)</f>
        <v>1</v>
      </c>
      <c r="M10" s="13">
        <f t="shared" ref="M10" ca="1" si="15">IF(J10="IN TIME",1,0)</f>
        <v>0</v>
      </c>
      <c r="N10" s="13">
        <f t="shared" ref="N10" ca="1" si="16">IF(J10="DONE",1,0)</f>
        <v>0</v>
      </c>
      <c r="O10" s="13">
        <f t="shared" ref="O10" ca="1" si="17">IF(G10&gt;0,G10-$C$2,"")</f>
        <v>-739</v>
      </c>
      <c r="P10" s="20"/>
      <c r="Q10" s="27"/>
      <c r="R10" s="27"/>
      <c r="S10" s="27"/>
      <c r="T10" s="27"/>
      <c r="U10" s="27"/>
      <c r="V10" s="27"/>
      <c r="W10" s="27"/>
      <c r="X10" s="27"/>
      <c r="Y10" s="27"/>
      <c r="Z10" s="27"/>
      <c r="AA10" s="27"/>
      <c r="AB10" s="27"/>
      <c r="AC10" s="27"/>
      <c r="AD10" s="27"/>
    </row>
    <row r="11" spans="1:246" ht="24.6" customHeight="1" x14ac:dyDescent="0.15">
      <c r="A11" s="15">
        <v>241</v>
      </c>
      <c r="B11" s="13"/>
      <c r="C11" s="12"/>
      <c r="D11" s="13"/>
      <c r="E11" s="13"/>
      <c r="F11" s="14"/>
      <c r="G11" s="14"/>
      <c r="H11" s="14"/>
      <c r="I11" s="14"/>
      <c r="J11" s="13" t="str">
        <f t="shared" ref="J11" ca="1" si="18">IF(AND(I11&lt;=$C$2,I11&lt;&gt;0),"DONE",IF(K11&lt;0,"OVERDUE",IF(AND(K11="",O11&lt;0),"OVERDUE","IN TIME")))</f>
        <v>IN TIME</v>
      </c>
      <c r="K11" s="13" t="str">
        <f t="shared" ref="K11" si="19">IF(H11&gt;0,H11-$C$2,"")</f>
        <v/>
      </c>
      <c r="L11" s="13">
        <f t="shared" ref="L11" ca="1" si="20">IF(J11="OVERDUE",1,0)</f>
        <v>0</v>
      </c>
      <c r="M11" s="13">
        <f t="shared" ref="M11" ca="1" si="21">IF(J11="IN TIME",1,0)</f>
        <v>1</v>
      </c>
      <c r="N11" s="13">
        <f t="shared" ref="N11" ca="1" si="22">IF(J11="DONE",1,0)</f>
        <v>0</v>
      </c>
      <c r="O11" s="13" t="str">
        <f t="shared" ref="O11" si="23">IF(G11&gt;0,G11-$C$2,"")</f>
        <v/>
      </c>
      <c r="P11" s="20"/>
      <c r="Q11" s="27"/>
      <c r="R11" s="27"/>
      <c r="S11" s="27"/>
      <c r="T11" s="27"/>
      <c r="U11" s="27"/>
      <c r="V11" s="27"/>
      <c r="W11" s="27"/>
      <c r="X11" s="27"/>
      <c r="Y11" s="27"/>
      <c r="Z11" s="27"/>
      <c r="AA11" s="27"/>
      <c r="AB11" s="27"/>
      <c r="AC11" s="27"/>
      <c r="AD11" s="27"/>
    </row>
    <row r="12" spans="1:246" ht="24.6" customHeight="1" x14ac:dyDescent="0.15">
      <c r="A12" s="15">
        <v>242</v>
      </c>
      <c r="B12" s="13"/>
      <c r="C12" s="12"/>
      <c r="D12" s="13"/>
      <c r="E12" s="13"/>
      <c r="F12" s="14"/>
      <c r="G12" s="14"/>
      <c r="H12" s="14"/>
      <c r="I12" s="14"/>
      <c r="J12" s="13" t="str">
        <f t="shared" ref="J12" ca="1" si="24">IF(AND(I12&lt;=$C$2,I12&lt;&gt;0),"DONE",IF(K12&lt;0,"OVERDUE",IF(AND(K12="",O12&lt;0),"OVERDUE","IN TIME")))</f>
        <v>IN TIME</v>
      </c>
      <c r="K12" s="13" t="str">
        <f t="shared" ref="K12" si="25">IF(H12&gt;0,H12-$C$2,"")</f>
        <v/>
      </c>
      <c r="L12" s="13">
        <f t="shared" ref="L12" ca="1" si="26">IF(J12="OVERDUE",1,0)</f>
        <v>0</v>
      </c>
      <c r="M12" s="13">
        <f t="shared" ref="M12" ca="1" si="27">IF(J12="IN TIME",1,0)</f>
        <v>1</v>
      </c>
      <c r="N12" s="13">
        <f t="shared" ref="N12" ca="1" si="28">IF(J12="DONE",1,0)</f>
        <v>0</v>
      </c>
      <c r="O12" s="13" t="str">
        <f t="shared" ref="O12" si="29">IF(G12&gt;0,G12-$C$2,"")</f>
        <v/>
      </c>
      <c r="P12" s="20"/>
      <c r="Q12" s="27"/>
      <c r="R12" s="27"/>
      <c r="S12" s="27"/>
      <c r="T12" s="27"/>
      <c r="U12" s="27"/>
      <c r="V12" s="27"/>
      <c r="W12" s="27"/>
      <c r="X12" s="27"/>
      <c r="Y12" s="27"/>
      <c r="Z12" s="27"/>
      <c r="AA12" s="27"/>
      <c r="AB12" s="27"/>
      <c r="AC12" s="27"/>
      <c r="AD12" s="27"/>
    </row>
    <row r="13" spans="1:246" ht="24.6" customHeight="1" x14ac:dyDescent="0.15">
      <c r="A13" s="15">
        <v>243</v>
      </c>
      <c r="B13" s="13"/>
      <c r="C13" s="12"/>
      <c r="D13" s="13"/>
      <c r="E13" s="13"/>
      <c r="F13" s="14"/>
      <c r="G13" s="14"/>
      <c r="H13" s="14"/>
      <c r="I13" s="14"/>
      <c r="J13" s="13" t="str">
        <f t="shared" ref="J13" ca="1" si="30">IF(AND(I13&lt;=$C$2,I13&lt;&gt;0),"DONE",IF(K13&lt;0,"OVERDUE",IF(AND(K13="",O13&lt;0),"OVERDUE","IN TIME")))</f>
        <v>IN TIME</v>
      </c>
      <c r="K13" s="13" t="str">
        <f t="shared" ref="K13" si="31">IF(H13&gt;0,H13-$C$2,"")</f>
        <v/>
      </c>
      <c r="L13" s="13">
        <f t="shared" ref="L13" ca="1" si="32">IF(J13="OVERDUE",1,0)</f>
        <v>0</v>
      </c>
      <c r="M13" s="13">
        <f t="shared" ref="M13" ca="1" si="33">IF(J13="IN TIME",1,0)</f>
        <v>1</v>
      </c>
      <c r="N13" s="13">
        <f t="shared" ref="N13" ca="1" si="34">IF(J13="DONE",1,0)</f>
        <v>0</v>
      </c>
      <c r="O13" s="13" t="str">
        <f t="shared" ref="O13" si="35">IF(G13&gt;0,G13-$C$2,"")</f>
        <v/>
      </c>
      <c r="P13" s="20"/>
      <c r="Q13" s="27"/>
      <c r="R13" s="27"/>
      <c r="S13" s="27"/>
      <c r="T13" s="27"/>
      <c r="U13" s="27"/>
      <c r="V13" s="27"/>
      <c r="W13" s="27"/>
      <c r="X13" s="27"/>
      <c r="Y13" s="27"/>
      <c r="Z13" s="27"/>
      <c r="AA13" s="27"/>
      <c r="AB13" s="27"/>
      <c r="AC13" s="27"/>
      <c r="AD13" s="27"/>
    </row>
    <row r="14" spans="1:246" ht="24.6" customHeight="1" x14ac:dyDescent="0.15">
      <c r="A14" s="15">
        <v>244</v>
      </c>
      <c r="B14" s="13"/>
      <c r="C14" s="12"/>
      <c r="D14" s="13"/>
      <c r="E14" s="13"/>
      <c r="F14" s="14"/>
      <c r="G14" s="14"/>
      <c r="H14" s="14"/>
      <c r="I14" s="14"/>
      <c r="J14" s="13" t="str">
        <f t="shared" ref="J14" ca="1" si="36">IF(AND(I14&lt;=$C$2,I14&lt;&gt;0),"DONE",IF(K14&lt;0,"OVERDUE",IF(AND(K14="",O14&lt;0),"OVERDUE","IN TIME")))</f>
        <v>IN TIME</v>
      </c>
      <c r="K14" s="13" t="str">
        <f t="shared" ref="K14" si="37">IF(H14&gt;0,H14-$C$2,"")</f>
        <v/>
      </c>
      <c r="L14" s="13">
        <f t="shared" ref="L14" ca="1" si="38">IF(J14="OVERDUE",1,0)</f>
        <v>0</v>
      </c>
      <c r="M14" s="13">
        <f t="shared" ref="M14" ca="1" si="39">IF(J14="IN TIME",1,0)</f>
        <v>1</v>
      </c>
      <c r="N14" s="13">
        <f t="shared" ref="N14" ca="1" si="40">IF(J14="DONE",1,0)</f>
        <v>0</v>
      </c>
      <c r="O14" s="13" t="str">
        <f t="shared" ref="O14" si="41">IF(G14&gt;0,G14-$C$2,"")</f>
        <v/>
      </c>
      <c r="P14" s="20"/>
      <c r="Q14" s="27"/>
      <c r="R14" s="27"/>
      <c r="S14" s="27"/>
      <c r="T14" s="27"/>
      <c r="U14" s="27"/>
      <c r="V14" s="27"/>
      <c r="W14" s="27"/>
      <c r="X14" s="27"/>
      <c r="Y14" s="27"/>
      <c r="Z14" s="27"/>
      <c r="AA14" s="27"/>
      <c r="AB14" s="27"/>
      <c r="AC14" s="27"/>
      <c r="AD14" s="27"/>
    </row>
  </sheetData>
  <autoFilter ref="A3:P14"/>
  <mergeCells count="2">
    <mergeCell ref="A1:P1"/>
    <mergeCell ref="A2:B2"/>
  </mergeCells>
  <phoneticPr fontId="34" type="noConversion"/>
  <conditionalFormatting sqref="J4">
    <cfRule type="cellIs" dxfId="617" priority="31" operator="equal">
      <formula>"OVERDUE"</formula>
    </cfRule>
    <cfRule type="cellIs" dxfId="616" priority="32" operator="equal">
      <formula>"DONE"</formula>
    </cfRule>
    <cfRule type="cellIs" dxfId="615" priority="33" operator="equal">
      <formula>"DONE"</formula>
    </cfRule>
  </conditionalFormatting>
  <conditionalFormatting sqref="J5">
    <cfRule type="cellIs" dxfId="614" priority="28" operator="equal">
      <formula>"OVERDUE"</formula>
    </cfRule>
    <cfRule type="cellIs" dxfId="613" priority="29" operator="equal">
      <formula>"DONE"</formula>
    </cfRule>
    <cfRule type="cellIs" dxfId="612" priority="30" operator="equal">
      <formula>"DONE"</formula>
    </cfRule>
  </conditionalFormatting>
  <conditionalFormatting sqref="J6">
    <cfRule type="cellIs" dxfId="611" priority="25" operator="equal">
      <formula>"OVERDUE"</formula>
    </cfRule>
    <cfRule type="cellIs" dxfId="610" priority="26" operator="equal">
      <formula>"DONE"</formula>
    </cfRule>
    <cfRule type="cellIs" dxfId="609" priority="27" operator="equal">
      <formula>"DONE"</formula>
    </cfRule>
  </conditionalFormatting>
  <conditionalFormatting sqref="J7">
    <cfRule type="cellIs" dxfId="608" priority="22" operator="equal">
      <formula>"OVERDUE"</formula>
    </cfRule>
    <cfRule type="cellIs" dxfId="607" priority="23" operator="equal">
      <formula>"DONE"</formula>
    </cfRule>
    <cfRule type="cellIs" dxfId="606" priority="24" operator="equal">
      <formula>"DONE"</formula>
    </cfRule>
  </conditionalFormatting>
  <conditionalFormatting sqref="J8">
    <cfRule type="cellIs" dxfId="605" priority="19" operator="equal">
      <formula>"OVERDUE"</formula>
    </cfRule>
    <cfRule type="cellIs" dxfId="604" priority="20" operator="equal">
      <formula>"DONE"</formula>
    </cfRule>
    <cfRule type="cellIs" dxfId="603" priority="21" operator="equal">
      <formula>"DONE"</formula>
    </cfRule>
  </conditionalFormatting>
  <conditionalFormatting sqref="J9">
    <cfRule type="cellIs" dxfId="602" priority="16" operator="equal">
      <formula>"OVERDUE"</formula>
    </cfRule>
    <cfRule type="cellIs" dxfId="601" priority="17" operator="equal">
      <formula>"DONE"</formula>
    </cfRule>
    <cfRule type="cellIs" dxfId="600" priority="18" operator="equal">
      <formula>"DONE"</formula>
    </cfRule>
  </conditionalFormatting>
  <conditionalFormatting sqref="J10">
    <cfRule type="cellIs" dxfId="599" priority="13" operator="equal">
      <formula>"OVERDUE"</formula>
    </cfRule>
    <cfRule type="cellIs" dxfId="598" priority="14" operator="equal">
      <formula>"DONE"</formula>
    </cfRule>
    <cfRule type="cellIs" dxfId="597" priority="15" operator="equal">
      <formula>"DONE"</formula>
    </cfRule>
  </conditionalFormatting>
  <conditionalFormatting sqref="J11">
    <cfRule type="cellIs" dxfId="596" priority="10" operator="equal">
      <formula>"OVERDUE"</formula>
    </cfRule>
    <cfRule type="cellIs" dxfId="595" priority="11" operator="equal">
      <formula>"DONE"</formula>
    </cfRule>
    <cfRule type="cellIs" dxfId="594" priority="12" operator="equal">
      <formula>"DONE"</formula>
    </cfRule>
  </conditionalFormatting>
  <conditionalFormatting sqref="J12">
    <cfRule type="cellIs" dxfId="593" priority="7" operator="equal">
      <formula>"OVERDUE"</formula>
    </cfRule>
    <cfRule type="cellIs" dxfId="592" priority="8" operator="equal">
      <formula>"DONE"</formula>
    </cfRule>
    <cfRule type="cellIs" dxfId="591" priority="9" operator="equal">
      <formula>"DONE"</formula>
    </cfRule>
  </conditionalFormatting>
  <conditionalFormatting sqref="J13">
    <cfRule type="cellIs" dxfId="590" priority="4" operator="equal">
      <formula>"OVERDUE"</formula>
    </cfRule>
    <cfRule type="cellIs" dxfId="589" priority="5" operator="equal">
      <formula>"DONE"</formula>
    </cfRule>
    <cfRule type="cellIs" dxfId="588" priority="6" operator="equal">
      <formula>"DONE"</formula>
    </cfRule>
  </conditionalFormatting>
  <conditionalFormatting sqref="J14">
    <cfRule type="cellIs" dxfId="587" priority="1" operator="equal">
      <formula>"OVERDUE"</formula>
    </cfRule>
    <cfRule type="cellIs" dxfId="586" priority="2" operator="equal">
      <formula>"DONE"</formula>
    </cfRule>
    <cfRule type="cellIs" dxfId="585" priority="3" operator="equal">
      <formula>"DONE"</formula>
    </cfRule>
  </conditionalFormatting>
  <conditionalFormatting sqref="J2:J3 J15:J1048576">
    <cfRule type="cellIs" dxfId="584" priority="34" operator="equal">
      <formula>"OVERDUE"</formula>
    </cfRule>
    <cfRule type="cellIs" dxfId="583" priority="35" operator="equal">
      <formula>"DONE"</formula>
    </cfRule>
    <cfRule type="cellIs" dxfId="582" priority="36" operator="equal">
      <formula>"DONE"</formula>
    </cfRule>
  </conditionalFormatting>
  <dataValidations count="1">
    <dataValidation type="list" allowBlank="1" showInputMessage="1" showErrorMessage="1" sqref="D1:D1048576">
      <formula1>"高,中,低"</formula1>
    </dataValidation>
  </dataValidations>
  <pageMargins left="0.51180555555555596" right="0" top="0.35416666666666702" bottom="0.39305555555555599" header="0.31388888888888899" footer="0.31388888888888899"/>
  <pageSetup paperSize="9" orientation="landscape"/>
  <drawing r:id="rId1"/>
  <legacyDrawing r:id="rId2"/>
  <mc:AlternateContent xmlns:mc="http://schemas.openxmlformats.org/markup-compatibility/2006">
    <mc:Choice Requires="x14">
      <controls>
        <mc:AlternateContent xmlns:mc="http://schemas.openxmlformats.org/markup-compatibility/2006">
          <mc:Choice Requires="x14">
            <control shapeId="9217" r:id="rId3" name="Button 1">
              <controlPr defaultSize="0" print="0" autoPict="0" macro="[0]!Insert_Line_moban">
                <anchor moveWithCells="1">
                  <from>
                    <xdr:col>0</xdr:col>
                    <xdr:colOff>104775</xdr:colOff>
                    <xdr:row>14</xdr:row>
                    <xdr:rowOff>85725</xdr:rowOff>
                  </from>
                  <to>
                    <xdr:col>2</xdr:col>
                    <xdr:colOff>695325</xdr:colOff>
                    <xdr:row>15</xdr:row>
                    <xdr:rowOff>161925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tabColor rgb="FF92D050"/>
  </sheetPr>
  <dimension ref="A1:IL15"/>
  <sheetViews>
    <sheetView workbookViewId="0">
      <pane ySplit="3" topLeftCell="A10" activePane="bottomLeft" state="frozen"/>
      <selection activeCell="C76" sqref="C76"/>
      <selection pane="bottomLeft" activeCell="C14" sqref="C14"/>
    </sheetView>
  </sheetViews>
  <sheetFormatPr defaultColWidth="9" defaultRowHeight="14.25" x14ac:dyDescent="0.15"/>
  <cols>
    <col min="1" max="1" width="5.375" style="1" customWidth="1"/>
    <col min="2" max="2" width="4.25" style="1" customWidth="1"/>
    <col min="3" max="3" width="33.625" style="1" customWidth="1"/>
    <col min="4" max="4" width="6" style="2" customWidth="1"/>
    <col min="5" max="5" width="10.375" style="1" customWidth="1"/>
    <col min="6" max="6" width="11.75" style="1" customWidth="1"/>
    <col min="7" max="7" width="12.75" style="1" customWidth="1"/>
    <col min="8" max="8" width="12" style="1" customWidth="1"/>
    <col min="9" max="9" width="10.75" style="1" customWidth="1"/>
    <col min="10" max="10" width="8.625" style="1" customWidth="1"/>
    <col min="11" max="11" width="19.375" style="1" hidden="1" customWidth="1"/>
    <col min="12" max="14" width="9" style="1" hidden="1" customWidth="1"/>
    <col min="15" max="15" width="0.25" style="1" hidden="1" customWidth="1"/>
    <col min="16" max="16" width="34.75" style="1" customWidth="1"/>
    <col min="17" max="17" width="43" style="3" customWidth="1"/>
    <col min="18" max="16384" width="9" style="4"/>
  </cols>
  <sheetData>
    <row r="1" spans="1:246" ht="41.25" customHeight="1" x14ac:dyDescent="0.15">
      <c r="A1" s="214" t="s">
        <v>0</v>
      </c>
      <c r="B1" s="214"/>
      <c r="C1" s="214"/>
      <c r="D1" s="214"/>
      <c r="E1" s="214"/>
      <c r="F1" s="214"/>
      <c r="G1" s="214"/>
      <c r="H1" s="214"/>
      <c r="I1" s="214"/>
      <c r="J1" s="214"/>
      <c r="K1" s="214"/>
      <c r="L1" s="214"/>
      <c r="M1" s="214"/>
      <c r="N1" s="214"/>
      <c r="O1" s="214"/>
      <c r="P1" s="214"/>
      <c r="Q1" s="21"/>
      <c r="R1" s="22"/>
      <c r="S1" s="22"/>
      <c r="T1" s="22"/>
      <c r="U1" s="22"/>
      <c r="V1" s="22"/>
      <c r="W1" s="22"/>
      <c r="X1" s="22"/>
      <c r="Y1" s="22"/>
      <c r="Z1" s="22"/>
      <c r="AA1" s="22"/>
      <c r="AB1" s="22"/>
      <c r="AC1" s="22"/>
      <c r="AD1" s="22"/>
      <c r="AE1" s="22"/>
      <c r="AF1" s="22"/>
      <c r="AG1" s="22"/>
      <c r="AH1" s="22"/>
      <c r="AI1" s="22"/>
      <c r="AJ1" s="22"/>
      <c r="AK1" s="22"/>
      <c r="AL1" s="22"/>
      <c r="AM1" s="22"/>
      <c r="AN1" s="22"/>
      <c r="AO1" s="22"/>
      <c r="AP1" s="22"/>
      <c r="AQ1" s="22"/>
      <c r="AR1" s="22"/>
      <c r="AS1" s="22"/>
      <c r="AT1" s="22"/>
      <c r="AU1" s="22"/>
      <c r="AV1" s="22"/>
      <c r="AW1" s="22"/>
      <c r="AX1" s="22"/>
      <c r="AY1" s="22"/>
      <c r="AZ1" s="22"/>
      <c r="BA1" s="22"/>
      <c r="BB1" s="22"/>
      <c r="BC1" s="22"/>
      <c r="BD1" s="22"/>
      <c r="BE1" s="22"/>
      <c r="BF1" s="22"/>
      <c r="BG1" s="22"/>
      <c r="BH1" s="22"/>
      <c r="BI1" s="22"/>
      <c r="BJ1" s="22"/>
      <c r="BK1" s="22"/>
      <c r="BL1" s="22"/>
      <c r="BM1" s="22"/>
      <c r="BN1" s="22"/>
      <c r="BO1" s="22"/>
      <c r="BP1" s="22"/>
      <c r="BQ1" s="22"/>
      <c r="BR1" s="22"/>
      <c r="BS1" s="22"/>
      <c r="BT1" s="22"/>
      <c r="BU1" s="22"/>
      <c r="BV1" s="22"/>
      <c r="BW1" s="22"/>
      <c r="BX1" s="22"/>
      <c r="BY1" s="22"/>
      <c r="BZ1" s="22"/>
      <c r="CA1" s="22"/>
      <c r="CB1" s="22"/>
      <c r="CC1" s="22"/>
      <c r="CD1" s="22"/>
      <c r="CE1" s="22"/>
      <c r="CF1" s="22"/>
      <c r="CG1" s="22"/>
      <c r="CH1" s="22"/>
      <c r="CI1" s="22"/>
      <c r="CJ1" s="22"/>
      <c r="CK1" s="22"/>
      <c r="CL1" s="22"/>
      <c r="CM1" s="22"/>
      <c r="CN1" s="22"/>
      <c r="CO1" s="22"/>
      <c r="CP1" s="22"/>
      <c r="CQ1" s="22"/>
      <c r="CR1" s="22"/>
      <c r="CS1" s="22"/>
      <c r="CT1" s="22"/>
      <c r="CU1" s="22"/>
      <c r="CV1" s="22"/>
      <c r="CW1" s="22"/>
      <c r="CX1" s="22"/>
      <c r="CY1" s="22"/>
      <c r="CZ1" s="22"/>
      <c r="DA1" s="22"/>
      <c r="DB1" s="22"/>
      <c r="DC1" s="22"/>
      <c r="DD1" s="22"/>
      <c r="DE1" s="22"/>
      <c r="DF1" s="22"/>
      <c r="DG1" s="22"/>
      <c r="DH1" s="22"/>
      <c r="DI1" s="22"/>
      <c r="DJ1" s="22"/>
      <c r="DK1" s="22"/>
      <c r="DL1" s="22"/>
      <c r="DM1" s="22"/>
      <c r="DN1" s="22"/>
      <c r="DO1" s="22"/>
      <c r="DP1" s="22"/>
      <c r="DQ1" s="22"/>
      <c r="DR1" s="22"/>
      <c r="DS1" s="22"/>
      <c r="DT1" s="22"/>
      <c r="DU1" s="22"/>
      <c r="DV1" s="22"/>
      <c r="DW1" s="22"/>
      <c r="DX1" s="22"/>
      <c r="DY1" s="22"/>
      <c r="DZ1" s="22"/>
      <c r="EA1" s="22"/>
      <c r="EB1" s="22"/>
      <c r="EC1" s="22"/>
      <c r="ED1" s="22"/>
      <c r="EE1" s="22"/>
      <c r="EF1" s="22"/>
      <c r="EG1" s="22"/>
      <c r="EH1" s="22"/>
      <c r="EI1" s="22"/>
      <c r="EJ1" s="22"/>
      <c r="EK1" s="22"/>
      <c r="EL1" s="22"/>
      <c r="EM1" s="22"/>
      <c r="EN1" s="22"/>
      <c r="EO1" s="22"/>
      <c r="EP1" s="22"/>
      <c r="EQ1" s="22"/>
      <c r="ER1" s="22"/>
      <c r="ES1" s="22"/>
      <c r="ET1" s="22"/>
      <c r="EU1" s="22"/>
      <c r="EV1" s="22"/>
      <c r="EW1" s="22"/>
      <c r="EX1" s="22"/>
      <c r="EY1" s="22"/>
      <c r="EZ1" s="22"/>
      <c r="FA1" s="22"/>
      <c r="FB1" s="22"/>
      <c r="FC1" s="22"/>
      <c r="FD1" s="22"/>
      <c r="FE1" s="22"/>
      <c r="FF1" s="22"/>
      <c r="FG1" s="22"/>
      <c r="FH1" s="22"/>
      <c r="FI1" s="22"/>
      <c r="FJ1" s="22"/>
      <c r="FK1" s="22"/>
      <c r="FL1" s="22"/>
      <c r="FM1" s="22"/>
      <c r="FN1" s="22"/>
      <c r="FO1" s="22"/>
      <c r="FP1" s="22"/>
      <c r="FQ1" s="22"/>
      <c r="FR1" s="22"/>
      <c r="FS1" s="22"/>
      <c r="FT1" s="22"/>
      <c r="FU1" s="22"/>
      <c r="FV1" s="22"/>
      <c r="FW1" s="22"/>
      <c r="FX1" s="22"/>
      <c r="FY1" s="22"/>
      <c r="FZ1" s="22"/>
      <c r="GA1" s="22"/>
      <c r="GB1" s="22"/>
      <c r="GC1" s="22"/>
      <c r="GD1" s="22"/>
      <c r="GE1" s="22"/>
      <c r="GF1" s="22"/>
      <c r="GG1" s="22"/>
      <c r="GH1" s="22"/>
      <c r="GI1" s="22"/>
      <c r="GJ1" s="22"/>
      <c r="GK1" s="22"/>
      <c r="GL1" s="22"/>
      <c r="GM1" s="22"/>
      <c r="GN1" s="22"/>
      <c r="GO1" s="22"/>
      <c r="GP1" s="22"/>
      <c r="GQ1" s="22"/>
      <c r="GR1" s="22"/>
      <c r="GS1" s="22"/>
      <c r="GT1" s="22"/>
      <c r="GU1" s="22"/>
      <c r="GV1" s="22"/>
      <c r="GW1" s="22"/>
      <c r="GX1" s="22"/>
      <c r="GY1" s="22"/>
      <c r="GZ1" s="22"/>
      <c r="HA1" s="22"/>
      <c r="HB1" s="22"/>
      <c r="HC1" s="22"/>
      <c r="HD1" s="22"/>
      <c r="HE1" s="22"/>
      <c r="HF1" s="22"/>
      <c r="HG1" s="22"/>
      <c r="HH1" s="22"/>
      <c r="HI1" s="22"/>
      <c r="HJ1" s="22"/>
      <c r="HK1" s="22"/>
      <c r="HL1" s="22"/>
      <c r="HM1" s="22"/>
      <c r="HN1" s="22"/>
      <c r="HO1" s="22"/>
      <c r="HP1" s="22"/>
      <c r="HQ1" s="22"/>
      <c r="HR1" s="22"/>
      <c r="HS1" s="22"/>
      <c r="HT1" s="22"/>
      <c r="HU1" s="22"/>
      <c r="HV1" s="22"/>
      <c r="HW1" s="22"/>
      <c r="HX1" s="22"/>
      <c r="HY1" s="22"/>
      <c r="HZ1" s="22"/>
      <c r="IA1" s="22"/>
      <c r="IB1" s="22"/>
      <c r="IC1" s="22"/>
      <c r="ID1" s="22"/>
      <c r="IE1" s="22"/>
      <c r="IF1" s="22"/>
      <c r="IG1" s="22"/>
      <c r="IH1" s="22"/>
      <c r="II1" s="22"/>
      <c r="IJ1" s="22"/>
      <c r="IK1" s="22"/>
      <c r="IL1" s="22"/>
    </row>
    <row r="2" spans="1:246" ht="18.75" customHeight="1" x14ac:dyDescent="0.2">
      <c r="A2" s="215" t="s">
        <v>1</v>
      </c>
      <c r="B2" s="215"/>
      <c r="C2" s="5">
        <f ca="1">TODAY()</f>
        <v>44477</v>
      </c>
      <c r="D2" s="6" t="s">
        <v>2</v>
      </c>
      <c r="E2" s="7"/>
      <c r="F2" s="8"/>
      <c r="G2" s="8"/>
      <c r="H2" s="8"/>
      <c r="I2" s="8"/>
      <c r="J2" s="8"/>
      <c r="K2" s="17"/>
      <c r="L2" s="17"/>
      <c r="M2" s="17"/>
      <c r="N2" s="17"/>
      <c r="O2" s="17"/>
      <c r="P2" s="18"/>
      <c r="Q2" s="23"/>
      <c r="R2" s="24"/>
      <c r="S2" s="24"/>
      <c r="T2" s="24"/>
      <c r="U2" s="24"/>
      <c r="V2" s="24"/>
      <c r="W2" s="24"/>
      <c r="X2" s="24"/>
      <c r="Y2" s="24"/>
      <c r="Z2" s="24"/>
      <c r="AA2" s="24"/>
      <c r="AB2" s="24"/>
      <c r="AC2" s="24"/>
      <c r="AD2" s="24"/>
      <c r="AE2" s="24"/>
      <c r="AF2" s="24"/>
      <c r="AG2" s="24"/>
      <c r="AH2" s="24"/>
      <c r="AI2" s="24"/>
      <c r="AJ2" s="24"/>
      <c r="AK2" s="24"/>
      <c r="AL2" s="24"/>
      <c r="AM2" s="24"/>
      <c r="AN2" s="24"/>
      <c r="AO2" s="24"/>
      <c r="AP2" s="24"/>
      <c r="AQ2" s="24"/>
      <c r="AR2" s="24"/>
      <c r="AS2" s="24"/>
      <c r="AT2" s="24"/>
      <c r="AU2" s="24"/>
      <c r="AV2" s="24"/>
      <c r="AW2" s="24"/>
      <c r="AX2" s="24"/>
      <c r="AY2" s="24"/>
      <c r="AZ2" s="24"/>
      <c r="BA2" s="24"/>
      <c r="BB2" s="24"/>
      <c r="BC2" s="24"/>
      <c r="BD2" s="24"/>
      <c r="BE2" s="24"/>
      <c r="BF2" s="24"/>
      <c r="BG2" s="24"/>
      <c r="BH2" s="24"/>
      <c r="BI2" s="24"/>
      <c r="BJ2" s="24"/>
      <c r="BK2" s="24"/>
      <c r="BL2" s="24"/>
      <c r="BM2" s="24"/>
      <c r="BN2" s="24"/>
      <c r="BO2" s="24"/>
      <c r="BP2" s="24"/>
      <c r="BQ2" s="24"/>
      <c r="BR2" s="24"/>
      <c r="BS2" s="24"/>
      <c r="BT2" s="24"/>
      <c r="BU2" s="24"/>
      <c r="BV2" s="24"/>
      <c r="BW2" s="24"/>
      <c r="BX2" s="24"/>
      <c r="BY2" s="24"/>
      <c r="BZ2" s="24"/>
      <c r="CA2" s="24"/>
      <c r="CB2" s="24"/>
      <c r="CC2" s="24"/>
      <c r="CD2" s="24"/>
      <c r="CE2" s="24"/>
      <c r="CF2" s="24"/>
      <c r="CG2" s="24"/>
      <c r="CH2" s="24"/>
      <c r="CI2" s="24"/>
      <c r="CJ2" s="24"/>
      <c r="CK2" s="24"/>
      <c r="CL2" s="24"/>
      <c r="CM2" s="24"/>
      <c r="CN2" s="24"/>
      <c r="CO2" s="24"/>
      <c r="CP2" s="24"/>
      <c r="CQ2" s="24"/>
      <c r="CR2" s="24"/>
      <c r="CS2" s="24"/>
      <c r="CT2" s="24"/>
      <c r="CU2" s="24"/>
      <c r="CV2" s="24"/>
      <c r="CW2" s="24"/>
      <c r="CX2" s="24"/>
      <c r="CY2" s="24"/>
      <c r="CZ2" s="24"/>
      <c r="DA2" s="24"/>
      <c r="DB2" s="24"/>
      <c r="DC2" s="24"/>
      <c r="DD2" s="24"/>
      <c r="DE2" s="24"/>
      <c r="DF2" s="24"/>
      <c r="DG2" s="24"/>
      <c r="DH2" s="24"/>
      <c r="DI2" s="24"/>
      <c r="DJ2" s="24"/>
      <c r="DK2" s="24"/>
      <c r="DL2" s="24"/>
      <c r="DM2" s="24"/>
      <c r="DN2" s="24"/>
      <c r="DO2" s="24"/>
      <c r="DP2" s="24"/>
      <c r="DQ2" s="24"/>
      <c r="DR2" s="24"/>
      <c r="DS2" s="24"/>
      <c r="DT2" s="24"/>
      <c r="DU2" s="24"/>
      <c r="DV2" s="24"/>
      <c r="DW2" s="24"/>
      <c r="DX2" s="24"/>
      <c r="DY2" s="24"/>
      <c r="DZ2" s="24"/>
      <c r="EA2" s="24"/>
      <c r="EB2" s="24"/>
      <c r="EC2" s="24"/>
      <c r="ED2" s="24"/>
      <c r="EE2" s="24"/>
      <c r="EF2" s="24"/>
      <c r="EG2" s="24"/>
      <c r="EH2" s="24"/>
      <c r="EI2" s="24"/>
      <c r="EJ2" s="24"/>
      <c r="EK2" s="24"/>
      <c r="EL2" s="24"/>
      <c r="EM2" s="24"/>
      <c r="EN2" s="24"/>
      <c r="EO2" s="24"/>
      <c r="EP2" s="24"/>
      <c r="EQ2" s="24"/>
      <c r="ER2" s="24"/>
      <c r="ES2" s="24"/>
      <c r="ET2" s="24"/>
      <c r="EU2" s="24"/>
      <c r="EV2" s="24"/>
      <c r="EW2" s="24"/>
      <c r="EX2" s="24"/>
      <c r="EY2" s="24"/>
      <c r="EZ2" s="24"/>
      <c r="FA2" s="24"/>
      <c r="FB2" s="24"/>
      <c r="FC2" s="24"/>
      <c r="FD2" s="24"/>
      <c r="FE2" s="24"/>
      <c r="FF2" s="24"/>
      <c r="FG2" s="24"/>
      <c r="FH2" s="24"/>
      <c r="FI2" s="24"/>
      <c r="FJ2" s="24"/>
      <c r="FK2" s="24"/>
      <c r="FL2" s="24"/>
      <c r="FM2" s="24"/>
      <c r="FN2" s="24"/>
      <c r="FO2" s="24"/>
      <c r="FP2" s="24"/>
      <c r="FQ2" s="24"/>
      <c r="FR2" s="24"/>
      <c r="FS2" s="24"/>
      <c r="FT2" s="24"/>
      <c r="FU2" s="24"/>
      <c r="FV2" s="24"/>
      <c r="FW2" s="24"/>
      <c r="FX2" s="24"/>
      <c r="FY2" s="24"/>
      <c r="FZ2" s="24"/>
      <c r="GA2" s="24"/>
      <c r="GB2" s="24"/>
      <c r="GC2" s="24"/>
      <c r="GD2" s="24"/>
      <c r="GE2" s="24"/>
      <c r="GF2" s="24"/>
      <c r="GG2" s="24"/>
      <c r="GH2" s="24"/>
      <c r="GI2" s="24"/>
      <c r="GJ2" s="24"/>
      <c r="GK2" s="24"/>
      <c r="GL2" s="24"/>
      <c r="GM2" s="24"/>
      <c r="GN2" s="24"/>
      <c r="GO2" s="24"/>
      <c r="GP2" s="24"/>
      <c r="GQ2" s="24"/>
      <c r="GR2" s="24"/>
      <c r="GS2" s="24"/>
      <c r="GT2" s="24"/>
      <c r="GU2" s="24"/>
      <c r="GV2" s="24"/>
      <c r="GW2" s="24"/>
      <c r="GX2" s="24"/>
      <c r="GY2" s="24"/>
      <c r="GZ2" s="24"/>
      <c r="HA2" s="24"/>
      <c r="HB2" s="24"/>
      <c r="HC2" s="24"/>
      <c r="HD2" s="24"/>
      <c r="HE2" s="24"/>
      <c r="HF2" s="24"/>
      <c r="HG2" s="24"/>
      <c r="HH2" s="24"/>
      <c r="HI2" s="24"/>
      <c r="HJ2" s="24"/>
      <c r="HK2" s="24"/>
      <c r="HL2" s="24"/>
      <c r="HM2" s="24"/>
      <c r="HN2" s="24"/>
      <c r="HO2" s="24"/>
      <c r="HP2" s="24"/>
      <c r="HQ2" s="24"/>
      <c r="HR2" s="24"/>
      <c r="HS2" s="24"/>
      <c r="HT2" s="24"/>
      <c r="HU2" s="24"/>
      <c r="HV2" s="24"/>
      <c r="HW2" s="24"/>
      <c r="HX2" s="24"/>
      <c r="HY2" s="24"/>
      <c r="HZ2" s="24"/>
      <c r="IA2" s="24"/>
      <c r="IB2" s="24"/>
      <c r="IC2" s="24"/>
      <c r="ID2" s="24"/>
      <c r="IE2" s="24"/>
      <c r="IF2" s="24"/>
      <c r="IG2" s="24"/>
      <c r="IH2" s="24"/>
      <c r="II2" s="24"/>
      <c r="IJ2" s="24"/>
      <c r="IK2" s="24"/>
      <c r="IL2" s="24"/>
    </row>
    <row r="3" spans="1:246" ht="39" customHeight="1" x14ac:dyDescent="0.15">
      <c r="A3" s="9" t="s">
        <v>3</v>
      </c>
      <c r="B3" s="9" t="s">
        <v>4</v>
      </c>
      <c r="C3" s="9" t="s">
        <v>5</v>
      </c>
      <c r="D3" s="9" t="s">
        <v>6</v>
      </c>
      <c r="E3" s="9" t="s">
        <v>7</v>
      </c>
      <c r="F3" s="9" t="s">
        <v>8</v>
      </c>
      <c r="G3" s="9" t="s">
        <v>9</v>
      </c>
      <c r="H3" s="9" t="s">
        <v>10</v>
      </c>
      <c r="I3" s="9" t="s">
        <v>11</v>
      </c>
      <c r="J3" s="9" t="s">
        <v>12</v>
      </c>
      <c r="K3" s="9" t="s">
        <v>13</v>
      </c>
      <c r="L3" s="9" t="s">
        <v>14</v>
      </c>
      <c r="M3" s="9" t="s">
        <v>15</v>
      </c>
      <c r="N3" s="9" t="s">
        <v>16</v>
      </c>
      <c r="O3" s="9" t="s">
        <v>17</v>
      </c>
      <c r="P3" s="19" t="s">
        <v>18</v>
      </c>
      <c r="Q3" s="37"/>
      <c r="R3" s="26"/>
      <c r="S3" s="26"/>
      <c r="T3" s="26"/>
      <c r="U3" s="26"/>
      <c r="V3" s="26"/>
      <c r="W3" s="26"/>
      <c r="X3" s="26"/>
      <c r="Y3" s="26"/>
      <c r="Z3" s="26"/>
      <c r="AA3" s="26"/>
      <c r="AB3" s="26"/>
      <c r="AC3" s="26"/>
      <c r="AD3" s="26"/>
      <c r="AE3" s="26"/>
      <c r="AF3" s="26"/>
      <c r="AG3" s="26"/>
      <c r="AH3" s="26"/>
      <c r="AI3" s="26"/>
      <c r="AJ3" s="26"/>
      <c r="AK3" s="26"/>
      <c r="AL3" s="26"/>
      <c r="AM3" s="26"/>
      <c r="AN3" s="26"/>
      <c r="AO3" s="26"/>
      <c r="AP3" s="26"/>
      <c r="AQ3" s="26"/>
      <c r="AR3" s="26"/>
      <c r="AS3" s="26"/>
      <c r="AT3" s="26"/>
      <c r="AU3" s="26"/>
      <c r="AV3" s="26"/>
      <c r="AW3" s="26"/>
      <c r="AX3" s="26"/>
      <c r="AY3" s="26"/>
      <c r="AZ3" s="26"/>
      <c r="BA3" s="26"/>
      <c r="BB3" s="26"/>
      <c r="BC3" s="26"/>
      <c r="BD3" s="26"/>
      <c r="BE3" s="26"/>
      <c r="BF3" s="26"/>
      <c r="BG3" s="26"/>
      <c r="BH3" s="26"/>
      <c r="BI3" s="26"/>
      <c r="BJ3" s="26"/>
      <c r="BK3" s="26"/>
      <c r="BL3" s="26"/>
      <c r="BM3" s="26"/>
      <c r="BN3" s="26"/>
      <c r="BO3" s="26"/>
      <c r="BP3" s="26"/>
      <c r="BQ3" s="26"/>
      <c r="BR3" s="26"/>
      <c r="BS3" s="26"/>
      <c r="BT3" s="26"/>
      <c r="BU3" s="26"/>
      <c r="BV3" s="26"/>
      <c r="BW3" s="26"/>
      <c r="BX3" s="26"/>
      <c r="BY3" s="26"/>
      <c r="BZ3" s="26"/>
      <c r="CA3" s="26"/>
      <c r="CB3" s="26"/>
      <c r="CC3" s="26"/>
      <c r="CD3" s="26"/>
      <c r="CE3" s="26"/>
      <c r="CF3" s="26"/>
      <c r="CG3" s="26"/>
      <c r="CH3" s="26"/>
      <c r="CI3" s="26"/>
      <c r="CJ3" s="26"/>
      <c r="CK3" s="26"/>
      <c r="CL3" s="26"/>
      <c r="CM3" s="26"/>
      <c r="CN3" s="26"/>
      <c r="CO3" s="26"/>
      <c r="CP3" s="26"/>
      <c r="CQ3" s="26"/>
      <c r="CR3" s="26"/>
      <c r="CS3" s="26"/>
      <c r="CT3" s="26"/>
      <c r="CU3" s="26"/>
      <c r="CV3" s="26"/>
      <c r="CW3" s="26"/>
      <c r="CX3" s="26"/>
      <c r="CY3" s="26"/>
      <c r="CZ3" s="26"/>
      <c r="DA3" s="26"/>
      <c r="DB3" s="26"/>
      <c r="DC3" s="26"/>
      <c r="DD3" s="26"/>
      <c r="DE3" s="26"/>
      <c r="DF3" s="26"/>
      <c r="DG3" s="26"/>
      <c r="DH3" s="26"/>
      <c r="DI3" s="26"/>
      <c r="DJ3" s="26"/>
      <c r="DK3" s="26"/>
      <c r="DL3" s="26"/>
      <c r="DM3" s="26"/>
      <c r="DN3" s="26"/>
      <c r="DO3" s="26"/>
      <c r="DP3" s="26"/>
      <c r="DQ3" s="26"/>
      <c r="DR3" s="26"/>
      <c r="DS3" s="26"/>
      <c r="DT3" s="26"/>
      <c r="DU3" s="26"/>
      <c r="DV3" s="26"/>
      <c r="DW3" s="26"/>
      <c r="DX3" s="26"/>
      <c r="DY3" s="26"/>
      <c r="DZ3" s="26"/>
      <c r="EA3" s="26"/>
      <c r="EB3" s="26"/>
      <c r="EC3" s="26"/>
      <c r="ED3" s="26"/>
      <c r="EE3" s="26"/>
      <c r="EF3" s="26"/>
      <c r="EG3" s="26"/>
      <c r="EH3" s="26"/>
      <c r="EI3" s="26"/>
      <c r="EJ3" s="26"/>
      <c r="EK3" s="26"/>
      <c r="EL3" s="26"/>
      <c r="EM3" s="26"/>
      <c r="EN3" s="26"/>
      <c r="EO3" s="26"/>
      <c r="EP3" s="26"/>
      <c r="EQ3" s="26"/>
      <c r="ER3" s="26"/>
      <c r="ES3" s="26"/>
      <c r="ET3" s="26"/>
      <c r="EU3" s="26"/>
      <c r="EV3" s="26"/>
      <c r="EW3" s="26"/>
      <c r="EX3" s="26"/>
      <c r="EY3" s="26"/>
      <c r="EZ3" s="26"/>
      <c r="FA3" s="26"/>
      <c r="FB3" s="26"/>
      <c r="FC3" s="26"/>
      <c r="FD3" s="26"/>
      <c r="FE3" s="26"/>
      <c r="FF3" s="26"/>
      <c r="FG3" s="26"/>
      <c r="FH3" s="26"/>
      <c r="FI3" s="26"/>
      <c r="FJ3" s="26"/>
      <c r="FK3" s="26"/>
      <c r="FL3" s="26"/>
      <c r="FM3" s="26"/>
      <c r="FN3" s="26"/>
      <c r="FO3" s="26"/>
      <c r="FP3" s="26"/>
      <c r="FQ3" s="26"/>
      <c r="FR3" s="26"/>
      <c r="FS3" s="26"/>
      <c r="FT3" s="26"/>
      <c r="FU3" s="26"/>
      <c r="FV3" s="26"/>
      <c r="FW3" s="26"/>
      <c r="FX3" s="26"/>
      <c r="FY3" s="26"/>
      <c r="FZ3" s="26"/>
      <c r="GA3" s="26"/>
      <c r="GB3" s="26"/>
      <c r="GC3" s="26"/>
      <c r="GD3" s="26"/>
      <c r="GE3" s="26"/>
      <c r="GF3" s="26"/>
      <c r="GG3" s="26"/>
      <c r="GH3" s="26"/>
      <c r="GI3" s="26"/>
      <c r="GJ3" s="26"/>
      <c r="GK3" s="26"/>
      <c r="GL3" s="26"/>
      <c r="GM3" s="26"/>
      <c r="GN3" s="26"/>
      <c r="GO3" s="26"/>
      <c r="GP3" s="26"/>
      <c r="GQ3" s="26"/>
      <c r="GR3" s="26"/>
      <c r="GS3" s="26"/>
      <c r="GT3" s="26"/>
      <c r="GU3" s="26"/>
      <c r="GV3" s="26"/>
      <c r="GW3" s="26"/>
      <c r="GX3" s="26"/>
      <c r="GY3" s="26"/>
      <c r="GZ3" s="26"/>
      <c r="HA3" s="26"/>
      <c r="HB3" s="26"/>
      <c r="HC3" s="26"/>
      <c r="HD3" s="26"/>
      <c r="HE3" s="26"/>
      <c r="HF3" s="26"/>
      <c r="HG3" s="26"/>
      <c r="HH3" s="26"/>
      <c r="HI3" s="26"/>
      <c r="HJ3" s="26"/>
      <c r="HK3" s="26"/>
      <c r="HL3" s="26"/>
      <c r="HM3" s="26"/>
      <c r="HN3" s="26"/>
      <c r="HO3" s="26"/>
      <c r="HP3" s="26"/>
      <c r="HQ3" s="26"/>
      <c r="HR3" s="26"/>
      <c r="HS3" s="26"/>
      <c r="HT3" s="26"/>
      <c r="HU3" s="26"/>
      <c r="HV3" s="26"/>
      <c r="HW3" s="26"/>
      <c r="HX3" s="26"/>
      <c r="HY3" s="26"/>
      <c r="HZ3" s="26"/>
      <c r="IA3" s="26"/>
      <c r="IB3" s="26"/>
      <c r="IC3" s="26"/>
      <c r="ID3" s="26"/>
      <c r="IE3" s="26"/>
      <c r="IF3" s="26"/>
      <c r="IG3" s="26"/>
      <c r="IH3" s="26"/>
      <c r="II3" s="26"/>
      <c r="IJ3" s="26"/>
      <c r="IK3" s="26"/>
      <c r="IL3" s="26"/>
    </row>
    <row r="4" spans="1:246" ht="58.5" customHeight="1" x14ac:dyDescent="0.15">
      <c r="A4" s="15">
        <v>234</v>
      </c>
      <c r="B4" s="13"/>
      <c r="C4" s="28" t="s">
        <v>64</v>
      </c>
      <c r="D4" s="29" t="s">
        <v>24</v>
      </c>
      <c r="E4" s="30" t="s">
        <v>47</v>
      </c>
      <c r="F4" s="30">
        <v>43640</v>
      </c>
      <c r="G4" s="30">
        <v>43676</v>
      </c>
      <c r="H4" s="31">
        <v>43703</v>
      </c>
      <c r="I4" s="31">
        <v>43724</v>
      </c>
      <c r="J4" s="13" t="str">
        <f t="shared" ref="J4:J13" ca="1" si="0">IF(AND(I4&lt;=$C$2,I4&lt;&gt;0),"DONE",IF(K4&lt;0,"OVERDUE",IF(AND(K4="",O4&lt;0),"OVERDUE","IN TIME")))</f>
        <v>DONE</v>
      </c>
      <c r="K4" s="13">
        <f t="shared" ref="K4:K13" ca="1" si="1">IF(H4&gt;0,H4-$C$2,"")</f>
        <v>-774</v>
      </c>
      <c r="L4" s="13">
        <f t="shared" ref="L4:L13" ca="1" si="2">IF(J4="OVERDUE",1,0)</f>
        <v>0</v>
      </c>
      <c r="M4" s="13">
        <f t="shared" ref="M4:M13" ca="1" si="3">IF(J4="IN TIME",1,0)</f>
        <v>0</v>
      </c>
      <c r="N4" s="13">
        <f t="shared" ref="N4:N13" ca="1" si="4">IF(J4="DONE",1,0)</f>
        <v>1</v>
      </c>
      <c r="O4" s="13">
        <f t="shared" ref="O4:O13" ca="1" si="5">IF(G4&gt;0,G4-$C$2,"")</f>
        <v>-801</v>
      </c>
      <c r="P4" s="20" t="s">
        <v>65</v>
      </c>
      <c r="Q4" s="27"/>
      <c r="R4" s="27"/>
      <c r="S4" s="27"/>
      <c r="T4" s="27"/>
      <c r="U4" s="27"/>
      <c r="V4" s="27"/>
      <c r="W4" s="27"/>
      <c r="X4" s="27"/>
      <c r="Y4" s="27"/>
      <c r="Z4" s="27"/>
      <c r="AA4" s="27"/>
      <c r="AB4" s="27"/>
      <c r="AC4" s="27"/>
      <c r="AD4" s="27"/>
    </row>
    <row r="5" spans="1:246" ht="60.75" customHeight="1" x14ac:dyDescent="0.15">
      <c r="A5" s="32">
        <v>235</v>
      </c>
      <c r="B5" s="32"/>
      <c r="C5" s="33" t="s">
        <v>66</v>
      </c>
      <c r="D5" s="34" t="s">
        <v>37</v>
      </c>
      <c r="E5" s="35" t="s">
        <v>25</v>
      </c>
      <c r="F5" s="35">
        <v>43640</v>
      </c>
      <c r="G5" s="35">
        <v>43653</v>
      </c>
      <c r="H5" s="35">
        <v>43727</v>
      </c>
      <c r="I5" s="35">
        <v>44093</v>
      </c>
      <c r="J5" s="32" t="str">
        <f t="shared" ca="1" si="0"/>
        <v>DONE</v>
      </c>
      <c r="K5" s="32">
        <f t="shared" ca="1" si="1"/>
        <v>-750</v>
      </c>
      <c r="L5" s="32">
        <f t="shared" ca="1" si="2"/>
        <v>0</v>
      </c>
      <c r="M5" s="32">
        <f t="shared" ca="1" si="3"/>
        <v>0</v>
      </c>
      <c r="N5" s="32">
        <f t="shared" ca="1" si="4"/>
        <v>1</v>
      </c>
      <c r="O5" s="32">
        <f t="shared" ca="1" si="5"/>
        <v>-824</v>
      </c>
      <c r="P5" s="36" t="s">
        <v>67</v>
      </c>
      <c r="Q5" s="27"/>
      <c r="R5" s="27"/>
      <c r="S5" s="27"/>
      <c r="T5" s="27"/>
      <c r="U5" s="27"/>
      <c r="V5" s="27"/>
      <c r="W5" s="27"/>
      <c r="X5" s="27"/>
      <c r="Y5" s="27"/>
      <c r="Z5" s="27"/>
      <c r="AA5" s="27"/>
      <c r="AB5" s="27"/>
      <c r="AC5" s="27"/>
      <c r="AD5" s="27"/>
    </row>
    <row r="6" spans="1:246" ht="152.25" customHeight="1" x14ac:dyDescent="0.15">
      <c r="A6" s="15">
        <v>236</v>
      </c>
      <c r="B6" s="13"/>
      <c r="C6" s="16" t="s">
        <v>68</v>
      </c>
      <c r="D6" s="13" t="s">
        <v>24</v>
      </c>
      <c r="E6" s="13" t="s">
        <v>47</v>
      </c>
      <c r="F6" s="14">
        <v>43675</v>
      </c>
      <c r="G6" s="14">
        <v>43707</v>
      </c>
      <c r="H6" s="14"/>
      <c r="I6" s="14">
        <v>43746</v>
      </c>
      <c r="J6" s="13" t="str">
        <f t="shared" ca="1" si="0"/>
        <v>DONE</v>
      </c>
      <c r="K6" s="13" t="str">
        <f t="shared" si="1"/>
        <v/>
      </c>
      <c r="L6" s="13">
        <f t="shared" ca="1" si="2"/>
        <v>0</v>
      </c>
      <c r="M6" s="13">
        <f t="shared" ca="1" si="3"/>
        <v>0</v>
      </c>
      <c r="N6" s="13">
        <f t="shared" ca="1" si="4"/>
        <v>1</v>
      </c>
      <c r="O6" s="13">
        <f t="shared" ca="1" si="5"/>
        <v>-770</v>
      </c>
      <c r="P6" s="20" t="s">
        <v>69</v>
      </c>
      <c r="Q6" s="27"/>
      <c r="R6" s="27"/>
      <c r="S6" s="27"/>
      <c r="T6" s="27"/>
      <c r="U6" s="27"/>
      <c r="V6" s="27"/>
      <c r="W6" s="27"/>
      <c r="X6" s="27"/>
      <c r="Y6" s="27"/>
      <c r="Z6" s="27"/>
      <c r="AA6" s="27"/>
      <c r="AB6" s="27"/>
      <c r="AC6" s="27"/>
      <c r="AD6" s="27"/>
    </row>
    <row r="7" spans="1:246" ht="63.75" customHeight="1" x14ac:dyDescent="0.15">
      <c r="A7" s="15">
        <v>237</v>
      </c>
      <c r="B7" s="13"/>
      <c r="C7" s="12" t="s">
        <v>70</v>
      </c>
      <c r="D7" s="13" t="s">
        <v>37</v>
      </c>
      <c r="E7" s="13" t="s">
        <v>25</v>
      </c>
      <c r="F7" s="14">
        <v>43724</v>
      </c>
      <c r="G7" s="14">
        <v>43776</v>
      </c>
      <c r="H7" s="14"/>
      <c r="I7" s="14">
        <v>43759</v>
      </c>
      <c r="J7" s="13" t="str">
        <f t="shared" ca="1" si="0"/>
        <v>DONE</v>
      </c>
      <c r="K7" s="13" t="str">
        <f t="shared" si="1"/>
        <v/>
      </c>
      <c r="L7" s="13">
        <f t="shared" ca="1" si="2"/>
        <v>0</v>
      </c>
      <c r="M7" s="13">
        <f t="shared" ca="1" si="3"/>
        <v>0</v>
      </c>
      <c r="N7" s="13">
        <f t="shared" ca="1" si="4"/>
        <v>1</v>
      </c>
      <c r="O7" s="13">
        <f t="shared" ca="1" si="5"/>
        <v>-701</v>
      </c>
      <c r="P7" s="20" t="s">
        <v>71</v>
      </c>
      <c r="Q7" s="27"/>
      <c r="R7" s="27"/>
      <c r="S7" s="27"/>
      <c r="T7" s="27"/>
      <c r="U7" s="27"/>
      <c r="V7" s="27"/>
      <c r="W7" s="27"/>
      <c r="X7" s="27"/>
      <c r="Y7" s="27"/>
      <c r="Z7" s="27"/>
      <c r="AA7" s="27"/>
      <c r="AB7" s="27"/>
      <c r="AC7" s="27"/>
      <c r="AD7" s="27"/>
    </row>
    <row r="8" spans="1:246" ht="63.75" customHeight="1" x14ac:dyDescent="0.15">
      <c r="A8" s="15">
        <v>238</v>
      </c>
      <c r="B8" s="13"/>
      <c r="C8" s="12" t="s">
        <v>72</v>
      </c>
      <c r="D8" s="13" t="s">
        <v>37</v>
      </c>
      <c r="E8" s="13" t="s">
        <v>25</v>
      </c>
      <c r="F8" s="14">
        <v>43724</v>
      </c>
      <c r="G8" s="14">
        <v>43776</v>
      </c>
      <c r="H8" s="14"/>
      <c r="I8" s="14">
        <v>43773</v>
      </c>
      <c r="J8" s="13" t="str">
        <f t="shared" ca="1" si="0"/>
        <v>DONE</v>
      </c>
      <c r="K8" s="13" t="str">
        <f t="shared" si="1"/>
        <v/>
      </c>
      <c r="L8" s="13">
        <f t="shared" ca="1" si="2"/>
        <v>0</v>
      </c>
      <c r="M8" s="13">
        <f t="shared" ca="1" si="3"/>
        <v>0</v>
      </c>
      <c r="N8" s="13">
        <f t="shared" ca="1" si="4"/>
        <v>1</v>
      </c>
      <c r="O8" s="13">
        <f t="shared" ca="1" si="5"/>
        <v>-701</v>
      </c>
      <c r="P8" s="20" t="s">
        <v>73</v>
      </c>
      <c r="Q8" s="27"/>
      <c r="R8" s="27"/>
      <c r="S8" s="27"/>
      <c r="T8" s="27"/>
      <c r="U8" s="27"/>
      <c r="V8" s="27"/>
      <c r="W8" s="27"/>
      <c r="X8" s="27"/>
      <c r="Y8" s="27"/>
      <c r="Z8" s="27"/>
      <c r="AA8" s="27"/>
      <c r="AB8" s="27"/>
      <c r="AC8" s="27"/>
      <c r="AD8" s="27"/>
    </row>
    <row r="9" spans="1:246" ht="78.75" customHeight="1" x14ac:dyDescent="0.15">
      <c r="A9" s="15">
        <v>239</v>
      </c>
      <c r="B9" s="13"/>
      <c r="C9" s="12" t="s">
        <v>74</v>
      </c>
      <c r="D9" s="13" t="s">
        <v>37</v>
      </c>
      <c r="E9" s="13" t="s">
        <v>25</v>
      </c>
      <c r="F9" s="14">
        <v>43724</v>
      </c>
      <c r="G9" s="14">
        <v>43776</v>
      </c>
      <c r="H9" s="14"/>
      <c r="I9" s="14">
        <v>43773</v>
      </c>
      <c r="J9" s="13" t="str">
        <f t="shared" ca="1" si="0"/>
        <v>DONE</v>
      </c>
      <c r="K9" s="13" t="str">
        <f t="shared" si="1"/>
        <v/>
      </c>
      <c r="L9" s="13">
        <f t="shared" ca="1" si="2"/>
        <v>0</v>
      </c>
      <c r="M9" s="13">
        <f t="shared" ca="1" si="3"/>
        <v>0</v>
      </c>
      <c r="N9" s="13">
        <f t="shared" ca="1" si="4"/>
        <v>1</v>
      </c>
      <c r="O9" s="13">
        <f t="shared" ca="1" si="5"/>
        <v>-701</v>
      </c>
      <c r="P9" s="20" t="s">
        <v>75</v>
      </c>
      <c r="Q9" s="27"/>
      <c r="R9" s="27"/>
      <c r="S9" s="27"/>
      <c r="T9" s="27"/>
      <c r="U9" s="27"/>
      <c r="V9" s="27"/>
      <c r="W9" s="27"/>
      <c r="X9" s="27"/>
      <c r="Y9" s="27"/>
      <c r="Z9" s="27"/>
      <c r="AA9" s="27"/>
      <c r="AB9" s="27"/>
      <c r="AC9" s="27"/>
      <c r="AD9" s="27"/>
    </row>
    <row r="10" spans="1:246" ht="102" customHeight="1" x14ac:dyDescent="0.15">
      <c r="A10" s="15">
        <v>240</v>
      </c>
      <c r="B10" s="13"/>
      <c r="C10" s="12" t="s">
        <v>76</v>
      </c>
      <c r="D10" s="13" t="s">
        <v>37</v>
      </c>
      <c r="E10" s="13" t="s">
        <v>77</v>
      </c>
      <c r="F10" s="14">
        <v>43724</v>
      </c>
      <c r="G10" s="14">
        <v>43776</v>
      </c>
      <c r="H10" s="14"/>
      <c r="I10" s="14">
        <v>43773</v>
      </c>
      <c r="J10" s="13" t="str">
        <f t="shared" ca="1" si="0"/>
        <v>DONE</v>
      </c>
      <c r="K10" s="13" t="str">
        <f t="shared" si="1"/>
        <v/>
      </c>
      <c r="L10" s="13">
        <f t="shared" ca="1" si="2"/>
        <v>0</v>
      </c>
      <c r="M10" s="13">
        <f t="shared" ca="1" si="3"/>
        <v>0</v>
      </c>
      <c r="N10" s="13">
        <f t="shared" ca="1" si="4"/>
        <v>1</v>
      </c>
      <c r="O10" s="13">
        <f t="shared" ca="1" si="5"/>
        <v>-701</v>
      </c>
      <c r="P10" s="20" t="s">
        <v>78</v>
      </c>
      <c r="Q10" s="27"/>
      <c r="R10" s="27"/>
      <c r="S10" s="27"/>
      <c r="T10" s="27"/>
      <c r="U10" s="27"/>
      <c r="V10" s="27"/>
      <c r="W10" s="27"/>
      <c r="X10" s="27"/>
      <c r="Y10" s="27"/>
      <c r="Z10" s="27"/>
      <c r="AA10" s="27"/>
      <c r="AB10" s="27"/>
      <c r="AC10" s="27"/>
      <c r="AD10" s="27"/>
    </row>
    <row r="11" spans="1:246" ht="85.5" customHeight="1" x14ac:dyDescent="0.15">
      <c r="A11" s="15">
        <v>241</v>
      </c>
      <c r="B11" s="13"/>
      <c r="C11" s="16" t="s">
        <v>79</v>
      </c>
      <c r="D11" s="13" t="s">
        <v>24</v>
      </c>
      <c r="E11" s="13" t="s">
        <v>47</v>
      </c>
      <c r="F11" s="14">
        <v>43746</v>
      </c>
      <c r="G11" s="14"/>
      <c r="H11" s="14"/>
      <c r="I11" s="14">
        <v>43773</v>
      </c>
      <c r="J11" s="13" t="str">
        <f t="shared" ca="1" si="0"/>
        <v>DONE</v>
      </c>
      <c r="K11" s="13" t="str">
        <f t="shared" si="1"/>
        <v/>
      </c>
      <c r="L11" s="13">
        <f t="shared" ca="1" si="2"/>
        <v>0</v>
      </c>
      <c r="M11" s="13">
        <f t="shared" ca="1" si="3"/>
        <v>0</v>
      </c>
      <c r="N11" s="13">
        <f t="shared" ca="1" si="4"/>
        <v>1</v>
      </c>
      <c r="O11" s="13" t="str">
        <f t="shared" si="5"/>
        <v/>
      </c>
      <c r="P11" s="20" t="s">
        <v>80</v>
      </c>
      <c r="Q11" s="27"/>
      <c r="R11" s="27"/>
      <c r="S11" s="27"/>
      <c r="T11" s="27"/>
      <c r="U11" s="27"/>
      <c r="V11" s="27"/>
      <c r="W11" s="27"/>
      <c r="X11" s="27"/>
      <c r="Y11" s="27"/>
      <c r="Z11" s="27"/>
      <c r="AA11" s="27"/>
      <c r="AB11" s="27"/>
      <c r="AC11" s="27"/>
      <c r="AD11" s="27"/>
    </row>
    <row r="12" spans="1:246" s="162" customFormat="1" ht="51" customHeight="1" x14ac:dyDescent="0.15">
      <c r="A12" s="156">
        <v>242</v>
      </c>
      <c r="B12" s="157"/>
      <c r="C12" s="158" t="s">
        <v>523</v>
      </c>
      <c r="D12" s="157" t="s">
        <v>24</v>
      </c>
      <c r="E12" s="157" t="s">
        <v>47</v>
      </c>
      <c r="F12" s="159">
        <v>43781</v>
      </c>
      <c r="G12" s="159"/>
      <c r="H12" s="159"/>
      <c r="I12" s="159"/>
      <c r="J12" s="157" t="str">
        <f t="shared" ca="1" si="0"/>
        <v>IN TIME</v>
      </c>
      <c r="K12" s="157" t="str">
        <f t="shared" si="1"/>
        <v/>
      </c>
      <c r="L12" s="157">
        <f t="shared" ca="1" si="2"/>
        <v>0</v>
      </c>
      <c r="M12" s="157">
        <f t="shared" ca="1" si="3"/>
        <v>1</v>
      </c>
      <c r="N12" s="157">
        <f t="shared" ca="1" si="4"/>
        <v>0</v>
      </c>
      <c r="O12" s="157" t="str">
        <f t="shared" si="5"/>
        <v/>
      </c>
      <c r="P12" s="160" t="s">
        <v>524</v>
      </c>
      <c r="Q12" s="161"/>
      <c r="R12" s="161"/>
      <c r="S12" s="161"/>
      <c r="T12" s="161"/>
      <c r="U12" s="161"/>
      <c r="V12" s="161"/>
      <c r="W12" s="161"/>
      <c r="X12" s="161"/>
      <c r="Y12" s="161"/>
      <c r="Z12" s="161"/>
      <c r="AA12" s="161"/>
      <c r="AB12" s="161"/>
      <c r="AC12" s="161"/>
      <c r="AD12" s="161"/>
    </row>
    <row r="13" spans="1:246" ht="24.6" customHeight="1" x14ac:dyDescent="0.15">
      <c r="A13" s="15">
        <v>243</v>
      </c>
      <c r="B13" s="13"/>
      <c r="C13" s="12" t="s">
        <v>636</v>
      </c>
      <c r="D13" s="13"/>
      <c r="E13" s="13" t="s">
        <v>635</v>
      </c>
      <c r="F13" s="14"/>
      <c r="G13" s="14"/>
      <c r="H13" s="14"/>
      <c r="I13" s="14">
        <v>43869</v>
      </c>
      <c r="J13" s="13" t="str">
        <f t="shared" ca="1" si="0"/>
        <v>DONE</v>
      </c>
      <c r="K13" s="13" t="str">
        <f t="shared" si="1"/>
        <v/>
      </c>
      <c r="L13" s="13">
        <f t="shared" ca="1" si="2"/>
        <v>0</v>
      </c>
      <c r="M13" s="13">
        <f t="shared" ca="1" si="3"/>
        <v>0</v>
      </c>
      <c r="N13" s="13">
        <f t="shared" ca="1" si="4"/>
        <v>1</v>
      </c>
      <c r="O13" s="13" t="str">
        <f t="shared" si="5"/>
        <v/>
      </c>
      <c r="P13" s="20" t="s">
        <v>638</v>
      </c>
      <c r="Q13" s="27"/>
      <c r="R13" s="27"/>
      <c r="S13" s="27"/>
      <c r="T13" s="27"/>
      <c r="U13" s="27"/>
      <c r="V13" s="27"/>
      <c r="W13" s="27"/>
      <c r="X13" s="27"/>
      <c r="Y13" s="27"/>
      <c r="Z13" s="27"/>
      <c r="AA13" s="27"/>
      <c r="AB13" s="27"/>
      <c r="AC13" s="27"/>
      <c r="AD13" s="27"/>
    </row>
    <row r="14" spans="1:246" ht="24.6" customHeight="1" x14ac:dyDescent="0.15">
      <c r="A14" s="15">
        <v>244</v>
      </c>
      <c r="B14" s="13"/>
      <c r="C14" s="12"/>
      <c r="D14" s="13"/>
      <c r="E14" s="13"/>
      <c r="F14" s="14"/>
      <c r="G14" s="14"/>
      <c r="H14" s="14"/>
      <c r="I14" s="14"/>
      <c r="J14" s="13" t="str">
        <f t="shared" ref="J14" ca="1" si="6">IF(AND(I14&lt;=$C$2,I14&lt;&gt;0),"DONE",IF(K14&lt;0,"OVERDUE",IF(AND(K14="",O14&lt;0),"OVERDUE","IN TIME")))</f>
        <v>IN TIME</v>
      </c>
      <c r="K14" s="13" t="str">
        <f t="shared" ref="K14" si="7">IF(H14&gt;0,H14-$C$2,"")</f>
        <v/>
      </c>
      <c r="L14" s="13">
        <f t="shared" ref="L14" ca="1" si="8">IF(J14="OVERDUE",1,0)</f>
        <v>0</v>
      </c>
      <c r="M14" s="13">
        <f t="shared" ref="M14" ca="1" si="9">IF(J14="IN TIME",1,0)</f>
        <v>1</v>
      </c>
      <c r="N14" s="13">
        <f t="shared" ref="N14" ca="1" si="10">IF(J14="DONE",1,0)</f>
        <v>0</v>
      </c>
      <c r="O14" s="13" t="str">
        <f t="shared" ref="O14" si="11">IF(G14&gt;0,G14-$C$2,"")</f>
        <v/>
      </c>
      <c r="P14" s="20"/>
      <c r="Q14" s="27"/>
      <c r="R14" s="27"/>
      <c r="S14" s="27"/>
      <c r="T14" s="27"/>
      <c r="U14" s="27"/>
      <c r="V14" s="27"/>
      <c r="W14" s="27"/>
      <c r="X14" s="27"/>
      <c r="Y14" s="27"/>
      <c r="Z14" s="27"/>
      <c r="AA14" s="27"/>
      <c r="AB14" s="27"/>
      <c r="AC14" s="27"/>
      <c r="AD14" s="27"/>
    </row>
    <row r="15" spans="1:246" ht="24.6" customHeight="1" x14ac:dyDescent="0.15">
      <c r="A15" s="15">
        <v>245</v>
      </c>
      <c r="B15" s="13"/>
      <c r="C15" s="12"/>
      <c r="D15" s="13"/>
      <c r="E15" s="13"/>
      <c r="F15" s="14"/>
      <c r="G15" s="14"/>
      <c r="H15" s="14"/>
      <c r="I15" s="14"/>
      <c r="J15" s="13" t="str">
        <f t="shared" ref="J15" ca="1" si="12">IF(AND(I15&lt;=$C$2,I15&lt;&gt;0),"DONE",IF(K15&lt;0,"OVERDUE",IF(AND(K15="",O15&lt;0),"OVERDUE","IN TIME")))</f>
        <v>IN TIME</v>
      </c>
      <c r="K15" s="13" t="str">
        <f t="shared" ref="K15" si="13">IF(H15&gt;0,H15-$C$2,"")</f>
        <v/>
      </c>
      <c r="L15" s="13">
        <f t="shared" ref="L15" ca="1" si="14">IF(J15="OVERDUE",1,0)</f>
        <v>0</v>
      </c>
      <c r="M15" s="13">
        <f t="shared" ref="M15" ca="1" si="15">IF(J15="IN TIME",1,0)</f>
        <v>1</v>
      </c>
      <c r="N15" s="13">
        <f t="shared" ref="N15" ca="1" si="16">IF(J15="DONE",1,0)</f>
        <v>0</v>
      </c>
      <c r="O15" s="13" t="str">
        <f t="shared" ref="O15" si="17">IF(G15&gt;0,G15-$C$2,"")</f>
        <v/>
      </c>
      <c r="P15" s="20"/>
      <c r="Q15" s="27"/>
      <c r="R15" s="27"/>
      <c r="S15" s="27"/>
      <c r="T15" s="27"/>
      <c r="U15" s="27"/>
      <c r="V15" s="27"/>
      <c r="W15" s="27"/>
      <c r="X15" s="27"/>
      <c r="Y15" s="27"/>
      <c r="Z15" s="27"/>
      <c r="AA15" s="27"/>
      <c r="AB15" s="27"/>
      <c r="AC15" s="27"/>
      <c r="AD15" s="27"/>
    </row>
  </sheetData>
  <autoFilter ref="A3:P15"/>
  <mergeCells count="2">
    <mergeCell ref="A1:P1"/>
    <mergeCell ref="A2:B2"/>
  </mergeCells>
  <phoneticPr fontId="34" type="noConversion"/>
  <conditionalFormatting sqref="J4">
    <cfRule type="cellIs" dxfId="581" priority="34" operator="equal">
      <formula>"OVERDUE"</formula>
    </cfRule>
    <cfRule type="cellIs" dxfId="580" priority="35" operator="equal">
      <formula>"DONE"</formula>
    </cfRule>
    <cfRule type="cellIs" dxfId="579" priority="36" operator="equal">
      <formula>"DONE"</formula>
    </cfRule>
  </conditionalFormatting>
  <conditionalFormatting sqref="J5">
    <cfRule type="cellIs" dxfId="578" priority="31" operator="equal">
      <formula>"OVERDUE"</formula>
    </cfRule>
    <cfRule type="cellIs" dxfId="577" priority="32" operator="equal">
      <formula>"DONE"</formula>
    </cfRule>
    <cfRule type="cellIs" dxfId="576" priority="33" operator="equal">
      <formula>"DONE"</formula>
    </cfRule>
  </conditionalFormatting>
  <conditionalFormatting sqref="J6">
    <cfRule type="cellIs" dxfId="575" priority="28" operator="equal">
      <formula>"OVERDUE"</formula>
    </cfRule>
    <cfRule type="cellIs" dxfId="574" priority="29" operator="equal">
      <formula>"DONE"</formula>
    </cfRule>
    <cfRule type="cellIs" dxfId="573" priority="30" operator="equal">
      <formula>"DONE"</formula>
    </cfRule>
  </conditionalFormatting>
  <conditionalFormatting sqref="J7">
    <cfRule type="cellIs" dxfId="572" priority="25" operator="equal">
      <formula>"OVERDUE"</formula>
    </cfRule>
    <cfRule type="cellIs" dxfId="571" priority="26" operator="equal">
      <formula>"DONE"</formula>
    </cfRule>
    <cfRule type="cellIs" dxfId="570" priority="27" operator="equal">
      <formula>"DONE"</formula>
    </cfRule>
  </conditionalFormatting>
  <conditionalFormatting sqref="J8">
    <cfRule type="cellIs" dxfId="569" priority="22" operator="equal">
      <formula>"OVERDUE"</formula>
    </cfRule>
    <cfRule type="cellIs" dxfId="568" priority="23" operator="equal">
      <formula>"DONE"</formula>
    </cfRule>
    <cfRule type="cellIs" dxfId="567" priority="24" operator="equal">
      <formula>"DONE"</formula>
    </cfRule>
  </conditionalFormatting>
  <conditionalFormatting sqref="J9">
    <cfRule type="cellIs" dxfId="566" priority="19" operator="equal">
      <formula>"OVERDUE"</formula>
    </cfRule>
    <cfRule type="cellIs" dxfId="565" priority="20" operator="equal">
      <formula>"DONE"</formula>
    </cfRule>
    <cfRule type="cellIs" dxfId="564" priority="21" operator="equal">
      <formula>"DONE"</formula>
    </cfRule>
  </conditionalFormatting>
  <conditionalFormatting sqref="J10">
    <cfRule type="cellIs" dxfId="563" priority="16" operator="equal">
      <formula>"OVERDUE"</formula>
    </cfRule>
    <cfRule type="cellIs" dxfId="562" priority="17" operator="equal">
      <formula>"DONE"</formula>
    </cfRule>
    <cfRule type="cellIs" dxfId="561" priority="18" operator="equal">
      <formula>"DONE"</formula>
    </cfRule>
  </conditionalFormatting>
  <conditionalFormatting sqref="J11">
    <cfRule type="cellIs" dxfId="560" priority="13" operator="equal">
      <formula>"OVERDUE"</formula>
    </cfRule>
    <cfRule type="cellIs" dxfId="559" priority="14" operator="equal">
      <formula>"DONE"</formula>
    </cfRule>
    <cfRule type="cellIs" dxfId="558" priority="15" operator="equal">
      <formula>"DONE"</formula>
    </cfRule>
  </conditionalFormatting>
  <conditionalFormatting sqref="J12">
    <cfRule type="cellIs" dxfId="557" priority="10" operator="equal">
      <formula>"OVERDUE"</formula>
    </cfRule>
    <cfRule type="cellIs" dxfId="556" priority="11" operator="equal">
      <formula>"DONE"</formula>
    </cfRule>
    <cfRule type="cellIs" dxfId="555" priority="12" operator="equal">
      <formula>"DONE"</formula>
    </cfRule>
  </conditionalFormatting>
  <conditionalFormatting sqref="J13">
    <cfRule type="cellIs" dxfId="554" priority="7" operator="equal">
      <formula>"OVERDUE"</formula>
    </cfRule>
    <cfRule type="cellIs" dxfId="553" priority="8" operator="equal">
      <formula>"DONE"</formula>
    </cfRule>
    <cfRule type="cellIs" dxfId="552" priority="9" operator="equal">
      <formula>"DONE"</formula>
    </cfRule>
  </conditionalFormatting>
  <conditionalFormatting sqref="J14">
    <cfRule type="cellIs" dxfId="551" priority="4" operator="equal">
      <formula>"OVERDUE"</formula>
    </cfRule>
    <cfRule type="cellIs" dxfId="550" priority="5" operator="equal">
      <formula>"DONE"</formula>
    </cfRule>
    <cfRule type="cellIs" dxfId="549" priority="6" operator="equal">
      <formula>"DONE"</formula>
    </cfRule>
  </conditionalFormatting>
  <conditionalFormatting sqref="J15">
    <cfRule type="cellIs" dxfId="548" priority="1" operator="equal">
      <formula>"OVERDUE"</formula>
    </cfRule>
    <cfRule type="cellIs" dxfId="547" priority="2" operator="equal">
      <formula>"DONE"</formula>
    </cfRule>
    <cfRule type="cellIs" dxfId="546" priority="3" operator="equal">
      <formula>"DONE"</formula>
    </cfRule>
  </conditionalFormatting>
  <conditionalFormatting sqref="J2:J3 J16:J1048576">
    <cfRule type="cellIs" dxfId="545" priority="37" operator="equal">
      <formula>"OVERDUE"</formula>
    </cfRule>
    <cfRule type="cellIs" dxfId="544" priority="38" operator="equal">
      <formula>"DONE"</formula>
    </cfRule>
    <cfRule type="cellIs" dxfId="543" priority="39" operator="equal">
      <formula>"DONE"</formula>
    </cfRule>
  </conditionalFormatting>
  <dataValidations count="1">
    <dataValidation type="list" allowBlank="1" showInputMessage="1" showErrorMessage="1" sqref="D1:D3 D6:D1048576">
      <formula1>"高,中,低"</formula1>
    </dataValidation>
  </dataValidations>
  <pageMargins left="0.51180555555555596" right="0" top="0.35416666666666702" bottom="0.39305555555555599" header="0.31388888888888899" footer="0.31388888888888899"/>
  <pageSetup paperSize="9"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1265" r:id="rId4" name="Button 1">
              <controlPr defaultSize="0" print="0" autoPict="0" macro="[0]!Insert_Line_moban">
                <anchor moveWithCells="1">
                  <from>
                    <xdr:col>0</xdr:col>
                    <xdr:colOff>104775</xdr:colOff>
                    <xdr:row>15</xdr:row>
                    <xdr:rowOff>85725</xdr:rowOff>
                  </from>
                  <to>
                    <xdr:col>2</xdr:col>
                    <xdr:colOff>695325</xdr:colOff>
                    <xdr:row>16</xdr:row>
                    <xdr:rowOff>161925</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tabColor rgb="FF92D050"/>
  </sheetPr>
  <dimension ref="A1:IL88"/>
  <sheetViews>
    <sheetView workbookViewId="0">
      <pane ySplit="3" topLeftCell="A52" activePane="bottomLeft" state="frozen"/>
      <selection pane="bottomLeft" activeCell="P88" sqref="P88"/>
    </sheetView>
  </sheetViews>
  <sheetFormatPr defaultColWidth="9" defaultRowHeight="14.25" x14ac:dyDescent="0.15"/>
  <cols>
    <col min="1" max="1" width="8.25" style="1" customWidth="1"/>
    <col min="2" max="2" width="14.875" style="1" customWidth="1"/>
    <col min="3" max="3" width="33.625" style="1" customWidth="1"/>
    <col min="4" max="4" width="6" style="2" customWidth="1"/>
    <col min="5" max="5" width="10.375" style="1" customWidth="1"/>
    <col min="6" max="6" width="11.75" style="1" customWidth="1"/>
    <col min="7" max="7" width="12.75" style="1" customWidth="1"/>
    <col min="8" max="8" width="12" style="1" customWidth="1"/>
    <col min="9" max="9" width="10.75" style="1" customWidth="1"/>
    <col min="10" max="10" width="8.625" style="1" customWidth="1"/>
    <col min="11" max="11" width="19.375" style="1" hidden="1" customWidth="1"/>
    <col min="12" max="14" width="9" style="1" hidden="1" customWidth="1"/>
    <col min="15" max="15" width="0.25" style="1" hidden="1" customWidth="1"/>
    <col min="16" max="16" width="34.75" style="1" customWidth="1"/>
    <col min="17" max="17" width="43" style="3" customWidth="1"/>
    <col min="18" max="16384" width="9" style="4"/>
  </cols>
  <sheetData>
    <row r="1" spans="1:246" ht="41.25" customHeight="1" x14ac:dyDescent="0.15">
      <c r="A1" s="214" t="s">
        <v>356</v>
      </c>
      <c r="B1" s="214"/>
      <c r="C1" s="214"/>
      <c r="D1" s="214"/>
      <c r="E1" s="214"/>
      <c r="F1" s="214"/>
      <c r="G1" s="214"/>
      <c r="H1" s="214"/>
      <c r="I1" s="214"/>
      <c r="J1" s="214"/>
      <c r="K1" s="214"/>
      <c r="L1" s="214"/>
      <c r="M1" s="214"/>
      <c r="N1" s="214"/>
      <c r="O1" s="214"/>
      <c r="P1" s="214"/>
      <c r="Q1" s="21"/>
      <c r="R1" s="22"/>
      <c r="S1" s="22"/>
      <c r="T1" s="22"/>
      <c r="U1" s="22"/>
      <c r="V1" s="22"/>
      <c r="W1" s="22"/>
      <c r="X1" s="22"/>
      <c r="Y1" s="22"/>
      <c r="Z1" s="22"/>
      <c r="AA1" s="22"/>
      <c r="AB1" s="22"/>
      <c r="AC1" s="22"/>
      <c r="AD1" s="22"/>
      <c r="AE1" s="22"/>
      <c r="AF1" s="22"/>
      <c r="AG1" s="22"/>
      <c r="AH1" s="22"/>
      <c r="AI1" s="22"/>
      <c r="AJ1" s="22"/>
      <c r="AK1" s="22"/>
      <c r="AL1" s="22"/>
      <c r="AM1" s="22"/>
      <c r="AN1" s="22"/>
      <c r="AO1" s="22"/>
      <c r="AP1" s="22"/>
      <c r="AQ1" s="22"/>
      <c r="AR1" s="22"/>
      <c r="AS1" s="22"/>
      <c r="AT1" s="22"/>
      <c r="AU1" s="22"/>
      <c r="AV1" s="22"/>
      <c r="AW1" s="22"/>
      <c r="AX1" s="22"/>
      <c r="AY1" s="22"/>
      <c r="AZ1" s="22"/>
      <c r="BA1" s="22"/>
      <c r="BB1" s="22"/>
      <c r="BC1" s="22"/>
      <c r="BD1" s="22"/>
      <c r="BE1" s="22"/>
      <c r="BF1" s="22"/>
      <c r="BG1" s="22"/>
      <c r="BH1" s="22"/>
      <c r="BI1" s="22"/>
      <c r="BJ1" s="22"/>
      <c r="BK1" s="22"/>
      <c r="BL1" s="22"/>
      <c r="BM1" s="22"/>
      <c r="BN1" s="22"/>
      <c r="BO1" s="22"/>
      <c r="BP1" s="22"/>
      <c r="BQ1" s="22"/>
      <c r="BR1" s="22"/>
      <c r="BS1" s="22"/>
      <c r="BT1" s="22"/>
      <c r="BU1" s="22"/>
      <c r="BV1" s="22"/>
      <c r="BW1" s="22"/>
      <c r="BX1" s="22"/>
      <c r="BY1" s="22"/>
      <c r="BZ1" s="22"/>
      <c r="CA1" s="22"/>
      <c r="CB1" s="22"/>
      <c r="CC1" s="22"/>
      <c r="CD1" s="22"/>
      <c r="CE1" s="22"/>
      <c r="CF1" s="22"/>
      <c r="CG1" s="22"/>
      <c r="CH1" s="22"/>
      <c r="CI1" s="22"/>
      <c r="CJ1" s="22"/>
      <c r="CK1" s="22"/>
      <c r="CL1" s="22"/>
      <c r="CM1" s="22"/>
      <c r="CN1" s="22"/>
      <c r="CO1" s="22"/>
      <c r="CP1" s="22"/>
      <c r="CQ1" s="22"/>
      <c r="CR1" s="22"/>
      <c r="CS1" s="22"/>
      <c r="CT1" s="22"/>
      <c r="CU1" s="22"/>
      <c r="CV1" s="22"/>
      <c r="CW1" s="22"/>
      <c r="CX1" s="22"/>
      <c r="CY1" s="22"/>
      <c r="CZ1" s="22"/>
      <c r="DA1" s="22"/>
      <c r="DB1" s="22"/>
      <c r="DC1" s="22"/>
      <c r="DD1" s="22"/>
      <c r="DE1" s="22"/>
      <c r="DF1" s="22"/>
      <c r="DG1" s="22"/>
      <c r="DH1" s="22"/>
      <c r="DI1" s="22"/>
      <c r="DJ1" s="22"/>
      <c r="DK1" s="22"/>
      <c r="DL1" s="22"/>
      <c r="DM1" s="22"/>
      <c r="DN1" s="22"/>
      <c r="DO1" s="22"/>
      <c r="DP1" s="22"/>
      <c r="DQ1" s="22"/>
      <c r="DR1" s="22"/>
      <c r="DS1" s="22"/>
      <c r="DT1" s="22"/>
      <c r="DU1" s="22"/>
      <c r="DV1" s="22"/>
      <c r="DW1" s="22"/>
      <c r="DX1" s="22"/>
      <c r="DY1" s="22"/>
      <c r="DZ1" s="22"/>
      <c r="EA1" s="22"/>
      <c r="EB1" s="22"/>
      <c r="EC1" s="22"/>
      <c r="ED1" s="22"/>
      <c r="EE1" s="22"/>
      <c r="EF1" s="22"/>
      <c r="EG1" s="22"/>
      <c r="EH1" s="22"/>
      <c r="EI1" s="22"/>
      <c r="EJ1" s="22"/>
      <c r="EK1" s="22"/>
      <c r="EL1" s="22"/>
      <c r="EM1" s="22"/>
      <c r="EN1" s="22"/>
      <c r="EO1" s="22"/>
      <c r="EP1" s="22"/>
      <c r="EQ1" s="22"/>
      <c r="ER1" s="22"/>
      <c r="ES1" s="22"/>
      <c r="ET1" s="22"/>
      <c r="EU1" s="22"/>
      <c r="EV1" s="22"/>
      <c r="EW1" s="22"/>
      <c r="EX1" s="22"/>
      <c r="EY1" s="22"/>
      <c r="EZ1" s="22"/>
      <c r="FA1" s="22"/>
      <c r="FB1" s="22"/>
      <c r="FC1" s="22"/>
      <c r="FD1" s="22"/>
      <c r="FE1" s="22"/>
      <c r="FF1" s="22"/>
      <c r="FG1" s="22"/>
      <c r="FH1" s="22"/>
      <c r="FI1" s="22"/>
      <c r="FJ1" s="22"/>
      <c r="FK1" s="22"/>
      <c r="FL1" s="22"/>
      <c r="FM1" s="22"/>
      <c r="FN1" s="22"/>
      <c r="FO1" s="22"/>
      <c r="FP1" s="22"/>
      <c r="FQ1" s="22"/>
      <c r="FR1" s="22"/>
      <c r="FS1" s="22"/>
      <c r="FT1" s="22"/>
      <c r="FU1" s="22"/>
      <c r="FV1" s="22"/>
      <c r="FW1" s="22"/>
      <c r="FX1" s="22"/>
      <c r="FY1" s="22"/>
      <c r="FZ1" s="22"/>
      <c r="GA1" s="22"/>
      <c r="GB1" s="22"/>
      <c r="GC1" s="22"/>
      <c r="GD1" s="22"/>
      <c r="GE1" s="22"/>
      <c r="GF1" s="22"/>
      <c r="GG1" s="22"/>
      <c r="GH1" s="22"/>
      <c r="GI1" s="22"/>
      <c r="GJ1" s="22"/>
      <c r="GK1" s="22"/>
      <c r="GL1" s="22"/>
      <c r="GM1" s="22"/>
      <c r="GN1" s="22"/>
      <c r="GO1" s="22"/>
      <c r="GP1" s="22"/>
      <c r="GQ1" s="22"/>
      <c r="GR1" s="22"/>
      <c r="GS1" s="22"/>
      <c r="GT1" s="22"/>
      <c r="GU1" s="22"/>
      <c r="GV1" s="22"/>
      <c r="GW1" s="22"/>
      <c r="GX1" s="22"/>
      <c r="GY1" s="22"/>
      <c r="GZ1" s="22"/>
      <c r="HA1" s="22"/>
      <c r="HB1" s="22"/>
      <c r="HC1" s="22"/>
      <c r="HD1" s="22"/>
      <c r="HE1" s="22"/>
      <c r="HF1" s="22"/>
      <c r="HG1" s="22"/>
      <c r="HH1" s="22"/>
      <c r="HI1" s="22"/>
      <c r="HJ1" s="22"/>
      <c r="HK1" s="22"/>
      <c r="HL1" s="22"/>
      <c r="HM1" s="22"/>
      <c r="HN1" s="22"/>
      <c r="HO1" s="22"/>
      <c r="HP1" s="22"/>
      <c r="HQ1" s="22"/>
      <c r="HR1" s="22"/>
      <c r="HS1" s="22"/>
      <c r="HT1" s="22"/>
      <c r="HU1" s="22"/>
      <c r="HV1" s="22"/>
      <c r="HW1" s="22"/>
      <c r="HX1" s="22"/>
      <c r="HY1" s="22"/>
      <c r="HZ1" s="22"/>
      <c r="IA1" s="22"/>
      <c r="IB1" s="22"/>
      <c r="IC1" s="22"/>
      <c r="ID1" s="22"/>
      <c r="IE1" s="22"/>
      <c r="IF1" s="22"/>
      <c r="IG1" s="22"/>
      <c r="IH1" s="22"/>
      <c r="II1" s="22"/>
      <c r="IJ1" s="22"/>
      <c r="IK1" s="22"/>
      <c r="IL1" s="22"/>
    </row>
    <row r="2" spans="1:246" ht="18.75" customHeight="1" x14ac:dyDescent="0.2">
      <c r="A2" s="215" t="s">
        <v>1</v>
      </c>
      <c r="B2" s="215"/>
      <c r="C2" s="5">
        <f ca="1">TODAY()</f>
        <v>44477</v>
      </c>
      <c r="D2" s="6" t="s">
        <v>2</v>
      </c>
      <c r="E2" s="7"/>
      <c r="F2" s="8"/>
      <c r="G2" s="8"/>
      <c r="H2" s="8"/>
      <c r="I2" s="8"/>
      <c r="J2" s="8"/>
      <c r="K2" s="17"/>
      <c r="L2" s="17"/>
      <c r="M2" s="17"/>
      <c r="N2" s="17"/>
      <c r="O2" s="17"/>
      <c r="P2" s="18"/>
      <c r="Q2" s="23"/>
      <c r="R2" s="24"/>
      <c r="S2" s="24"/>
      <c r="T2" s="24"/>
      <c r="U2" s="24"/>
      <c r="V2" s="24"/>
      <c r="W2" s="24"/>
      <c r="X2" s="24"/>
      <c r="Y2" s="24"/>
      <c r="Z2" s="24"/>
      <c r="AA2" s="24"/>
      <c r="AB2" s="24"/>
      <c r="AC2" s="24"/>
      <c r="AD2" s="24"/>
      <c r="AE2" s="24"/>
      <c r="AF2" s="24"/>
      <c r="AG2" s="24"/>
      <c r="AH2" s="24"/>
      <c r="AI2" s="24"/>
      <c r="AJ2" s="24"/>
      <c r="AK2" s="24"/>
      <c r="AL2" s="24"/>
      <c r="AM2" s="24"/>
      <c r="AN2" s="24"/>
      <c r="AO2" s="24"/>
      <c r="AP2" s="24"/>
      <c r="AQ2" s="24"/>
      <c r="AR2" s="24"/>
      <c r="AS2" s="24"/>
      <c r="AT2" s="24"/>
      <c r="AU2" s="24"/>
      <c r="AV2" s="24"/>
      <c r="AW2" s="24"/>
      <c r="AX2" s="24"/>
      <c r="AY2" s="24"/>
      <c r="AZ2" s="24"/>
      <c r="BA2" s="24"/>
      <c r="BB2" s="24"/>
      <c r="BC2" s="24"/>
      <c r="BD2" s="24"/>
      <c r="BE2" s="24"/>
      <c r="BF2" s="24"/>
      <c r="BG2" s="24"/>
      <c r="BH2" s="24"/>
      <c r="BI2" s="24"/>
      <c r="BJ2" s="24"/>
      <c r="BK2" s="24"/>
      <c r="BL2" s="24"/>
      <c r="BM2" s="24"/>
      <c r="BN2" s="24"/>
      <c r="BO2" s="24"/>
      <c r="BP2" s="24"/>
      <c r="BQ2" s="24"/>
      <c r="BR2" s="24"/>
      <c r="BS2" s="24"/>
      <c r="BT2" s="24"/>
      <c r="BU2" s="24"/>
      <c r="BV2" s="24"/>
      <c r="BW2" s="24"/>
      <c r="BX2" s="24"/>
      <c r="BY2" s="24"/>
      <c r="BZ2" s="24"/>
      <c r="CA2" s="24"/>
      <c r="CB2" s="24"/>
      <c r="CC2" s="24"/>
      <c r="CD2" s="24"/>
      <c r="CE2" s="24"/>
      <c r="CF2" s="24"/>
      <c r="CG2" s="24"/>
      <c r="CH2" s="24"/>
      <c r="CI2" s="24"/>
      <c r="CJ2" s="24"/>
      <c r="CK2" s="24"/>
      <c r="CL2" s="24"/>
      <c r="CM2" s="24"/>
      <c r="CN2" s="24"/>
      <c r="CO2" s="24"/>
      <c r="CP2" s="24"/>
      <c r="CQ2" s="24"/>
      <c r="CR2" s="24"/>
      <c r="CS2" s="24"/>
      <c r="CT2" s="24"/>
      <c r="CU2" s="24"/>
      <c r="CV2" s="24"/>
      <c r="CW2" s="24"/>
      <c r="CX2" s="24"/>
      <c r="CY2" s="24"/>
      <c r="CZ2" s="24"/>
      <c r="DA2" s="24"/>
      <c r="DB2" s="24"/>
      <c r="DC2" s="24"/>
      <c r="DD2" s="24"/>
      <c r="DE2" s="24"/>
      <c r="DF2" s="24"/>
      <c r="DG2" s="24"/>
      <c r="DH2" s="24"/>
      <c r="DI2" s="24"/>
      <c r="DJ2" s="24"/>
      <c r="DK2" s="24"/>
      <c r="DL2" s="24"/>
      <c r="DM2" s="24"/>
      <c r="DN2" s="24"/>
      <c r="DO2" s="24"/>
      <c r="DP2" s="24"/>
      <c r="DQ2" s="24"/>
      <c r="DR2" s="24"/>
      <c r="DS2" s="24"/>
      <c r="DT2" s="24"/>
      <c r="DU2" s="24"/>
      <c r="DV2" s="24"/>
      <c r="DW2" s="24"/>
      <c r="DX2" s="24"/>
      <c r="DY2" s="24"/>
      <c r="DZ2" s="24"/>
      <c r="EA2" s="24"/>
      <c r="EB2" s="24"/>
      <c r="EC2" s="24"/>
      <c r="ED2" s="24"/>
      <c r="EE2" s="24"/>
      <c r="EF2" s="24"/>
      <c r="EG2" s="24"/>
      <c r="EH2" s="24"/>
      <c r="EI2" s="24"/>
      <c r="EJ2" s="24"/>
      <c r="EK2" s="24"/>
      <c r="EL2" s="24"/>
      <c r="EM2" s="24"/>
      <c r="EN2" s="24"/>
      <c r="EO2" s="24"/>
      <c r="EP2" s="24"/>
      <c r="EQ2" s="24"/>
      <c r="ER2" s="24"/>
      <c r="ES2" s="24"/>
      <c r="ET2" s="24"/>
      <c r="EU2" s="24"/>
      <c r="EV2" s="24"/>
      <c r="EW2" s="24"/>
      <c r="EX2" s="24"/>
      <c r="EY2" s="24"/>
      <c r="EZ2" s="24"/>
      <c r="FA2" s="24"/>
      <c r="FB2" s="24"/>
      <c r="FC2" s="24"/>
      <c r="FD2" s="24"/>
      <c r="FE2" s="24"/>
      <c r="FF2" s="24"/>
      <c r="FG2" s="24"/>
      <c r="FH2" s="24"/>
      <c r="FI2" s="24"/>
      <c r="FJ2" s="24"/>
      <c r="FK2" s="24"/>
      <c r="FL2" s="24"/>
      <c r="FM2" s="24"/>
      <c r="FN2" s="24"/>
      <c r="FO2" s="24"/>
      <c r="FP2" s="24"/>
      <c r="FQ2" s="24"/>
      <c r="FR2" s="24"/>
      <c r="FS2" s="24"/>
      <c r="FT2" s="24"/>
      <c r="FU2" s="24"/>
      <c r="FV2" s="24"/>
      <c r="FW2" s="24"/>
      <c r="FX2" s="24"/>
      <c r="FY2" s="24"/>
      <c r="FZ2" s="24"/>
      <c r="GA2" s="24"/>
      <c r="GB2" s="24"/>
      <c r="GC2" s="24"/>
      <c r="GD2" s="24"/>
      <c r="GE2" s="24"/>
      <c r="GF2" s="24"/>
      <c r="GG2" s="24"/>
      <c r="GH2" s="24"/>
      <c r="GI2" s="24"/>
      <c r="GJ2" s="24"/>
      <c r="GK2" s="24"/>
      <c r="GL2" s="24"/>
      <c r="GM2" s="24"/>
      <c r="GN2" s="24"/>
      <c r="GO2" s="24"/>
      <c r="GP2" s="24"/>
      <c r="GQ2" s="24"/>
      <c r="GR2" s="24"/>
      <c r="GS2" s="24"/>
      <c r="GT2" s="24"/>
      <c r="GU2" s="24"/>
      <c r="GV2" s="24"/>
      <c r="GW2" s="24"/>
      <c r="GX2" s="24"/>
      <c r="GY2" s="24"/>
      <c r="GZ2" s="24"/>
      <c r="HA2" s="24"/>
      <c r="HB2" s="24"/>
      <c r="HC2" s="24"/>
      <c r="HD2" s="24"/>
      <c r="HE2" s="24"/>
      <c r="HF2" s="24"/>
      <c r="HG2" s="24"/>
      <c r="HH2" s="24"/>
      <c r="HI2" s="24"/>
      <c r="HJ2" s="24"/>
      <c r="HK2" s="24"/>
      <c r="HL2" s="24"/>
      <c r="HM2" s="24"/>
      <c r="HN2" s="24"/>
      <c r="HO2" s="24"/>
      <c r="HP2" s="24"/>
      <c r="HQ2" s="24"/>
      <c r="HR2" s="24"/>
      <c r="HS2" s="24"/>
      <c r="HT2" s="24"/>
      <c r="HU2" s="24"/>
      <c r="HV2" s="24"/>
      <c r="HW2" s="24"/>
      <c r="HX2" s="24"/>
      <c r="HY2" s="24"/>
      <c r="HZ2" s="24"/>
      <c r="IA2" s="24"/>
      <c r="IB2" s="24"/>
      <c r="IC2" s="24"/>
      <c r="ID2" s="24"/>
      <c r="IE2" s="24"/>
      <c r="IF2" s="24"/>
      <c r="IG2" s="24"/>
      <c r="IH2" s="24"/>
      <c r="II2" s="24"/>
      <c r="IJ2" s="24"/>
      <c r="IK2" s="24"/>
      <c r="IL2" s="24"/>
    </row>
    <row r="3" spans="1:246" ht="39" customHeight="1" x14ac:dyDescent="0.15">
      <c r="A3" s="9" t="s">
        <v>3</v>
      </c>
      <c r="B3" s="9" t="s">
        <v>4</v>
      </c>
      <c r="C3" s="9" t="s">
        <v>631</v>
      </c>
      <c r="D3" s="9" t="s">
        <v>6</v>
      </c>
      <c r="E3" s="9" t="s">
        <v>7</v>
      </c>
      <c r="F3" s="9" t="s">
        <v>8</v>
      </c>
      <c r="G3" s="9" t="s">
        <v>9</v>
      </c>
      <c r="H3" s="9" t="s">
        <v>10</v>
      </c>
      <c r="I3" s="9" t="s">
        <v>11</v>
      </c>
      <c r="J3" s="9" t="s">
        <v>12</v>
      </c>
      <c r="K3" s="9" t="s">
        <v>13</v>
      </c>
      <c r="L3" s="9" t="s">
        <v>14</v>
      </c>
      <c r="M3" s="9" t="s">
        <v>15</v>
      </c>
      <c r="N3" s="9" t="s">
        <v>16</v>
      </c>
      <c r="O3" s="9" t="s">
        <v>17</v>
      </c>
      <c r="P3" s="19" t="s">
        <v>18</v>
      </c>
      <c r="Q3" s="216"/>
      <c r="R3" s="217"/>
      <c r="S3" s="217"/>
      <c r="T3" s="217"/>
      <c r="U3" s="217"/>
      <c r="V3" s="217"/>
      <c r="W3" s="217"/>
      <c r="X3" s="217"/>
      <c r="Y3" s="217"/>
      <c r="Z3" s="217"/>
      <c r="AA3" s="217"/>
      <c r="AB3" s="217"/>
      <c r="AC3" s="26"/>
      <c r="AD3" s="26"/>
      <c r="AE3" s="26"/>
      <c r="AF3" s="26"/>
      <c r="AG3" s="26"/>
      <c r="AH3" s="26"/>
      <c r="AI3" s="26"/>
      <c r="AJ3" s="26"/>
      <c r="AK3" s="26"/>
      <c r="AL3" s="26"/>
      <c r="AM3" s="26"/>
      <c r="AN3" s="26"/>
      <c r="AO3" s="26"/>
      <c r="AP3" s="26"/>
      <c r="AQ3" s="26"/>
      <c r="AR3" s="26"/>
      <c r="AS3" s="26"/>
      <c r="AT3" s="26"/>
      <c r="AU3" s="26"/>
      <c r="AV3" s="26"/>
      <c r="AW3" s="26"/>
      <c r="AX3" s="26"/>
      <c r="AY3" s="26"/>
      <c r="AZ3" s="26"/>
      <c r="BA3" s="26"/>
      <c r="BB3" s="26"/>
      <c r="BC3" s="26"/>
      <c r="BD3" s="26"/>
      <c r="BE3" s="26"/>
      <c r="BF3" s="26"/>
      <c r="BG3" s="26"/>
      <c r="BH3" s="26"/>
      <c r="BI3" s="26"/>
      <c r="BJ3" s="26"/>
      <c r="BK3" s="26"/>
      <c r="BL3" s="26"/>
      <c r="BM3" s="26"/>
      <c r="BN3" s="26"/>
      <c r="BO3" s="26"/>
      <c r="BP3" s="26"/>
      <c r="BQ3" s="26"/>
      <c r="BR3" s="26"/>
      <c r="BS3" s="26"/>
      <c r="BT3" s="26"/>
      <c r="BU3" s="26"/>
      <c r="BV3" s="26"/>
      <c r="BW3" s="26"/>
      <c r="BX3" s="26"/>
      <c r="BY3" s="26"/>
      <c r="BZ3" s="26"/>
      <c r="CA3" s="26"/>
      <c r="CB3" s="26"/>
      <c r="CC3" s="26"/>
      <c r="CD3" s="26"/>
      <c r="CE3" s="26"/>
      <c r="CF3" s="26"/>
      <c r="CG3" s="26"/>
      <c r="CH3" s="26"/>
      <c r="CI3" s="26"/>
      <c r="CJ3" s="26"/>
      <c r="CK3" s="26"/>
      <c r="CL3" s="26"/>
      <c r="CM3" s="26"/>
      <c r="CN3" s="26"/>
      <c r="CO3" s="26"/>
      <c r="CP3" s="26"/>
      <c r="CQ3" s="26"/>
      <c r="CR3" s="26"/>
      <c r="CS3" s="26"/>
      <c r="CT3" s="26"/>
      <c r="CU3" s="26"/>
      <c r="CV3" s="26"/>
      <c r="CW3" s="26"/>
      <c r="CX3" s="26"/>
      <c r="CY3" s="26"/>
      <c r="CZ3" s="26"/>
      <c r="DA3" s="26"/>
      <c r="DB3" s="26"/>
      <c r="DC3" s="26"/>
      <c r="DD3" s="26"/>
      <c r="DE3" s="26"/>
      <c r="DF3" s="26"/>
      <c r="DG3" s="26"/>
      <c r="DH3" s="26"/>
      <c r="DI3" s="26"/>
      <c r="DJ3" s="26"/>
      <c r="DK3" s="26"/>
      <c r="DL3" s="26"/>
      <c r="DM3" s="26"/>
      <c r="DN3" s="26"/>
      <c r="DO3" s="26"/>
      <c r="DP3" s="26"/>
      <c r="DQ3" s="26"/>
      <c r="DR3" s="26"/>
      <c r="DS3" s="26"/>
      <c r="DT3" s="26"/>
      <c r="DU3" s="26"/>
      <c r="DV3" s="26"/>
      <c r="DW3" s="26"/>
      <c r="DX3" s="26"/>
      <c r="DY3" s="26"/>
      <c r="DZ3" s="26"/>
      <c r="EA3" s="26"/>
      <c r="EB3" s="26"/>
      <c r="EC3" s="26"/>
      <c r="ED3" s="26"/>
      <c r="EE3" s="26"/>
      <c r="EF3" s="26"/>
      <c r="EG3" s="26"/>
      <c r="EH3" s="26"/>
      <c r="EI3" s="26"/>
      <c r="EJ3" s="26"/>
      <c r="EK3" s="26"/>
      <c r="EL3" s="26"/>
      <c r="EM3" s="26"/>
      <c r="EN3" s="26"/>
      <c r="EO3" s="26"/>
      <c r="EP3" s="26"/>
      <c r="EQ3" s="26"/>
      <c r="ER3" s="26"/>
      <c r="ES3" s="26"/>
      <c r="ET3" s="26"/>
      <c r="EU3" s="26"/>
      <c r="EV3" s="26"/>
      <c r="EW3" s="26"/>
      <c r="EX3" s="26"/>
      <c r="EY3" s="26"/>
      <c r="EZ3" s="26"/>
      <c r="FA3" s="26"/>
      <c r="FB3" s="26"/>
      <c r="FC3" s="26"/>
      <c r="FD3" s="26"/>
      <c r="FE3" s="26"/>
      <c r="FF3" s="26"/>
      <c r="FG3" s="26"/>
      <c r="FH3" s="26"/>
      <c r="FI3" s="26"/>
      <c r="FJ3" s="26"/>
      <c r="FK3" s="26"/>
      <c r="FL3" s="26"/>
      <c r="FM3" s="26"/>
      <c r="FN3" s="26"/>
      <c r="FO3" s="26"/>
      <c r="FP3" s="26"/>
      <c r="FQ3" s="26"/>
      <c r="FR3" s="26"/>
      <c r="FS3" s="26"/>
      <c r="FT3" s="26"/>
      <c r="FU3" s="26"/>
      <c r="FV3" s="26"/>
      <c r="FW3" s="26"/>
      <c r="FX3" s="26"/>
      <c r="FY3" s="26"/>
      <c r="FZ3" s="26"/>
      <c r="GA3" s="26"/>
      <c r="GB3" s="26"/>
      <c r="GC3" s="26"/>
      <c r="GD3" s="26"/>
      <c r="GE3" s="26"/>
      <c r="GF3" s="26"/>
      <c r="GG3" s="26"/>
      <c r="GH3" s="26"/>
      <c r="GI3" s="26"/>
      <c r="GJ3" s="26"/>
      <c r="GK3" s="26"/>
      <c r="GL3" s="26"/>
      <c r="GM3" s="26"/>
      <c r="GN3" s="26"/>
      <c r="GO3" s="26"/>
      <c r="GP3" s="26"/>
      <c r="GQ3" s="26"/>
      <c r="GR3" s="26"/>
      <c r="GS3" s="26"/>
      <c r="GT3" s="26"/>
      <c r="GU3" s="26"/>
      <c r="GV3" s="26"/>
      <c r="GW3" s="26"/>
      <c r="GX3" s="26"/>
      <c r="GY3" s="26"/>
      <c r="GZ3" s="26"/>
      <c r="HA3" s="26"/>
      <c r="HB3" s="26"/>
      <c r="HC3" s="26"/>
      <c r="HD3" s="26"/>
      <c r="HE3" s="26"/>
      <c r="HF3" s="26"/>
      <c r="HG3" s="26"/>
      <c r="HH3" s="26"/>
      <c r="HI3" s="26"/>
      <c r="HJ3" s="26"/>
      <c r="HK3" s="26"/>
      <c r="HL3" s="26"/>
      <c r="HM3" s="26"/>
      <c r="HN3" s="26"/>
      <c r="HO3" s="26"/>
      <c r="HP3" s="26"/>
      <c r="HQ3" s="26"/>
      <c r="HR3" s="26"/>
      <c r="HS3" s="26"/>
      <c r="HT3" s="26"/>
      <c r="HU3" s="26"/>
      <c r="HV3" s="26"/>
      <c r="HW3" s="26"/>
      <c r="HX3" s="26"/>
      <c r="HY3" s="26"/>
      <c r="HZ3" s="26"/>
      <c r="IA3" s="26"/>
      <c r="IB3" s="26"/>
      <c r="IC3" s="26"/>
      <c r="ID3" s="26"/>
      <c r="IE3" s="26"/>
      <c r="IF3" s="26"/>
      <c r="IG3" s="26"/>
      <c r="IH3" s="26"/>
      <c r="II3" s="26"/>
      <c r="IJ3" s="26"/>
      <c r="IK3" s="26"/>
      <c r="IL3" s="26"/>
    </row>
    <row r="4" spans="1:246" ht="114" customHeight="1" x14ac:dyDescent="0.15">
      <c r="A4" s="10" t="s">
        <v>81</v>
      </c>
      <c r="B4" s="11" t="s">
        <v>82</v>
      </c>
      <c r="C4" s="12" t="s">
        <v>83</v>
      </c>
      <c r="D4" s="13" t="s">
        <v>24</v>
      </c>
      <c r="E4" s="13" t="s">
        <v>47</v>
      </c>
      <c r="F4" s="13">
        <v>43831</v>
      </c>
      <c r="G4" s="14">
        <v>43850</v>
      </c>
      <c r="H4" s="14"/>
      <c r="I4" s="14"/>
      <c r="J4" s="13" t="str">
        <f t="shared" ref="J4:J7" ca="1" si="0">IF(AND(I4&lt;=$C$2,I4&lt;&gt;0),"DONE",IF(K4&lt;0,"OVERDUE",IF(AND(K4="",O4&lt;0),"OVERDUE","IN TIME")))</f>
        <v>OVERDUE</v>
      </c>
      <c r="K4" s="13" t="str">
        <f t="shared" ref="K4:K7" si="1">IF(H4&gt;0,H4-$C$2,"")</f>
        <v/>
      </c>
      <c r="L4" s="13">
        <f t="shared" ref="L4:L7" ca="1" si="2">IF(J4="OVERDUE",1,0)</f>
        <v>1</v>
      </c>
      <c r="M4" s="13">
        <f t="shared" ref="M4:M7" ca="1" si="3">IF(J4="IN TIME",1,0)</f>
        <v>0</v>
      </c>
      <c r="N4" s="13">
        <f t="shared" ref="N4:N7" ca="1" si="4">IF(J4="DONE",1,0)</f>
        <v>0</v>
      </c>
      <c r="O4" s="13">
        <f t="shared" ref="O4:O7" ca="1" si="5">IF(G4&gt;0,G4-$C$2,"")</f>
        <v>-627</v>
      </c>
      <c r="P4" s="20" t="s">
        <v>84</v>
      </c>
      <c r="Q4" s="216"/>
      <c r="R4" s="217"/>
      <c r="S4" s="217"/>
      <c r="T4" s="217"/>
      <c r="U4" s="217"/>
      <c r="V4" s="217"/>
      <c r="W4" s="217"/>
      <c r="X4" s="217"/>
      <c r="Y4" s="217"/>
      <c r="Z4" s="217"/>
      <c r="AA4" s="217"/>
      <c r="AB4" s="217"/>
      <c r="AC4" s="27"/>
      <c r="AD4" s="27"/>
    </row>
    <row r="5" spans="1:246" ht="57.75" customHeight="1" x14ac:dyDescent="0.15">
      <c r="A5" s="15">
        <v>241</v>
      </c>
      <c r="B5" s="11" t="s">
        <v>85</v>
      </c>
      <c r="C5" s="16" t="s">
        <v>86</v>
      </c>
      <c r="D5" s="13" t="s">
        <v>37</v>
      </c>
      <c r="E5" s="13" t="s">
        <v>47</v>
      </c>
      <c r="F5" s="13">
        <v>43831</v>
      </c>
      <c r="G5" s="14">
        <v>43890</v>
      </c>
      <c r="H5" s="14"/>
      <c r="I5" s="14">
        <v>43899</v>
      </c>
      <c r="J5" s="13" t="str">
        <f t="shared" ca="1" si="0"/>
        <v>DONE</v>
      </c>
      <c r="K5" s="13" t="str">
        <f t="shared" si="1"/>
        <v/>
      </c>
      <c r="L5" s="13">
        <f t="shared" ca="1" si="2"/>
        <v>0</v>
      </c>
      <c r="M5" s="13">
        <f t="shared" ca="1" si="3"/>
        <v>0</v>
      </c>
      <c r="N5" s="13">
        <f t="shared" ca="1" si="4"/>
        <v>1</v>
      </c>
      <c r="O5" s="13">
        <f t="shared" ca="1" si="5"/>
        <v>-587</v>
      </c>
      <c r="P5" s="20" t="s">
        <v>363</v>
      </c>
      <c r="Q5" s="216"/>
      <c r="R5" s="217"/>
      <c r="S5" s="217"/>
      <c r="T5" s="217"/>
      <c r="U5" s="217"/>
      <c r="V5" s="217"/>
      <c r="W5" s="217"/>
      <c r="X5" s="217"/>
      <c r="Y5" s="217"/>
      <c r="Z5" s="217"/>
      <c r="AA5" s="217"/>
      <c r="AB5" s="217"/>
      <c r="AC5" s="27"/>
      <c r="AD5" s="27"/>
    </row>
    <row r="6" spans="1:246" ht="24.6" customHeight="1" x14ac:dyDescent="0.15">
      <c r="A6" s="15">
        <v>242</v>
      </c>
      <c r="B6" s="11" t="s">
        <v>87</v>
      </c>
      <c r="C6" s="12" t="s">
        <v>88</v>
      </c>
      <c r="D6" s="13" t="s">
        <v>24</v>
      </c>
      <c r="E6" s="13" t="s">
        <v>21</v>
      </c>
      <c r="F6" s="14">
        <v>43822</v>
      </c>
      <c r="G6" s="14">
        <v>43840</v>
      </c>
      <c r="H6" s="14"/>
      <c r="I6" s="14">
        <v>43843</v>
      </c>
      <c r="J6" s="13" t="str">
        <f t="shared" ca="1" si="0"/>
        <v>DONE</v>
      </c>
      <c r="K6" s="13" t="str">
        <f t="shared" si="1"/>
        <v/>
      </c>
      <c r="L6" s="13">
        <f t="shared" ca="1" si="2"/>
        <v>0</v>
      </c>
      <c r="M6" s="13">
        <f t="shared" ca="1" si="3"/>
        <v>0</v>
      </c>
      <c r="N6" s="13">
        <f t="shared" ca="1" si="4"/>
        <v>1</v>
      </c>
      <c r="O6" s="13">
        <f t="shared" ca="1" si="5"/>
        <v>-637</v>
      </c>
      <c r="P6" s="20" t="s">
        <v>89</v>
      </c>
      <c r="Q6" s="216"/>
      <c r="R6" s="217"/>
      <c r="S6" s="217"/>
      <c r="T6" s="217"/>
      <c r="U6" s="217"/>
      <c r="V6" s="217"/>
      <c r="W6" s="217"/>
      <c r="X6" s="217"/>
      <c r="Y6" s="217"/>
      <c r="Z6" s="217"/>
      <c r="AA6" s="217"/>
      <c r="AB6" s="217"/>
      <c r="AC6" s="27"/>
      <c r="AD6" s="27"/>
    </row>
    <row r="7" spans="1:246" ht="45" customHeight="1" x14ac:dyDescent="0.15">
      <c r="A7" s="15">
        <v>243</v>
      </c>
      <c r="B7" s="13" t="s">
        <v>90</v>
      </c>
      <c r="C7" s="12" t="s">
        <v>91</v>
      </c>
      <c r="D7" s="13" t="s">
        <v>24</v>
      </c>
      <c r="E7" s="13" t="s">
        <v>21</v>
      </c>
      <c r="F7" s="14">
        <v>43837</v>
      </c>
      <c r="G7" s="14">
        <v>43840</v>
      </c>
      <c r="H7" s="14"/>
      <c r="I7" s="14">
        <v>43847</v>
      </c>
      <c r="J7" s="13" t="str">
        <f t="shared" ca="1" si="0"/>
        <v>DONE</v>
      </c>
      <c r="K7" s="13" t="str">
        <f t="shared" si="1"/>
        <v/>
      </c>
      <c r="L7" s="13">
        <f t="shared" ca="1" si="2"/>
        <v>0</v>
      </c>
      <c r="M7" s="13">
        <f t="shared" ca="1" si="3"/>
        <v>0</v>
      </c>
      <c r="N7" s="13">
        <f t="shared" ca="1" si="4"/>
        <v>1</v>
      </c>
      <c r="O7" s="13">
        <f t="shared" ca="1" si="5"/>
        <v>-637</v>
      </c>
      <c r="P7" s="20" t="s">
        <v>92</v>
      </c>
      <c r="Q7" s="216"/>
      <c r="R7" s="217"/>
      <c r="S7" s="217"/>
      <c r="T7" s="217"/>
      <c r="U7" s="217"/>
      <c r="V7" s="217"/>
      <c r="W7" s="217"/>
      <c r="X7" s="217"/>
      <c r="Y7" s="217"/>
      <c r="Z7" s="217"/>
      <c r="AA7" s="217"/>
      <c r="AB7" s="217"/>
      <c r="AC7" s="27"/>
      <c r="AD7" s="27"/>
    </row>
    <row r="8" spans="1:246" ht="24.6" customHeight="1" x14ac:dyDescent="0.15">
      <c r="A8" s="10" t="s">
        <v>93</v>
      </c>
      <c r="B8" s="11" t="s">
        <v>94</v>
      </c>
      <c r="C8" s="16" t="s">
        <v>95</v>
      </c>
      <c r="D8" s="13" t="s">
        <v>24</v>
      </c>
      <c r="E8" s="13" t="s">
        <v>21</v>
      </c>
      <c r="F8" s="14">
        <v>43843</v>
      </c>
      <c r="G8" s="14">
        <v>43850</v>
      </c>
      <c r="H8" s="14"/>
      <c r="I8" s="14">
        <v>43881</v>
      </c>
      <c r="J8" s="13" t="str">
        <f t="shared" ref="J8" ca="1" si="6">IF(AND(I8&lt;=$C$2,I8&lt;&gt;0),"DONE",IF(K8&lt;0,"OVERDUE",IF(AND(K8="",O8&lt;0),"OVERDUE","IN TIME")))</f>
        <v>DONE</v>
      </c>
      <c r="K8" s="13" t="str">
        <f t="shared" ref="K8" si="7">IF(H8&gt;0,H8-$C$2,"")</f>
        <v/>
      </c>
      <c r="L8" s="13">
        <f t="shared" ref="L8" ca="1" si="8">IF(J8="OVERDUE",1,0)</f>
        <v>0</v>
      </c>
      <c r="M8" s="13">
        <f t="shared" ref="M8" ca="1" si="9">IF(J8="IN TIME",1,0)</f>
        <v>0</v>
      </c>
      <c r="N8" s="13">
        <f t="shared" ref="N8" ca="1" si="10">IF(J8="DONE",1,0)</f>
        <v>1</v>
      </c>
      <c r="O8" s="13">
        <f t="shared" ref="O8" ca="1" si="11">IF(G8&gt;0,G8-$C$2,"")</f>
        <v>-627</v>
      </c>
      <c r="P8" s="20" t="s">
        <v>96</v>
      </c>
      <c r="Q8" s="216"/>
      <c r="R8" s="217"/>
      <c r="S8" s="217"/>
      <c r="T8" s="217"/>
      <c r="U8" s="217"/>
      <c r="V8" s="217"/>
      <c r="W8" s="217"/>
      <c r="X8" s="217"/>
      <c r="Y8" s="217"/>
      <c r="Z8" s="217"/>
      <c r="AA8" s="217"/>
      <c r="AB8" s="217"/>
      <c r="AC8" s="27"/>
      <c r="AD8" s="27"/>
    </row>
    <row r="9" spans="1:246" ht="24.6" customHeight="1" x14ac:dyDescent="0.15">
      <c r="A9" s="10" t="s">
        <v>97</v>
      </c>
      <c r="B9" s="11" t="s">
        <v>98</v>
      </c>
      <c r="C9" s="16" t="s">
        <v>99</v>
      </c>
      <c r="D9" s="13" t="s">
        <v>24</v>
      </c>
      <c r="E9" s="13" t="s">
        <v>21</v>
      </c>
      <c r="F9" s="14">
        <v>43862</v>
      </c>
      <c r="G9" s="14">
        <v>43890</v>
      </c>
      <c r="H9" s="14"/>
      <c r="I9" s="14">
        <v>43881</v>
      </c>
      <c r="J9" s="13" t="str">
        <f t="shared" ref="J9" ca="1" si="12">IF(AND(I9&lt;=$C$2,I9&lt;&gt;0),"DONE",IF(K9&lt;0,"OVERDUE",IF(AND(K9="",O9&lt;0),"OVERDUE","IN TIME")))</f>
        <v>DONE</v>
      </c>
      <c r="K9" s="13" t="str">
        <f t="shared" ref="K9" si="13">IF(H9&gt;0,H9-$C$2,"")</f>
        <v/>
      </c>
      <c r="L9" s="13">
        <f t="shared" ref="L9" ca="1" si="14">IF(J9="OVERDUE",1,0)</f>
        <v>0</v>
      </c>
      <c r="M9" s="13">
        <f t="shared" ref="M9" ca="1" si="15">IF(J9="IN TIME",1,0)</f>
        <v>0</v>
      </c>
      <c r="N9" s="13">
        <f t="shared" ref="N9" ca="1" si="16">IF(J9="DONE",1,0)</f>
        <v>1</v>
      </c>
      <c r="O9" s="13">
        <f t="shared" ref="O9" ca="1" si="17">IF(G9&gt;0,G9-$C$2,"")</f>
        <v>-587</v>
      </c>
      <c r="P9" s="20" t="s">
        <v>100</v>
      </c>
      <c r="Q9" s="216"/>
      <c r="R9" s="217"/>
      <c r="S9" s="217"/>
      <c r="T9" s="217"/>
      <c r="U9" s="217"/>
      <c r="V9" s="217"/>
      <c r="W9" s="217"/>
      <c r="X9" s="217"/>
      <c r="Y9" s="217"/>
      <c r="Z9" s="217"/>
      <c r="AA9" s="217"/>
      <c r="AB9" s="217"/>
      <c r="AC9" s="27"/>
      <c r="AD9" s="27"/>
    </row>
    <row r="10" spans="1:246" ht="24.6" customHeight="1" x14ac:dyDescent="0.15">
      <c r="A10" s="15">
        <v>246</v>
      </c>
      <c r="B10" s="11" t="s">
        <v>98</v>
      </c>
      <c r="C10" s="16" t="s">
        <v>101</v>
      </c>
      <c r="D10" s="13" t="s">
        <v>24</v>
      </c>
      <c r="E10" s="13" t="s">
        <v>21</v>
      </c>
      <c r="F10" s="14">
        <v>43862</v>
      </c>
      <c r="G10" s="14">
        <v>43890</v>
      </c>
      <c r="H10" s="14"/>
      <c r="I10" s="14">
        <v>43873</v>
      </c>
      <c r="J10" s="13" t="str">
        <f t="shared" ref="J10" ca="1" si="18">IF(AND(I10&lt;=$C$2,I10&lt;&gt;0),"DONE",IF(K10&lt;0,"OVERDUE",IF(AND(K10="",O10&lt;0),"OVERDUE","IN TIME")))</f>
        <v>DONE</v>
      </c>
      <c r="K10" s="13" t="str">
        <f t="shared" ref="K10" si="19">IF(H10&gt;0,H10-$C$2,"")</f>
        <v/>
      </c>
      <c r="L10" s="13">
        <f t="shared" ref="L10" ca="1" si="20">IF(J10="OVERDUE",1,0)</f>
        <v>0</v>
      </c>
      <c r="M10" s="13">
        <f t="shared" ref="M10" ca="1" si="21">IF(J10="IN TIME",1,0)</f>
        <v>0</v>
      </c>
      <c r="N10" s="13">
        <f t="shared" ref="N10" ca="1" si="22">IF(J10="DONE",1,0)</f>
        <v>1</v>
      </c>
      <c r="O10" s="13">
        <f t="shared" ref="O10" ca="1" si="23">IF(G10&gt;0,G10-$C$2,"")</f>
        <v>-587</v>
      </c>
      <c r="P10" s="20" t="s">
        <v>102</v>
      </c>
      <c r="Q10" s="216"/>
      <c r="R10" s="217"/>
      <c r="S10" s="217"/>
      <c r="T10" s="217"/>
      <c r="U10" s="217"/>
      <c r="V10" s="217"/>
      <c r="W10" s="217"/>
      <c r="X10" s="217"/>
      <c r="Y10" s="217"/>
      <c r="Z10" s="217"/>
      <c r="AA10" s="217"/>
      <c r="AB10" s="217"/>
      <c r="AC10" s="27"/>
      <c r="AD10" s="27"/>
    </row>
    <row r="11" spans="1:246" ht="24.6" customHeight="1" x14ac:dyDescent="0.15">
      <c r="A11" s="15">
        <v>247</v>
      </c>
      <c r="B11" s="11" t="s">
        <v>98</v>
      </c>
      <c r="C11" s="16" t="s">
        <v>103</v>
      </c>
      <c r="D11" s="13" t="s">
        <v>24</v>
      </c>
      <c r="E11" s="13" t="s">
        <v>21</v>
      </c>
      <c r="F11" s="14">
        <v>43862</v>
      </c>
      <c r="G11" s="14">
        <v>43890</v>
      </c>
      <c r="H11" s="14"/>
      <c r="I11" s="14">
        <v>43876</v>
      </c>
      <c r="J11" s="13" t="str">
        <f t="shared" ref="J11" ca="1" si="24">IF(AND(I11&lt;=$C$2,I11&lt;&gt;0),"DONE",IF(K11&lt;0,"OVERDUE",IF(AND(K11="",O11&lt;0),"OVERDUE","IN TIME")))</f>
        <v>DONE</v>
      </c>
      <c r="K11" s="13" t="str">
        <f t="shared" ref="K11" si="25">IF(H11&gt;0,H11-$C$2,"")</f>
        <v/>
      </c>
      <c r="L11" s="13">
        <f t="shared" ref="L11" ca="1" si="26">IF(J11="OVERDUE",1,0)</f>
        <v>0</v>
      </c>
      <c r="M11" s="13">
        <f t="shared" ref="M11" ca="1" si="27">IF(J11="IN TIME",1,0)</f>
        <v>0</v>
      </c>
      <c r="N11" s="13">
        <f t="shared" ref="N11" ca="1" si="28">IF(J11="DONE",1,0)</f>
        <v>1</v>
      </c>
      <c r="O11" s="13">
        <f t="shared" ref="O11" ca="1" si="29">IF(G11&gt;0,G11-$C$2,"")</f>
        <v>-587</v>
      </c>
      <c r="P11" s="20" t="s">
        <v>104</v>
      </c>
      <c r="Q11" s="216"/>
      <c r="R11" s="217"/>
      <c r="S11" s="217"/>
      <c r="T11" s="217"/>
      <c r="U11" s="217"/>
      <c r="V11" s="217"/>
      <c r="W11" s="217"/>
      <c r="X11" s="217"/>
      <c r="Y11" s="217"/>
      <c r="Z11" s="217"/>
      <c r="AA11" s="217"/>
      <c r="AB11" s="217"/>
      <c r="AC11" s="27"/>
      <c r="AD11" s="27"/>
    </row>
    <row r="12" spans="1:246" ht="39" customHeight="1" x14ac:dyDescent="0.15">
      <c r="A12" s="15">
        <v>248</v>
      </c>
      <c r="B12" s="11" t="s">
        <v>105</v>
      </c>
      <c r="C12" s="12" t="s">
        <v>390</v>
      </c>
      <c r="D12" s="13" t="s">
        <v>24</v>
      </c>
      <c r="E12" s="13" t="s">
        <v>106</v>
      </c>
      <c r="F12" s="14">
        <v>43862</v>
      </c>
      <c r="G12" s="14">
        <v>43890</v>
      </c>
      <c r="H12" s="14"/>
      <c r="I12" s="14">
        <v>43924</v>
      </c>
      <c r="J12" s="13" t="str">
        <f t="shared" ref="J12" ca="1" si="30">IF(AND(I12&lt;=$C$2,I12&lt;&gt;0),"DONE",IF(K12&lt;0,"OVERDUE",IF(AND(K12="",O12&lt;0),"OVERDUE","IN TIME")))</f>
        <v>DONE</v>
      </c>
      <c r="K12" s="13" t="str">
        <f t="shared" ref="K12" si="31">IF(H12&gt;0,H12-$C$2,"")</f>
        <v/>
      </c>
      <c r="L12" s="13">
        <f t="shared" ref="L12" ca="1" si="32">IF(J12="OVERDUE",1,0)</f>
        <v>0</v>
      </c>
      <c r="M12" s="13">
        <f t="shared" ref="M12" ca="1" si="33">IF(J12="IN TIME",1,0)</f>
        <v>0</v>
      </c>
      <c r="N12" s="13">
        <f t="shared" ref="N12" ca="1" si="34">IF(J12="DONE",1,0)</f>
        <v>1</v>
      </c>
      <c r="O12" s="13">
        <f t="shared" ref="O12" ca="1" si="35">IF(G12&gt;0,G12-$C$2,"")</f>
        <v>-587</v>
      </c>
      <c r="P12" s="20" t="s">
        <v>391</v>
      </c>
      <c r="Q12" s="216"/>
      <c r="R12" s="217"/>
      <c r="S12" s="217"/>
      <c r="T12" s="217"/>
      <c r="U12" s="217"/>
      <c r="V12" s="217"/>
      <c r="W12" s="217"/>
      <c r="X12" s="217"/>
      <c r="Y12" s="217"/>
      <c r="Z12" s="217"/>
      <c r="AA12" s="217"/>
      <c r="AB12" s="217"/>
      <c r="AC12" s="27"/>
      <c r="AD12" s="27"/>
    </row>
    <row r="13" spans="1:246" ht="24.6" customHeight="1" x14ac:dyDescent="0.15">
      <c r="A13" s="15">
        <v>249</v>
      </c>
      <c r="B13" s="13"/>
      <c r="C13" s="12"/>
      <c r="D13" s="13"/>
      <c r="E13" s="13"/>
      <c r="F13" s="14"/>
      <c r="G13" s="14"/>
      <c r="H13" s="14"/>
      <c r="I13" s="14"/>
      <c r="J13" s="13" t="str">
        <f t="shared" ref="J13" ca="1" si="36">IF(AND(I13&lt;=$C$2,I13&lt;&gt;0),"DONE",IF(K13&lt;0,"OVERDUE",IF(AND(K13="",O13&lt;0),"OVERDUE","IN TIME")))</f>
        <v>IN TIME</v>
      </c>
      <c r="K13" s="13" t="str">
        <f t="shared" ref="K13" si="37">IF(H13&gt;0,H13-$C$2,"")</f>
        <v/>
      </c>
      <c r="L13" s="13">
        <f t="shared" ref="L13" ca="1" si="38">IF(J13="OVERDUE",1,0)</f>
        <v>0</v>
      </c>
      <c r="M13" s="13">
        <f t="shared" ref="M13" ca="1" si="39">IF(J13="IN TIME",1,0)</f>
        <v>1</v>
      </c>
      <c r="N13" s="13">
        <f t="shared" ref="N13" ca="1" si="40">IF(J13="DONE",1,0)</f>
        <v>0</v>
      </c>
      <c r="O13" s="13" t="str">
        <f t="shared" ref="O13" si="41">IF(G13&gt;0,G13-$C$2,"")</f>
        <v/>
      </c>
      <c r="P13" s="20"/>
      <c r="Q13" s="216"/>
      <c r="R13" s="217"/>
      <c r="S13" s="217"/>
      <c r="T13" s="217"/>
      <c r="U13" s="217"/>
      <c r="V13" s="217"/>
      <c r="W13" s="217"/>
      <c r="X13" s="217"/>
      <c r="Y13" s="217"/>
      <c r="Z13" s="217"/>
      <c r="AA13" s="217"/>
      <c r="AB13" s="217"/>
      <c r="AC13" s="27"/>
      <c r="AD13" s="27"/>
    </row>
    <row r="14" spans="1:246" ht="24.6" customHeight="1" x14ac:dyDescent="0.15">
      <c r="A14" s="15"/>
      <c r="B14" s="11" t="s">
        <v>107</v>
      </c>
      <c r="C14" s="16" t="s">
        <v>108</v>
      </c>
      <c r="D14" s="13" t="s">
        <v>24</v>
      </c>
      <c r="E14" s="13" t="s">
        <v>21</v>
      </c>
      <c r="F14" s="14">
        <v>43879</v>
      </c>
      <c r="G14" s="14">
        <v>43882</v>
      </c>
      <c r="H14" s="14"/>
      <c r="I14" s="14">
        <v>43882</v>
      </c>
      <c r="J14" s="13" t="str">
        <f t="shared" ref="J14" ca="1" si="42">IF(AND(I14&lt;=$C$2,I14&lt;&gt;0),"DONE",IF(K14&lt;0,"OVERDUE",IF(AND(K14="",O14&lt;0),"OVERDUE","IN TIME")))</f>
        <v>DONE</v>
      </c>
      <c r="K14" s="13" t="str">
        <f t="shared" ref="K14" si="43">IF(H14&gt;0,H14-$C$2,"")</f>
        <v/>
      </c>
      <c r="L14" s="13">
        <f t="shared" ref="L14" ca="1" si="44">IF(J14="OVERDUE",1,0)</f>
        <v>0</v>
      </c>
      <c r="M14" s="13">
        <f t="shared" ref="M14" ca="1" si="45">IF(J14="IN TIME",1,0)</f>
        <v>0</v>
      </c>
      <c r="N14" s="13">
        <f t="shared" ref="N14" ca="1" si="46">IF(J14="DONE",1,0)</f>
        <v>1</v>
      </c>
      <c r="O14" s="13">
        <f t="shared" ref="O14" ca="1" si="47">IF(G14&gt;0,G14-$C$2,"")</f>
        <v>-595</v>
      </c>
      <c r="P14" s="20" t="s">
        <v>109</v>
      </c>
      <c r="Q14" s="216"/>
      <c r="R14" s="217"/>
      <c r="S14" s="217"/>
      <c r="T14" s="217"/>
      <c r="U14" s="217"/>
      <c r="V14" s="217"/>
      <c r="W14" s="217"/>
      <c r="X14" s="217"/>
      <c r="Y14" s="217"/>
      <c r="Z14" s="217"/>
      <c r="AA14" s="217"/>
      <c r="AB14" s="217"/>
      <c r="AC14" s="27"/>
      <c r="AD14" s="27"/>
    </row>
    <row r="15" spans="1:246" ht="24.6" customHeight="1" x14ac:dyDescent="0.15">
      <c r="A15" s="15">
        <v>251</v>
      </c>
      <c r="B15" s="11" t="s">
        <v>110</v>
      </c>
      <c r="C15" s="16" t="s">
        <v>111</v>
      </c>
      <c r="D15" s="13" t="s">
        <v>24</v>
      </c>
      <c r="E15" s="13" t="s">
        <v>21</v>
      </c>
      <c r="F15" s="14">
        <v>43885</v>
      </c>
      <c r="G15" s="14">
        <v>43890</v>
      </c>
      <c r="H15" s="14"/>
      <c r="I15" s="14">
        <v>43899</v>
      </c>
      <c r="J15" s="13" t="str">
        <f t="shared" ref="J15" ca="1" si="48">IF(AND(I15&lt;=$C$2,I15&lt;&gt;0),"DONE",IF(K15&lt;0,"OVERDUE",IF(AND(K15="",O15&lt;0),"OVERDUE","IN TIME")))</f>
        <v>DONE</v>
      </c>
      <c r="K15" s="13" t="str">
        <f t="shared" ref="K15" si="49">IF(H15&gt;0,H15-$C$2,"")</f>
        <v/>
      </c>
      <c r="L15" s="13">
        <f t="shared" ref="L15" ca="1" si="50">IF(J15="OVERDUE",1,0)</f>
        <v>0</v>
      </c>
      <c r="M15" s="13">
        <f t="shared" ref="M15" ca="1" si="51">IF(J15="IN TIME",1,0)</f>
        <v>0</v>
      </c>
      <c r="N15" s="13">
        <f t="shared" ref="N15" ca="1" si="52">IF(J15="DONE",1,0)</f>
        <v>1</v>
      </c>
      <c r="O15" s="13">
        <f t="shared" ref="O15" ca="1" si="53">IF(G15&gt;0,G15-$C$2,"")</f>
        <v>-587</v>
      </c>
      <c r="P15" s="20" t="s">
        <v>362</v>
      </c>
      <c r="Q15" s="25"/>
      <c r="R15" s="26"/>
      <c r="S15" s="26"/>
      <c r="T15" s="26"/>
      <c r="U15" s="26"/>
      <c r="V15" s="26"/>
      <c r="W15" s="26"/>
      <c r="X15" s="26"/>
      <c r="Y15" s="26"/>
      <c r="Z15" s="26"/>
      <c r="AA15" s="26"/>
      <c r="AB15" s="26"/>
      <c r="AC15" s="27"/>
      <c r="AD15" s="27"/>
    </row>
    <row r="16" spans="1:246" ht="93" customHeight="1" x14ac:dyDescent="0.15">
      <c r="A16" s="15">
        <v>252</v>
      </c>
      <c r="B16" s="11" t="s">
        <v>112</v>
      </c>
      <c r="C16" s="16" t="s">
        <v>113</v>
      </c>
      <c r="D16" s="13" t="s">
        <v>24</v>
      </c>
      <c r="E16" s="13" t="s">
        <v>368</v>
      </c>
      <c r="F16" s="14">
        <v>43827</v>
      </c>
      <c r="G16" s="14">
        <v>43899</v>
      </c>
      <c r="H16" s="14"/>
      <c r="I16" s="14">
        <v>43899</v>
      </c>
      <c r="J16" s="13" t="str">
        <f t="shared" ref="J16" ca="1" si="54">IF(AND(I16&lt;=$C$2,I16&lt;&gt;0),"DONE",IF(K16&lt;0,"OVERDUE",IF(AND(K16="",O16&lt;0),"OVERDUE","IN TIME")))</f>
        <v>DONE</v>
      </c>
      <c r="K16" s="13" t="str">
        <f t="shared" ref="K16" si="55">IF(H16&gt;0,H16-$C$2,"")</f>
        <v/>
      </c>
      <c r="L16" s="13">
        <f t="shared" ref="L16" ca="1" si="56">IF(J16="OVERDUE",1,0)</f>
        <v>0</v>
      </c>
      <c r="M16" s="13">
        <f t="shared" ref="M16" ca="1" si="57">IF(J16="IN TIME",1,0)</f>
        <v>0</v>
      </c>
      <c r="N16" s="13">
        <f t="shared" ref="N16" ca="1" si="58">IF(J16="DONE",1,0)</f>
        <v>1</v>
      </c>
      <c r="O16" s="13">
        <f t="shared" ref="O16" ca="1" si="59">IF(G16&gt;0,G16-$C$2,"")</f>
        <v>-578</v>
      </c>
      <c r="P16" s="20" t="s">
        <v>361</v>
      </c>
      <c r="Q16" s="25"/>
      <c r="R16" s="26"/>
      <c r="S16" s="26"/>
      <c r="T16" s="26"/>
      <c r="U16" s="26"/>
      <c r="V16" s="26"/>
      <c r="W16" s="26"/>
      <c r="X16" s="26"/>
      <c r="Y16" s="26"/>
      <c r="Z16" s="26"/>
      <c r="AA16" s="26"/>
      <c r="AB16" s="26"/>
      <c r="AC16" s="27"/>
      <c r="AD16" s="27"/>
    </row>
    <row r="17" spans="1:30" ht="24.6" customHeight="1" x14ac:dyDescent="0.15">
      <c r="A17" s="15">
        <v>253</v>
      </c>
      <c r="B17" s="11" t="s">
        <v>366</v>
      </c>
      <c r="C17" s="16" t="s">
        <v>367</v>
      </c>
      <c r="D17" s="13" t="s">
        <v>24</v>
      </c>
      <c r="E17" s="13" t="s">
        <v>369</v>
      </c>
      <c r="F17" s="14">
        <v>43899</v>
      </c>
      <c r="G17" s="14">
        <v>43931</v>
      </c>
      <c r="H17" s="14"/>
      <c r="I17" s="14">
        <v>43924</v>
      </c>
      <c r="J17" s="13" t="str">
        <f t="shared" ref="J17" ca="1" si="60">IF(AND(I17&lt;=$C$2,I17&lt;&gt;0),"DONE",IF(K17&lt;0,"OVERDUE",IF(AND(K17="",O17&lt;0),"OVERDUE","IN TIME")))</f>
        <v>DONE</v>
      </c>
      <c r="K17" s="13" t="str">
        <f t="shared" ref="K17" si="61">IF(H17&gt;0,H17-$C$2,"")</f>
        <v/>
      </c>
      <c r="L17" s="13">
        <f t="shared" ref="L17" ca="1" si="62">IF(J17="OVERDUE",1,0)</f>
        <v>0</v>
      </c>
      <c r="M17" s="13">
        <f t="shared" ref="M17" ca="1" si="63">IF(J17="IN TIME",1,0)</f>
        <v>0</v>
      </c>
      <c r="N17" s="13">
        <f t="shared" ref="N17" ca="1" si="64">IF(J17="DONE",1,0)</f>
        <v>1</v>
      </c>
      <c r="O17" s="13">
        <f t="shared" ref="O17" ca="1" si="65">IF(G17&gt;0,G17-$C$2,"")</f>
        <v>-546</v>
      </c>
      <c r="P17" s="20" t="s">
        <v>392</v>
      </c>
      <c r="Q17" s="25"/>
      <c r="R17" s="26"/>
      <c r="S17" s="26"/>
      <c r="T17" s="26"/>
      <c r="U17" s="26"/>
      <c r="V17" s="26"/>
      <c r="W17" s="26"/>
      <c r="X17" s="26"/>
      <c r="Y17" s="26"/>
      <c r="Z17" s="26"/>
      <c r="AA17" s="26"/>
      <c r="AB17" s="26"/>
      <c r="AC17" s="27"/>
      <c r="AD17" s="27"/>
    </row>
    <row r="18" spans="1:30" ht="24.6" customHeight="1" x14ac:dyDescent="0.15">
      <c r="A18" s="15"/>
      <c r="B18" s="11" t="s">
        <v>370</v>
      </c>
      <c r="C18" s="16" t="s">
        <v>389</v>
      </c>
      <c r="D18" s="13" t="s">
        <v>24</v>
      </c>
      <c r="E18" s="13" t="s">
        <v>373</v>
      </c>
      <c r="F18" s="14">
        <v>43899</v>
      </c>
      <c r="G18" s="14">
        <v>43931</v>
      </c>
      <c r="H18" s="14"/>
      <c r="I18" s="14">
        <v>43924</v>
      </c>
      <c r="J18" s="13" t="str">
        <f t="shared" ref="J18" ca="1" si="66">IF(AND(I18&lt;=$C$2,I18&lt;&gt;0),"DONE",IF(K18&lt;0,"OVERDUE",IF(AND(K18="",O18&lt;0),"OVERDUE","IN TIME")))</f>
        <v>DONE</v>
      </c>
      <c r="K18" s="13" t="str">
        <f t="shared" ref="K18" si="67">IF(H18&gt;0,H18-$C$2,"")</f>
        <v/>
      </c>
      <c r="L18" s="13">
        <f t="shared" ref="L18" ca="1" si="68">IF(J18="OVERDUE",1,0)</f>
        <v>0</v>
      </c>
      <c r="M18" s="13">
        <f t="shared" ref="M18" ca="1" si="69">IF(J18="IN TIME",1,0)</f>
        <v>0</v>
      </c>
      <c r="N18" s="13">
        <f t="shared" ref="N18" ca="1" si="70">IF(J18="DONE",1,0)</f>
        <v>1</v>
      </c>
      <c r="O18" s="13">
        <f t="shared" ref="O18" ca="1" si="71">IF(G18&gt;0,G18-$C$2,"")</f>
        <v>-546</v>
      </c>
      <c r="P18" s="20" t="s">
        <v>394</v>
      </c>
      <c r="Q18" s="25"/>
      <c r="R18" s="26"/>
      <c r="S18" s="26"/>
      <c r="T18" s="26"/>
      <c r="U18" s="26"/>
      <c r="V18" s="26"/>
      <c r="W18" s="26"/>
      <c r="X18" s="26"/>
      <c r="Y18" s="26"/>
      <c r="Z18" s="26"/>
      <c r="AA18" s="26"/>
      <c r="AB18" s="26"/>
      <c r="AC18" s="27"/>
      <c r="AD18" s="27"/>
    </row>
    <row r="19" spans="1:30" ht="24.6" customHeight="1" x14ac:dyDescent="0.15">
      <c r="A19" s="15">
        <v>255</v>
      </c>
      <c r="B19" s="11" t="s">
        <v>372</v>
      </c>
      <c r="C19" s="12" t="s">
        <v>371</v>
      </c>
      <c r="D19" s="13" t="s">
        <v>24</v>
      </c>
      <c r="E19" s="13" t="s">
        <v>374</v>
      </c>
      <c r="F19" s="14">
        <v>43899</v>
      </c>
      <c r="G19" s="14">
        <v>43931</v>
      </c>
      <c r="H19" s="14"/>
      <c r="I19" s="14">
        <v>43924</v>
      </c>
      <c r="J19" s="13" t="str">
        <f t="shared" ref="J19" ca="1" si="72">IF(AND(I19&lt;=$C$2,I19&lt;&gt;0),"DONE",IF(K19&lt;0,"OVERDUE",IF(AND(K19="",O19&lt;0),"OVERDUE","IN TIME")))</f>
        <v>DONE</v>
      </c>
      <c r="K19" s="13" t="str">
        <f t="shared" ref="K19" si="73">IF(H19&gt;0,H19-$C$2,"")</f>
        <v/>
      </c>
      <c r="L19" s="13">
        <f t="shared" ref="L19" ca="1" si="74">IF(J19="OVERDUE",1,0)</f>
        <v>0</v>
      </c>
      <c r="M19" s="13">
        <f t="shared" ref="M19" ca="1" si="75">IF(J19="IN TIME",1,0)</f>
        <v>0</v>
      </c>
      <c r="N19" s="13">
        <f t="shared" ref="N19" ca="1" si="76">IF(J19="DONE",1,0)</f>
        <v>1</v>
      </c>
      <c r="O19" s="13">
        <f t="shared" ref="O19" ca="1" si="77">IF(G19&gt;0,G19-$C$2,"")</f>
        <v>-546</v>
      </c>
      <c r="P19" s="20" t="s">
        <v>393</v>
      </c>
      <c r="Q19" s="25"/>
      <c r="R19" s="26"/>
      <c r="S19" s="26"/>
      <c r="T19" s="26"/>
      <c r="U19" s="26"/>
      <c r="V19" s="26"/>
      <c r="W19" s="26"/>
      <c r="X19" s="26"/>
      <c r="Y19" s="26"/>
      <c r="Z19" s="26"/>
      <c r="AA19" s="26"/>
      <c r="AB19" s="26"/>
      <c r="AC19" s="27"/>
      <c r="AD19" s="27"/>
    </row>
    <row r="20" spans="1:30" ht="24.6" customHeight="1" x14ac:dyDescent="0.15">
      <c r="A20" s="15" t="s">
        <v>375</v>
      </c>
      <c r="B20" s="11" t="s">
        <v>376</v>
      </c>
      <c r="C20" s="12" t="s">
        <v>379</v>
      </c>
      <c r="D20" s="13" t="s">
        <v>24</v>
      </c>
      <c r="E20" s="13" t="s">
        <v>377</v>
      </c>
      <c r="F20" s="14">
        <v>43899</v>
      </c>
      <c r="G20" s="14">
        <v>43931</v>
      </c>
      <c r="H20" s="14"/>
      <c r="I20" s="14">
        <v>43904</v>
      </c>
      <c r="J20" s="13" t="str">
        <f t="shared" ref="J20" ca="1" si="78">IF(AND(I20&lt;=$C$2,I20&lt;&gt;0),"DONE",IF(K20&lt;0,"OVERDUE",IF(AND(K20="",O20&lt;0),"OVERDUE","IN TIME")))</f>
        <v>DONE</v>
      </c>
      <c r="K20" s="13" t="str">
        <f t="shared" ref="K20" si="79">IF(H20&gt;0,H20-$C$2,"")</f>
        <v/>
      </c>
      <c r="L20" s="13">
        <f t="shared" ref="L20" ca="1" si="80">IF(J20="OVERDUE",1,0)</f>
        <v>0</v>
      </c>
      <c r="M20" s="13">
        <f t="shared" ref="M20" ca="1" si="81">IF(J20="IN TIME",1,0)</f>
        <v>0</v>
      </c>
      <c r="N20" s="13">
        <f t="shared" ref="N20" ca="1" si="82">IF(J20="DONE",1,0)</f>
        <v>1</v>
      </c>
      <c r="O20" s="13">
        <f t="shared" ref="O20" ca="1" si="83">IF(G20&gt;0,G20-$C$2,"")</f>
        <v>-546</v>
      </c>
      <c r="P20" s="20" t="s">
        <v>386</v>
      </c>
      <c r="Q20" s="25"/>
      <c r="R20" s="26"/>
      <c r="S20" s="26"/>
      <c r="T20" s="26"/>
      <c r="U20" s="26"/>
      <c r="V20" s="26"/>
      <c r="W20" s="26"/>
      <c r="X20" s="26"/>
      <c r="Y20" s="26"/>
      <c r="Z20" s="26"/>
      <c r="AA20" s="26"/>
      <c r="AB20" s="26"/>
      <c r="AC20" s="27"/>
      <c r="AD20" s="27"/>
    </row>
    <row r="21" spans="1:30" ht="24.6" customHeight="1" x14ac:dyDescent="0.15">
      <c r="A21" s="15">
        <v>257</v>
      </c>
      <c r="B21" s="11" t="s">
        <v>378</v>
      </c>
      <c r="C21" s="12" t="s">
        <v>380</v>
      </c>
      <c r="D21" s="13" t="s">
        <v>24</v>
      </c>
      <c r="E21" s="13" t="s">
        <v>377</v>
      </c>
      <c r="F21" s="14">
        <v>43899</v>
      </c>
      <c r="G21" s="14">
        <v>43931</v>
      </c>
      <c r="H21" s="14"/>
      <c r="I21" s="14">
        <v>43907</v>
      </c>
      <c r="J21" s="13" t="str">
        <f t="shared" ref="J21" ca="1" si="84">IF(AND(I21&lt;=$C$2,I21&lt;&gt;0),"DONE",IF(K21&lt;0,"OVERDUE",IF(AND(K21="",O21&lt;0),"OVERDUE","IN TIME")))</f>
        <v>DONE</v>
      </c>
      <c r="K21" s="13" t="str">
        <f t="shared" ref="K21" si="85">IF(H21&gt;0,H21-$C$2,"")</f>
        <v/>
      </c>
      <c r="L21" s="13">
        <f t="shared" ref="L21" ca="1" si="86">IF(J21="OVERDUE",1,0)</f>
        <v>0</v>
      </c>
      <c r="M21" s="13">
        <f t="shared" ref="M21" ca="1" si="87">IF(J21="IN TIME",1,0)</f>
        <v>0</v>
      </c>
      <c r="N21" s="13">
        <f t="shared" ref="N21" ca="1" si="88">IF(J21="DONE",1,0)</f>
        <v>1</v>
      </c>
      <c r="O21" s="13">
        <f t="shared" ref="O21" ca="1" si="89">IF(G21&gt;0,G21-$C$2,"")</f>
        <v>-546</v>
      </c>
      <c r="P21" s="20" t="s">
        <v>387</v>
      </c>
      <c r="Q21" s="25"/>
      <c r="R21" s="26"/>
      <c r="S21" s="26"/>
      <c r="T21" s="26"/>
      <c r="U21" s="26"/>
      <c r="V21" s="26"/>
      <c r="W21" s="26"/>
      <c r="X21" s="26"/>
      <c r="Y21" s="26"/>
      <c r="Z21" s="26"/>
      <c r="AA21" s="26"/>
      <c r="AB21" s="26"/>
      <c r="AC21" s="27"/>
      <c r="AD21" s="27"/>
    </row>
    <row r="22" spans="1:30" ht="24.6" customHeight="1" x14ac:dyDescent="0.15">
      <c r="A22" s="15">
        <v>258</v>
      </c>
      <c r="B22" s="11" t="s">
        <v>381</v>
      </c>
      <c r="C22" s="16" t="s">
        <v>382</v>
      </c>
      <c r="D22" s="13" t="s">
        <v>24</v>
      </c>
      <c r="E22" s="13" t="s">
        <v>485</v>
      </c>
      <c r="F22" s="14">
        <v>43899</v>
      </c>
      <c r="G22" s="14">
        <v>43931</v>
      </c>
      <c r="H22" s="14"/>
      <c r="I22" s="14">
        <v>43916</v>
      </c>
      <c r="J22" s="13" t="str">
        <f t="shared" ref="J22" ca="1" si="90">IF(AND(I22&lt;=$C$2,I22&lt;&gt;0),"DONE",IF(K22&lt;0,"OVERDUE",IF(AND(K22="",O22&lt;0),"OVERDUE","IN TIME")))</f>
        <v>DONE</v>
      </c>
      <c r="K22" s="13" t="str">
        <f t="shared" ref="K22" si="91">IF(H22&gt;0,H22-$C$2,"")</f>
        <v/>
      </c>
      <c r="L22" s="13">
        <f t="shared" ref="L22" ca="1" si="92">IF(J22="OVERDUE",1,0)</f>
        <v>0</v>
      </c>
      <c r="M22" s="13">
        <f t="shared" ref="M22" ca="1" si="93">IF(J22="IN TIME",1,0)</f>
        <v>0</v>
      </c>
      <c r="N22" s="13">
        <f t="shared" ref="N22" ca="1" si="94">IF(J22="DONE",1,0)</f>
        <v>1</v>
      </c>
      <c r="O22" s="13">
        <f t="shared" ref="O22" ca="1" si="95">IF(G22&gt;0,G22-$C$2,"")</f>
        <v>-546</v>
      </c>
      <c r="P22" s="20" t="s">
        <v>388</v>
      </c>
      <c r="Q22" s="25"/>
      <c r="R22" s="26"/>
      <c r="S22" s="26"/>
      <c r="T22" s="26"/>
      <c r="U22" s="26"/>
      <c r="V22" s="26"/>
      <c r="W22" s="26"/>
      <c r="X22" s="26"/>
      <c r="Y22" s="26"/>
      <c r="Z22" s="26"/>
      <c r="AA22" s="26"/>
      <c r="AB22" s="26"/>
      <c r="AC22" s="27"/>
      <c r="AD22" s="27"/>
    </row>
    <row r="23" spans="1:30" ht="24.6" customHeight="1" x14ac:dyDescent="0.15">
      <c r="A23" s="15">
        <v>259</v>
      </c>
      <c r="B23" s="11" t="s">
        <v>383</v>
      </c>
      <c r="C23" s="12" t="s">
        <v>384</v>
      </c>
      <c r="D23" s="13" t="s">
        <v>24</v>
      </c>
      <c r="E23" s="13" t="s">
        <v>385</v>
      </c>
      <c r="F23" s="14">
        <v>43899</v>
      </c>
      <c r="G23" s="14">
        <v>43931</v>
      </c>
      <c r="H23" s="14"/>
      <c r="I23" s="14"/>
      <c r="J23" s="13" t="str">
        <f t="shared" ref="J23" ca="1" si="96">IF(AND(I23&lt;=$C$2,I23&lt;&gt;0),"DONE",IF(K23&lt;0,"OVERDUE",IF(AND(K23="",O23&lt;0),"OVERDUE","IN TIME")))</f>
        <v>OVERDUE</v>
      </c>
      <c r="K23" s="13" t="str">
        <f t="shared" ref="K23" si="97">IF(H23&gt;0,H23-$C$2,"")</f>
        <v/>
      </c>
      <c r="L23" s="13">
        <f t="shared" ref="L23" ca="1" si="98">IF(J23="OVERDUE",1,0)</f>
        <v>1</v>
      </c>
      <c r="M23" s="13">
        <f t="shared" ref="M23" ca="1" si="99">IF(J23="IN TIME",1,0)</f>
        <v>0</v>
      </c>
      <c r="N23" s="13">
        <f t="shared" ref="N23" ca="1" si="100">IF(J23="DONE",1,0)</f>
        <v>0</v>
      </c>
      <c r="O23" s="13">
        <f t="shared" ref="O23" ca="1" si="101">IF(G23&gt;0,G23-$C$2,"")</f>
        <v>-546</v>
      </c>
      <c r="P23" s="20" t="s">
        <v>493</v>
      </c>
      <c r="Q23" s="25"/>
      <c r="R23" s="26"/>
      <c r="S23" s="26"/>
      <c r="T23" s="26"/>
      <c r="U23" s="26"/>
      <c r="V23" s="26"/>
      <c r="W23" s="26"/>
      <c r="X23" s="26"/>
      <c r="Y23" s="26"/>
      <c r="Z23" s="26"/>
      <c r="AA23" s="26"/>
      <c r="AB23" s="26"/>
      <c r="AC23" s="27"/>
      <c r="AD23" s="27"/>
    </row>
    <row r="24" spans="1:30" ht="24" customHeight="1" x14ac:dyDescent="0.15">
      <c r="A24" s="15">
        <v>260</v>
      </c>
      <c r="B24" s="13"/>
      <c r="C24" s="12" t="s">
        <v>403</v>
      </c>
      <c r="D24" s="13" t="s">
        <v>24</v>
      </c>
      <c r="E24" s="13" t="s">
        <v>385</v>
      </c>
      <c r="F24" s="14">
        <v>43928</v>
      </c>
      <c r="G24" s="14">
        <v>43951</v>
      </c>
      <c r="H24" s="14"/>
      <c r="I24" s="14">
        <v>43955</v>
      </c>
      <c r="J24" s="13" t="str">
        <f t="shared" ref="J24" ca="1" si="102">IF(AND(I24&lt;=$C$2,I24&lt;&gt;0),"DONE",IF(K24&lt;0,"OVERDUE",IF(AND(K24="",O24&lt;0),"OVERDUE","IN TIME")))</f>
        <v>DONE</v>
      </c>
      <c r="K24" s="13" t="str">
        <f t="shared" ref="K24" si="103">IF(H24&gt;0,H24-$C$2,"")</f>
        <v/>
      </c>
      <c r="L24" s="13">
        <f t="shared" ref="L24" ca="1" si="104">IF(J24="OVERDUE",1,0)</f>
        <v>0</v>
      </c>
      <c r="M24" s="13">
        <f t="shared" ref="M24" ca="1" si="105">IF(J24="IN TIME",1,0)</f>
        <v>0</v>
      </c>
      <c r="N24" s="13">
        <f t="shared" ref="N24" ca="1" si="106">IF(J24="DONE",1,0)</f>
        <v>1</v>
      </c>
      <c r="O24" s="13">
        <f t="shared" ref="O24" ca="1" si="107">IF(G24&gt;0,G24-$C$2,"")</f>
        <v>-526</v>
      </c>
      <c r="P24" s="20" t="s">
        <v>492</v>
      </c>
      <c r="Q24" s="25"/>
      <c r="R24" s="26"/>
      <c r="S24" s="26"/>
      <c r="T24" s="26"/>
      <c r="U24" s="26"/>
      <c r="V24" s="26"/>
      <c r="W24" s="26"/>
      <c r="X24" s="26"/>
      <c r="Y24" s="26"/>
      <c r="Z24" s="26"/>
      <c r="AA24" s="26"/>
      <c r="AB24" s="26"/>
      <c r="AC24" s="27"/>
      <c r="AD24" s="27"/>
    </row>
    <row r="25" spans="1:30" ht="24.6" customHeight="1" x14ac:dyDescent="0.15">
      <c r="A25" s="15">
        <v>261</v>
      </c>
      <c r="B25" s="13"/>
      <c r="C25" s="16" t="s">
        <v>404</v>
      </c>
      <c r="D25" s="13" t="s">
        <v>24</v>
      </c>
      <c r="E25" s="13" t="s">
        <v>358</v>
      </c>
      <c r="F25" s="14">
        <v>43929</v>
      </c>
      <c r="G25" s="14">
        <v>43952</v>
      </c>
      <c r="H25" s="14"/>
      <c r="I25" s="14">
        <v>43971</v>
      </c>
      <c r="J25" s="13" t="str">
        <f t="shared" ref="J25" ca="1" si="108">IF(AND(I25&lt;=$C$2,I25&lt;&gt;0),"DONE",IF(K25&lt;0,"OVERDUE",IF(AND(K25="",O25&lt;0),"OVERDUE","IN TIME")))</f>
        <v>DONE</v>
      </c>
      <c r="K25" s="13" t="str">
        <f t="shared" ref="K25" si="109">IF(H25&gt;0,H25-$C$2,"")</f>
        <v/>
      </c>
      <c r="L25" s="13">
        <f t="shared" ref="L25" ca="1" si="110">IF(J25="OVERDUE",1,0)</f>
        <v>0</v>
      </c>
      <c r="M25" s="13">
        <f t="shared" ref="M25" ca="1" si="111">IF(J25="IN TIME",1,0)</f>
        <v>0</v>
      </c>
      <c r="N25" s="13">
        <f t="shared" ref="N25" ca="1" si="112">IF(J25="DONE",1,0)</f>
        <v>1</v>
      </c>
      <c r="O25" s="13">
        <f t="shared" ref="O25" ca="1" si="113">IF(G25&gt;0,G25-$C$2,"")</f>
        <v>-525</v>
      </c>
      <c r="P25" s="20" t="s">
        <v>496</v>
      </c>
      <c r="Q25" s="25"/>
      <c r="R25" s="26"/>
      <c r="S25" s="26"/>
      <c r="T25" s="26"/>
      <c r="U25" s="26"/>
      <c r="V25" s="26"/>
      <c r="W25" s="26"/>
      <c r="X25" s="26"/>
      <c r="Y25" s="26"/>
      <c r="Z25" s="26"/>
      <c r="AA25" s="26"/>
      <c r="AB25" s="26"/>
      <c r="AC25" s="27"/>
      <c r="AD25" s="27"/>
    </row>
    <row r="26" spans="1:30" ht="24.6" customHeight="1" x14ac:dyDescent="0.15">
      <c r="A26" s="15">
        <v>262</v>
      </c>
      <c r="B26" s="13"/>
      <c r="C26" s="12" t="s">
        <v>405</v>
      </c>
      <c r="D26" s="13" t="s">
        <v>24</v>
      </c>
      <c r="E26" s="13" t="s">
        <v>358</v>
      </c>
      <c r="F26" s="14">
        <v>43930</v>
      </c>
      <c r="G26" s="14">
        <v>43953</v>
      </c>
      <c r="H26" s="14"/>
      <c r="I26" s="14">
        <v>43955</v>
      </c>
      <c r="J26" s="13" t="str">
        <f t="shared" ref="J26" ca="1" si="114">IF(AND(I26&lt;=$C$2,I26&lt;&gt;0),"DONE",IF(K26&lt;0,"OVERDUE",IF(AND(K26="",O26&lt;0),"OVERDUE","IN TIME")))</f>
        <v>DONE</v>
      </c>
      <c r="K26" s="13" t="str">
        <f t="shared" ref="K26" si="115">IF(H26&gt;0,H26-$C$2,"")</f>
        <v/>
      </c>
      <c r="L26" s="13">
        <f t="shared" ref="L26" ca="1" si="116">IF(J26="OVERDUE",1,0)</f>
        <v>0</v>
      </c>
      <c r="M26" s="13">
        <f t="shared" ref="M26" ca="1" si="117">IF(J26="IN TIME",1,0)</f>
        <v>0</v>
      </c>
      <c r="N26" s="13">
        <f t="shared" ref="N26" ca="1" si="118">IF(J26="DONE",1,0)</f>
        <v>1</v>
      </c>
      <c r="O26" s="13">
        <f t="shared" ref="O26" ca="1" si="119">IF(G26&gt;0,G26-$C$2,"")</f>
        <v>-524</v>
      </c>
      <c r="P26" s="20" t="s">
        <v>491</v>
      </c>
      <c r="Q26" s="25"/>
      <c r="R26" s="26"/>
      <c r="S26" s="26"/>
      <c r="T26" s="26"/>
      <c r="U26" s="26"/>
      <c r="V26" s="26"/>
      <c r="W26" s="26"/>
      <c r="X26" s="26"/>
      <c r="Y26" s="26"/>
      <c r="Z26" s="26"/>
      <c r="AA26" s="26"/>
      <c r="AB26" s="26"/>
      <c r="AC26" s="27"/>
      <c r="AD26" s="27"/>
    </row>
    <row r="27" spans="1:30" ht="24.6" customHeight="1" x14ac:dyDescent="0.15">
      <c r="A27" s="15" t="s">
        <v>490</v>
      </c>
      <c r="B27" s="11" t="s">
        <v>489</v>
      </c>
      <c r="C27" s="148" t="s">
        <v>488</v>
      </c>
      <c r="D27" s="13" t="s">
        <v>24</v>
      </c>
      <c r="E27" s="13" t="s">
        <v>478</v>
      </c>
      <c r="F27" s="14">
        <v>43941</v>
      </c>
      <c r="G27" s="14">
        <v>43945</v>
      </c>
      <c r="H27" s="14"/>
      <c r="I27" s="14">
        <v>43990</v>
      </c>
      <c r="J27" s="13" t="str">
        <f t="shared" ref="J27" ca="1" si="120">IF(AND(I27&lt;=$C$2,I27&lt;&gt;0),"DONE",IF(K27&lt;0,"OVERDUE",IF(AND(K27="",O27&lt;0),"OVERDUE","IN TIME")))</f>
        <v>DONE</v>
      </c>
      <c r="K27" s="13" t="str">
        <f t="shared" ref="K27" si="121">IF(H27&gt;0,H27-$C$2,"")</f>
        <v/>
      </c>
      <c r="L27" s="13">
        <f t="shared" ref="L27" ca="1" si="122">IF(J27="OVERDUE",1,0)</f>
        <v>0</v>
      </c>
      <c r="M27" s="13">
        <f t="shared" ref="M27" ca="1" si="123">IF(J27="IN TIME",1,0)</f>
        <v>0</v>
      </c>
      <c r="N27" s="13">
        <f t="shared" ref="N27" ca="1" si="124">IF(J27="DONE",1,0)</f>
        <v>1</v>
      </c>
      <c r="O27" s="13">
        <f t="shared" ref="O27" ca="1" si="125">IF(G27&gt;0,G27-$C$2,"")</f>
        <v>-532</v>
      </c>
      <c r="P27" s="20" t="s">
        <v>500</v>
      </c>
      <c r="Q27" s="25"/>
      <c r="R27" s="26"/>
      <c r="S27" s="26"/>
      <c r="T27" s="26"/>
      <c r="U27" s="26"/>
      <c r="V27" s="26"/>
      <c r="W27" s="26"/>
      <c r="X27" s="26"/>
      <c r="Y27" s="26"/>
      <c r="Z27" s="26"/>
      <c r="AA27" s="26"/>
      <c r="AB27" s="26"/>
      <c r="AC27" s="27"/>
      <c r="AD27" s="27"/>
    </row>
    <row r="28" spans="1:30" ht="24.6" customHeight="1" x14ac:dyDescent="0.15">
      <c r="A28" s="15">
        <v>264</v>
      </c>
      <c r="B28" s="11" t="s">
        <v>479</v>
      </c>
      <c r="C28" s="16" t="s">
        <v>480</v>
      </c>
      <c r="D28" s="13" t="s">
        <v>24</v>
      </c>
      <c r="E28" s="13" t="s">
        <v>478</v>
      </c>
      <c r="F28" s="14">
        <v>43941</v>
      </c>
      <c r="G28" s="14">
        <v>43945</v>
      </c>
      <c r="H28" s="14"/>
      <c r="I28" s="14">
        <v>43955</v>
      </c>
      <c r="J28" s="13" t="str">
        <f t="shared" ref="J28" ca="1" si="126">IF(AND(I28&lt;=$C$2,I28&lt;&gt;0),"DONE",IF(K28&lt;0,"OVERDUE",IF(AND(K28="",O28&lt;0),"OVERDUE","IN TIME")))</f>
        <v>DONE</v>
      </c>
      <c r="K28" s="13" t="str">
        <f t="shared" ref="K28" si="127">IF(H28&gt;0,H28-$C$2,"")</f>
        <v/>
      </c>
      <c r="L28" s="13">
        <f t="shared" ref="L28" ca="1" si="128">IF(J28="OVERDUE",1,0)</f>
        <v>0</v>
      </c>
      <c r="M28" s="13">
        <f t="shared" ref="M28" ca="1" si="129">IF(J28="IN TIME",1,0)</f>
        <v>0</v>
      </c>
      <c r="N28" s="13">
        <f t="shared" ref="N28" ca="1" si="130">IF(J28="DONE",1,0)</f>
        <v>1</v>
      </c>
      <c r="O28" s="13">
        <f t="shared" ref="O28" ca="1" si="131">IF(G28&gt;0,G28-$C$2,"")</f>
        <v>-532</v>
      </c>
      <c r="P28" s="20" t="s">
        <v>499</v>
      </c>
      <c r="Q28" s="25"/>
      <c r="R28" s="26"/>
      <c r="S28" s="26"/>
      <c r="T28" s="26"/>
      <c r="U28" s="26"/>
      <c r="V28" s="26"/>
      <c r="W28" s="26"/>
      <c r="X28" s="26"/>
      <c r="Y28" s="26"/>
      <c r="Z28" s="26"/>
      <c r="AA28" s="26"/>
      <c r="AB28" s="26"/>
      <c r="AC28" s="27"/>
      <c r="AD28" s="27"/>
    </row>
    <row r="29" spans="1:30" ht="24.6" customHeight="1" x14ac:dyDescent="0.15">
      <c r="A29" s="15">
        <v>265</v>
      </c>
      <c r="B29" s="11" t="s">
        <v>481</v>
      </c>
      <c r="C29" s="16" t="s">
        <v>482</v>
      </c>
      <c r="D29" s="13" t="s">
        <v>24</v>
      </c>
      <c r="E29" s="13" t="s">
        <v>478</v>
      </c>
      <c r="F29" s="14">
        <v>43948</v>
      </c>
      <c r="G29" s="14">
        <v>43956</v>
      </c>
      <c r="H29" s="14"/>
      <c r="I29" s="14">
        <v>43955</v>
      </c>
      <c r="J29" s="13" t="str">
        <f t="shared" ref="J29" ca="1" si="132">IF(AND(I29&lt;=$C$2,I29&lt;&gt;0),"DONE",IF(K29&lt;0,"OVERDUE",IF(AND(K29="",O29&lt;0),"OVERDUE","IN TIME")))</f>
        <v>DONE</v>
      </c>
      <c r="K29" s="13" t="str">
        <f t="shared" ref="K29" si="133">IF(H29&gt;0,H29-$C$2,"")</f>
        <v/>
      </c>
      <c r="L29" s="13">
        <f t="shared" ref="L29" ca="1" si="134">IF(J29="OVERDUE",1,0)</f>
        <v>0</v>
      </c>
      <c r="M29" s="13">
        <f t="shared" ref="M29" ca="1" si="135">IF(J29="IN TIME",1,0)</f>
        <v>0</v>
      </c>
      <c r="N29" s="13">
        <f t="shared" ref="N29" ca="1" si="136">IF(J29="DONE",1,0)</f>
        <v>1</v>
      </c>
      <c r="O29" s="13">
        <f t="shared" ref="O29" ca="1" si="137">IF(G29&gt;0,G29-$C$2,"")</f>
        <v>-521</v>
      </c>
      <c r="P29" s="20" t="s">
        <v>499</v>
      </c>
      <c r="Q29" s="25"/>
      <c r="R29" s="26"/>
      <c r="S29" s="26"/>
      <c r="T29" s="26"/>
      <c r="U29" s="26"/>
      <c r="V29" s="26"/>
      <c r="W29" s="26"/>
      <c r="X29" s="26"/>
      <c r="Y29" s="26"/>
      <c r="Z29" s="26"/>
      <c r="AA29" s="26"/>
      <c r="AB29" s="26"/>
      <c r="AC29" s="27"/>
      <c r="AD29" s="27"/>
    </row>
    <row r="30" spans="1:30" ht="129.75" customHeight="1" x14ac:dyDescent="0.15">
      <c r="A30" s="15">
        <v>266</v>
      </c>
      <c r="B30" s="11" t="s">
        <v>483</v>
      </c>
      <c r="C30" s="16" t="s">
        <v>484</v>
      </c>
      <c r="D30" s="13" t="s">
        <v>24</v>
      </c>
      <c r="E30" s="13" t="s">
        <v>478</v>
      </c>
      <c r="F30" s="14">
        <v>43957</v>
      </c>
      <c r="G30" s="14">
        <v>43971</v>
      </c>
      <c r="H30" s="14"/>
      <c r="I30" s="14">
        <v>44039</v>
      </c>
      <c r="J30" s="13" t="str">
        <f t="shared" ref="J30" ca="1" si="138">IF(AND(I30&lt;=$C$2,I30&lt;&gt;0),"DONE",IF(K30&lt;0,"OVERDUE",IF(AND(K30="",O30&lt;0),"OVERDUE","IN TIME")))</f>
        <v>DONE</v>
      </c>
      <c r="K30" s="13" t="str">
        <f t="shared" ref="K30" si="139">IF(H30&gt;0,H30-$C$2,"")</f>
        <v/>
      </c>
      <c r="L30" s="13">
        <f t="shared" ref="L30" ca="1" si="140">IF(J30="OVERDUE",1,0)</f>
        <v>0</v>
      </c>
      <c r="M30" s="13">
        <f t="shared" ref="M30" ca="1" si="141">IF(J30="IN TIME",1,0)</f>
        <v>0</v>
      </c>
      <c r="N30" s="13">
        <f t="shared" ref="N30" ca="1" si="142">IF(J30="DONE",1,0)</f>
        <v>1</v>
      </c>
      <c r="O30" s="13">
        <f t="shared" ref="O30" ca="1" si="143">IF(G30&gt;0,G30-$C$2,"")</f>
        <v>-506</v>
      </c>
      <c r="P30" s="20" t="s">
        <v>519</v>
      </c>
      <c r="Q30" s="25"/>
      <c r="R30" s="26"/>
      <c r="S30" s="26"/>
      <c r="T30" s="26"/>
      <c r="U30" s="26"/>
      <c r="V30" s="26"/>
      <c r="W30" s="26"/>
      <c r="X30" s="26"/>
      <c r="Y30" s="26"/>
      <c r="Z30" s="26"/>
      <c r="AA30" s="26"/>
      <c r="AB30" s="26"/>
      <c r="AC30" s="27"/>
      <c r="AD30" s="27"/>
    </row>
    <row r="31" spans="1:30" ht="43.5" customHeight="1" x14ac:dyDescent="0.15">
      <c r="A31" s="156">
        <v>266</v>
      </c>
      <c r="B31" s="157" t="s">
        <v>486</v>
      </c>
      <c r="C31" s="158" t="s">
        <v>487</v>
      </c>
      <c r="D31" s="157" t="s">
        <v>24</v>
      </c>
      <c r="E31" s="157" t="s">
        <v>478</v>
      </c>
      <c r="F31" s="159">
        <v>43972</v>
      </c>
      <c r="G31" s="159">
        <v>43973</v>
      </c>
      <c r="H31" s="159"/>
      <c r="I31" s="159"/>
      <c r="J31" s="157" t="str">
        <f t="shared" ref="J31" ca="1" si="144">IF(AND(I31&lt;=$C$2,I31&lt;&gt;0),"DONE",IF(K31&lt;0,"OVERDUE",IF(AND(K31="",O31&lt;0),"OVERDUE","IN TIME")))</f>
        <v>OVERDUE</v>
      </c>
      <c r="K31" s="157" t="str">
        <f t="shared" ref="K31" si="145">IF(H31&gt;0,H31-$C$2,"")</f>
        <v/>
      </c>
      <c r="L31" s="157">
        <f t="shared" ref="L31" ca="1" si="146">IF(J31="OVERDUE",1,0)</f>
        <v>1</v>
      </c>
      <c r="M31" s="157">
        <f t="shared" ref="M31" ca="1" si="147">IF(J31="IN TIME",1,0)</f>
        <v>0</v>
      </c>
      <c r="N31" s="157">
        <f t="shared" ref="N31" ca="1" si="148">IF(J31="DONE",1,0)</f>
        <v>0</v>
      </c>
      <c r="O31" s="157">
        <f t="shared" ref="O31" ca="1" si="149">IF(G31&gt;0,G31-$C$2,"")</f>
        <v>-504</v>
      </c>
      <c r="P31" s="160" t="s">
        <v>621</v>
      </c>
      <c r="Q31" s="146"/>
      <c r="R31" s="147"/>
      <c r="S31" s="147"/>
      <c r="T31" s="147"/>
      <c r="U31" s="147"/>
      <c r="V31" s="147"/>
      <c r="W31" s="147"/>
      <c r="X31" s="147"/>
      <c r="Y31" s="147"/>
      <c r="Z31" s="147"/>
      <c r="AA31" s="147"/>
      <c r="AB31" s="147"/>
      <c r="AC31" s="27"/>
      <c r="AD31" s="27"/>
    </row>
    <row r="32" spans="1:30" ht="45" customHeight="1" x14ac:dyDescent="0.15">
      <c r="A32" s="15">
        <v>267</v>
      </c>
      <c r="B32" s="11"/>
      <c r="C32" s="16" t="s">
        <v>498</v>
      </c>
      <c r="D32" s="13"/>
      <c r="E32" s="13" t="s">
        <v>478</v>
      </c>
      <c r="F32" s="14"/>
      <c r="G32" s="14"/>
      <c r="H32" s="14"/>
      <c r="I32" s="14"/>
      <c r="J32" s="13" t="str">
        <f t="shared" ref="J32" ca="1" si="150">IF(AND(I32&lt;=$C$2,I32&lt;&gt;0),"DONE",IF(K32&lt;0,"OVERDUE",IF(AND(K32="",O32&lt;0),"OVERDUE","IN TIME")))</f>
        <v>IN TIME</v>
      </c>
      <c r="K32" s="13" t="str">
        <f t="shared" ref="K32" si="151">IF(H32&gt;0,H32-$C$2,"")</f>
        <v/>
      </c>
      <c r="L32" s="13">
        <f t="shared" ref="L32" ca="1" si="152">IF(J32="OVERDUE",1,0)</f>
        <v>0</v>
      </c>
      <c r="M32" s="13">
        <f t="shared" ref="M32" ca="1" si="153">IF(J32="IN TIME",1,0)</f>
        <v>1</v>
      </c>
      <c r="N32" s="13">
        <f t="shared" ref="N32" ca="1" si="154">IF(J32="DONE",1,0)</f>
        <v>0</v>
      </c>
      <c r="O32" s="13" t="str">
        <f t="shared" ref="O32" si="155">IF(G32&gt;0,G32-$C$2,"")</f>
        <v/>
      </c>
      <c r="P32" s="20" t="s">
        <v>511</v>
      </c>
      <c r="Q32" s="149"/>
      <c r="R32" s="150"/>
      <c r="S32" s="150"/>
      <c r="T32" s="150"/>
      <c r="U32" s="150"/>
      <c r="V32" s="150"/>
      <c r="W32" s="150"/>
      <c r="X32" s="150"/>
      <c r="Y32" s="150"/>
      <c r="Z32" s="150"/>
      <c r="AA32" s="150"/>
      <c r="AB32" s="150"/>
      <c r="AC32" s="27"/>
      <c r="AD32" s="27"/>
    </row>
    <row r="33" spans="1:30" ht="24.6" customHeight="1" x14ac:dyDescent="0.15">
      <c r="A33" s="15">
        <v>268</v>
      </c>
      <c r="B33" s="11"/>
      <c r="C33" s="16" t="s">
        <v>515</v>
      </c>
      <c r="D33" s="13" t="s">
        <v>24</v>
      </c>
      <c r="E33" s="13" t="s">
        <v>513</v>
      </c>
      <c r="F33" s="14">
        <v>44025</v>
      </c>
      <c r="G33" s="14">
        <v>44037</v>
      </c>
      <c r="H33" s="14"/>
      <c r="I33" s="14">
        <v>44067</v>
      </c>
      <c r="J33" s="13" t="str">
        <f t="shared" ref="J33" ca="1" si="156">IF(AND(I33&lt;=$C$2,I33&lt;&gt;0),"DONE",IF(K33&lt;0,"OVERDUE",IF(AND(K33="",O33&lt;0),"OVERDUE","IN TIME")))</f>
        <v>DONE</v>
      </c>
      <c r="K33" s="13" t="str">
        <f t="shared" ref="K33" si="157">IF(H33&gt;0,H33-$C$2,"")</f>
        <v/>
      </c>
      <c r="L33" s="13">
        <f t="shared" ref="L33" ca="1" si="158">IF(J33="OVERDUE",1,0)</f>
        <v>0</v>
      </c>
      <c r="M33" s="13">
        <f t="shared" ref="M33" ca="1" si="159">IF(J33="IN TIME",1,0)</f>
        <v>0</v>
      </c>
      <c r="N33" s="13">
        <f t="shared" ref="N33" ca="1" si="160">IF(J33="DONE",1,0)</f>
        <v>1</v>
      </c>
      <c r="O33" s="13">
        <f t="shared" ref="O33" ca="1" si="161">IF(G33&gt;0,G33-$C$2,"")</f>
        <v>-440</v>
      </c>
      <c r="P33" s="20" t="s">
        <v>528</v>
      </c>
      <c r="Q33" s="149"/>
      <c r="R33" s="150"/>
      <c r="S33" s="150"/>
      <c r="T33" s="150"/>
      <c r="U33" s="150"/>
      <c r="V33" s="150"/>
      <c r="W33" s="150"/>
      <c r="X33" s="150"/>
      <c r="Y33" s="150"/>
      <c r="Z33" s="150"/>
      <c r="AA33" s="150"/>
      <c r="AB33" s="150"/>
      <c r="AC33" s="27"/>
      <c r="AD33" s="27"/>
    </row>
    <row r="34" spans="1:30" ht="24.6" customHeight="1" x14ac:dyDescent="0.15">
      <c r="A34" s="15">
        <v>269</v>
      </c>
      <c r="B34" s="11"/>
      <c r="C34" s="16" t="s">
        <v>516</v>
      </c>
      <c r="D34" s="13" t="s">
        <v>24</v>
      </c>
      <c r="E34" s="13" t="s">
        <v>517</v>
      </c>
      <c r="F34" s="14">
        <v>44032</v>
      </c>
      <c r="G34" s="14">
        <v>44052</v>
      </c>
      <c r="H34" s="14"/>
      <c r="I34" s="14">
        <v>44046</v>
      </c>
      <c r="J34" s="13" t="str">
        <f t="shared" ref="J34" ca="1" si="162">IF(AND(I34&lt;=$C$2,I34&lt;&gt;0),"DONE",IF(K34&lt;0,"OVERDUE",IF(AND(K34="",O34&lt;0),"OVERDUE","IN TIME")))</f>
        <v>DONE</v>
      </c>
      <c r="K34" s="13" t="str">
        <f t="shared" ref="K34" si="163">IF(H34&gt;0,H34-$C$2,"")</f>
        <v/>
      </c>
      <c r="L34" s="13">
        <f t="shared" ref="L34" ca="1" si="164">IF(J34="OVERDUE",1,0)</f>
        <v>0</v>
      </c>
      <c r="M34" s="13">
        <f t="shared" ref="M34" ca="1" si="165">IF(J34="IN TIME",1,0)</f>
        <v>0</v>
      </c>
      <c r="N34" s="13">
        <f t="shared" ref="N34" ca="1" si="166">IF(J34="DONE",1,0)</f>
        <v>1</v>
      </c>
      <c r="O34" s="13">
        <f t="shared" ref="O34" ca="1" si="167">IF(G34&gt;0,G34-$C$2,"")</f>
        <v>-425</v>
      </c>
      <c r="P34" s="20" t="s">
        <v>521</v>
      </c>
      <c r="Q34" s="149"/>
      <c r="R34" s="150"/>
      <c r="S34" s="150"/>
      <c r="T34" s="150"/>
      <c r="U34" s="150"/>
      <c r="V34" s="150"/>
      <c r="W34" s="150"/>
      <c r="X34" s="150"/>
      <c r="Y34" s="150"/>
      <c r="Z34" s="150"/>
      <c r="AA34" s="150"/>
      <c r="AB34" s="150"/>
      <c r="AC34" s="27"/>
      <c r="AD34" s="27"/>
    </row>
    <row r="35" spans="1:30" ht="24.6" customHeight="1" x14ac:dyDescent="0.15">
      <c r="A35" s="15">
        <v>270</v>
      </c>
      <c r="B35" s="11"/>
      <c r="C35" s="16" t="s">
        <v>518</v>
      </c>
      <c r="D35" s="13" t="s">
        <v>24</v>
      </c>
      <c r="E35" s="13" t="s">
        <v>358</v>
      </c>
      <c r="F35" s="14">
        <v>44032</v>
      </c>
      <c r="G35" s="14"/>
      <c r="H35" s="14"/>
      <c r="I35" s="14">
        <v>44039</v>
      </c>
      <c r="J35" s="13" t="str">
        <f t="shared" ref="J35:J43" ca="1" si="168">IF(AND(I35&lt;=$C$2,I35&lt;&gt;0),"DONE",IF(K35&lt;0,"OVERDUE",IF(AND(K35="",O35&lt;0),"OVERDUE","IN TIME")))</f>
        <v>DONE</v>
      </c>
      <c r="K35" s="13" t="str">
        <f t="shared" ref="K35" si="169">IF(H35&gt;0,H35-$C$2,"")</f>
        <v/>
      </c>
      <c r="L35" s="13">
        <f t="shared" ref="L35" ca="1" si="170">IF(J35="OVERDUE",1,0)</f>
        <v>0</v>
      </c>
      <c r="M35" s="13">
        <f t="shared" ref="M35" ca="1" si="171">IF(J35="IN TIME",1,0)</f>
        <v>0</v>
      </c>
      <c r="N35" s="13">
        <f t="shared" ref="N35" ca="1" si="172">IF(J35="DONE",1,0)</f>
        <v>1</v>
      </c>
      <c r="O35" s="13" t="str">
        <f t="shared" ref="O35" si="173">IF(G35&gt;0,G35-$C$2,"")</f>
        <v/>
      </c>
      <c r="P35" s="20" t="s">
        <v>520</v>
      </c>
      <c r="Q35" s="154"/>
      <c r="R35" s="155"/>
      <c r="S35" s="155"/>
      <c r="T35" s="155"/>
      <c r="U35" s="155"/>
      <c r="V35" s="155"/>
      <c r="W35" s="155"/>
      <c r="X35" s="155"/>
      <c r="Y35" s="155"/>
      <c r="Z35" s="155"/>
      <c r="AA35" s="155"/>
      <c r="AB35" s="155"/>
      <c r="AC35" s="27"/>
      <c r="AD35" s="27"/>
    </row>
    <row r="36" spans="1:30" ht="42.75" customHeight="1" x14ac:dyDescent="0.15">
      <c r="A36" s="15">
        <v>271</v>
      </c>
      <c r="B36" s="11"/>
      <c r="C36" s="16" t="s">
        <v>526</v>
      </c>
      <c r="D36" s="13" t="s">
        <v>37</v>
      </c>
      <c r="E36" s="13" t="s">
        <v>365</v>
      </c>
      <c r="F36" s="14">
        <v>44053</v>
      </c>
      <c r="G36" s="14">
        <v>44073</v>
      </c>
      <c r="H36" s="14"/>
      <c r="I36" s="14">
        <v>44073</v>
      </c>
      <c r="J36" s="13" t="str">
        <f t="shared" ca="1" si="168"/>
        <v>DONE</v>
      </c>
      <c r="K36" s="13"/>
      <c r="L36" s="13"/>
      <c r="M36" s="13"/>
      <c r="N36" s="13"/>
      <c r="O36" s="13"/>
      <c r="P36" s="20" t="s">
        <v>535</v>
      </c>
      <c r="Q36" s="154"/>
      <c r="R36" s="155"/>
      <c r="S36" s="155"/>
      <c r="T36" s="155"/>
      <c r="U36" s="155"/>
      <c r="V36" s="155"/>
      <c r="W36" s="155"/>
      <c r="X36" s="155"/>
      <c r="Y36" s="155"/>
      <c r="Z36" s="155"/>
      <c r="AA36" s="155"/>
      <c r="AB36" s="155"/>
      <c r="AC36" s="27"/>
      <c r="AD36" s="27"/>
    </row>
    <row r="37" spans="1:30" ht="24.6" customHeight="1" x14ac:dyDescent="0.15">
      <c r="A37" s="15">
        <v>272</v>
      </c>
      <c r="B37" s="11"/>
      <c r="C37" s="16" t="s">
        <v>529</v>
      </c>
      <c r="D37" s="13" t="s">
        <v>24</v>
      </c>
      <c r="E37" s="13" t="s">
        <v>530</v>
      </c>
      <c r="F37" s="14">
        <v>44067</v>
      </c>
      <c r="G37" s="14">
        <v>44074</v>
      </c>
      <c r="H37" s="14"/>
      <c r="I37" s="14">
        <v>44073</v>
      </c>
      <c r="J37" s="13" t="str">
        <f t="shared" ca="1" si="168"/>
        <v>DONE</v>
      </c>
      <c r="K37" s="13"/>
      <c r="L37" s="13"/>
      <c r="M37" s="13"/>
      <c r="N37" s="13"/>
      <c r="O37" s="13"/>
      <c r="P37" s="20" t="s">
        <v>536</v>
      </c>
      <c r="Q37" s="154"/>
      <c r="R37" s="155"/>
      <c r="S37" s="155"/>
      <c r="T37" s="155"/>
      <c r="U37" s="155"/>
      <c r="V37" s="155"/>
      <c r="W37" s="155"/>
      <c r="X37" s="155"/>
      <c r="Y37" s="155"/>
      <c r="Z37" s="155"/>
      <c r="AA37" s="155"/>
      <c r="AB37" s="155"/>
      <c r="AC37" s="27"/>
      <c r="AD37" s="27"/>
    </row>
    <row r="38" spans="1:30" ht="24.6" customHeight="1" x14ac:dyDescent="0.15">
      <c r="A38" s="15">
        <v>273</v>
      </c>
      <c r="B38" s="11"/>
      <c r="C38" s="16" t="s">
        <v>531</v>
      </c>
      <c r="D38" s="13" t="s">
        <v>24</v>
      </c>
      <c r="E38" s="13" t="s">
        <v>358</v>
      </c>
      <c r="F38" s="14">
        <v>44067</v>
      </c>
      <c r="G38" s="14">
        <v>44074</v>
      </c>
      <c r="H38" s="14"/>
      <c r="I38" s="14">
        <v>44073</v>
      </c>
      <c r="J38" s="13" t="str">
        <f t="shared" ca="1" si="168"/>
        <v>DONE</v>
      </c>
      <c r="K38" s="13"/>
      <c r="L38" s="13"/>
      <c r="M38" s="13"/>
      <c r="N38" s="13"/>
      <c r="O38" s="13"/>
      <c r="P38" s="20" t="s">
        <v>536</v>
      </c>
      <c r="Q38" s="154"/>
      <c r="R38" s="155"/>
      <c r="S38" s="155"/>
      <c r="T38" s="155"/>
      <c r="U38" s="155"/>
      <c r="V38" s="155"/>
      <c r="W38" s="155"/>
      <c r="X38" s="155"/>
      <c r="Y38" s="155"/>
      <c r="Z38" s="155"/>
      <c r="AA38" s="155"/>
      <c r="AB38" s="155"/>
      <c r="AC38" s="27"/>
      <c r="AD38" s="27"/>
    </row>
    <row r="39" spans="1:30" ht="24.6" customHeight="1" x14ac:dyDescent="0.15">
      <c r="A39" s="15">
        <v>274</v>
      </c>
      <c r="B39" s="11"/>
      <c r="C39" s="16" t="s">
        <v>537</v>
      </c>
      <c r="D39" s="13" t="s">
        <v>24</v>
      </c>
      <c r="E39" s="13" t="s">
        <v>538</v>
      </c>
      <c r="F39" s="14">
        <v>44074</v>
      </c>
      <c r="G39" s="14">
        <v>44081</v>
      </c>
      <c r="H39" s="14"/>
      <c r="I39" s="14">
        <v>44081</v>
      </c>
      <c r="J39" s="13" t="str">
        <f t="shared" ca="1" si="168"/>
        <v>DONE</v>
      </c>
      <c r="K39" s="13"/>
      <c r="L39" s="13"/>
      <c r="M39" s="13"/>
      <c r="N39" s="13"/>
      <c r="O39" s="13"/>
      <c r="P39" s="20" t="s">
        <v>541</v>
      </c>
      <c r="Q39" s="163"/>
      <c r="R39" s="164"/>
      <c r="S39" s="164"/>
      <c r="T39" s="164"/>
      <c r="U39" s="164"/>
      <c r="V39" s="164"/>
      <c r="W39" s="164"/>
      <c r="X39" s="164"/>
      <c r="Y39" s="164"/>
      <c r="Z39" s="164"/>
      <c r="AA39" s="164"/>
      <c r="AB39" s="164"/>
      <c r="AC39" s="27"/>
      <c r="AD39" s="27"/>
    </row>
    <row r="40" spans="1:30" ht="24.6" customHeight="1" x14ac:dyDescent="0.15">
      <c r="A40" s="15">
        <v>275</v>
      </c>
      <c r="B40" s="11"/>
      <c r="C40" s="16" t="s">
        <v>539</v>
      </c>
      <c r="D40" s="13" t="s">
        <v>24</v>
      </c>
      <c r="E40" s="13" t="s">
        <v>538</v>
      </c>
      <c r="F40" s="14">
        <v>44074</v>
      </c>
      <c r="G40" s="14">
        <v>44088</v>
      </c>
      <c r="H40" s="14"/>
      <c r="I40" s="14">
        <v>44095</v>
      </c>
      <c r="J40" s="13" t="str">
        <f t="shared" ca="1" si="168"/>
        <v>DONE</v>
      </c>
      <c r="K40" s="13"/>
      <c r="L40" s="13"/>
      <c r="M40" s="13"/>
      <c r="N40" s="13"/>
      <c r="O40" s="13"/>
      <c r="P40" s="20" t="s">
        <v>552</v>
      </c>
      <c r="Q40" s="163"/>
      <c r="R40" s="164"/>
      <c r="S40" s="164"/>
      <c r="T40" s="164"/>
      <c r="U40" s="164"/>
      <c r="V40" s="164"/>
      <c r="W40" s="164"/>
      <c r="X40" s="164"/>
      <c r="Y40" s="164"/>
      <c r="Z40" s="164"/>
      <c r="AA40" s="164"/>
      <c r="AB40" s="164"/>
      <c r="AC40" s="27"/>
      <c r="AD40" s="27"/>
    </row>
    <row r="41" spans="1:30" ht="24.6" customHeight="1" x14ac:dyDescent="0.15">
      <c r="A41" s="15">
        <v>276</v>
      </c>
      <c r="B41" s="11"/>
      <c r="C41" s="16" t="s">
        <v>540</v>
      </c>
      <c r="D41" s="13" t="s">
        <v>24</v>
      </c>
      <c r="E41" s="13" t="s">
        <v>538</v>
      </c>
      <c r="F41" s="14">
        <v>44073</v>
      </c>
      <c r="G41" s="14"/>
      <c r="H41" s="14"/>
      <c r="I41" s="14">
        <v>44081</v>
      </c>
      <c r="J41" s="13" t="str">
        <f t="shared" ca="1" si="168"/>
        <v>DONE</v>
      </c>
      <c r="K41" s="13"/>
      <c r="L41" s="13"/>
      <c r="M41" s="13"/>
      <c r="N41" s="13"/>
      <c r="O41" s="13"/>
      <c r="P41" s="20" t="s">
        <v>545</v>
      </c>
      <c r="Q41" s="163"/>
      <c r="R41" s="164"/>
      <c r="S41" s="164"/>
      <c r="T41" s="164"/>
      <c r="U41" s="164"/>
      <c r="V41" s="164"/>
      <c r="W41" s="164"/>
      <c r="X41" s="164"/>
      <c r="Y41" s="164"/>
      <c r="Z41" s="164"/>
      <c r="AA41" s="164"/>
      <c r="AB41" s="164"/>
      <c r="AC41" s="27"/>
      <c r="AD41" s="27"/>
    </row>
    <row r="42" spans="1:30" ht="24.6" customHeight="1" x14ac:dyDescent="0.15">
      <c r="A42" s="15">
        <v>277</v>
      </c>
      <c r="B42" s="11"/>
      <c r="C42" s="16" t="s">
        <v>543</v>
      </c>
      <c r="D42" s="13" t="s">
        <v>24</v>
      </c>
      <c r="E42" s="13" t="s">
        <v>544</v>
      </c>
      <c r="F42" s="14">
        <v>44081</v>
      </c>
      <c r="G42" s="14">
        <v>44094</v>
      </c>
      <c r="H42" s="14"/>
      <c r="I42" s="14">
        <v>44095</v>
      </c>
      <c r="J42" s="13" t="str">
        <f t="shared" ca="1" si="168"/>
        <v>DONE</v>
      </c>
      <c r="K42" s="13"/>
      <c r="L42" s="13"/>
      <c r="M42" s="13"/>
      <c r="N42" s="13"/>
      <c r="O42" s="13"/>
      <c r="P42" s="20" t="s">
        <v>549</v>
      </c>
      <c r="Q42" s="165"/>
      <c r="R42" s="166"/>
      <c r="S42" s="166"/>
      <c r="T42" s="166"/>
      <c r="U42" s="166"/>
      <c r="V42" s="166"/>
      <c r="W42" s="166"/>
      <c r="X42" s="166"/>
      <c r="Y42" s="166"/>
      <c r="Z42" s="166"/>
      <c r="AA42" s="166"/>
      <c r="AB42" s="166"/>
      <c r="AC42" s="27"/>
      <c r="AD42" s="27"/>
    </row>
    <row r="43" spans="1:30" ht="24.6" customHeight="1" x14ac:dyDescent="0.15">
      <c r="A43" s="15">
        <v>278</v>
      </c>
      <c r="B43" s="11"/>
      <c r="C43" s="16" t="s">
        <v>548</v>
      </c>
      <c r="D43" s="13" t="s">
        <v>24</v>
      </c>
      <c r="E43" s="13" t="s">
        <v>544</v>
      </c>
      <c r="F43" s="14">
        <v>44081</v>
      </c>
      <c r="G43" s="14">
        <v>44094</v>
      </c>
      <c r="H43" s="14"/>
      <c r="I43" s="14">
        <v>44095</v>
      </c>
      <c r="J43" s="13" t="str">
        <f t="shared" ca="1" si="168"/>
        <v>DONE</v>
      </c>
      <c r="K43" s="13"/>
      <c r="L43" s="13"/>
      <c r="M43" s="13"/>
      <c r="N43" s="13"/>
      <c r="O43" s="13"/>
      <c r="P43" s="20" t="s">
        <v>550</v>
      </c>
      <c r="Q43" s="167"/>
      <c r="R43" s="168"/>
      <c r="S43" s="168"/>
      <c r="T43" s="168"/>
      <c r="U43" s="168"/>
      <c r="V43" s="168"/>
      <c r="W43" s="168"/>
      <c r="X43" s="168"/>
      <c r="Y43" s="168"/>
      <c r="Z43" s="168"/>
      <c r="AA43" s="168"/>
      <c r="AB43" s="168"/>
      <c r="AC43" s="27"/>
      <c r="AD43" s="27"/>
    </row>
    <row r="44" spans="1:30" ht="24.6" customHeight="1" x14ac:dyDescent="0.15">
      <c r="A44" s="15">
        <v>279</v>
      </c>
      <c r="B44" s="11"/>
      <c r="C44" s="16" t="s">
        <v>546</v>
      </c>
      <c r="D44" s="13" t="s">
        <v>37</v>
      </c>
      <c r="E44" s="13" t="s">
        <v>547</v>
      </c>
      <c r="F44" s="14">
        <v>44081</v>
      </c>
      <c r="G44" s="14">
        <v>44094</v>
      </c>
      <c r="H44" s="14"/>
      <c r="I44" s="14">
        <v>44088</v>
      </c>
      <c r="J44" s="13" t="str">
        <f t="shared" ref="J44:J47" ca="1" si="174">IF(AND(I44&lt;=$C$2,I44&lt;&gt;0),"DONE",IF(K44&lt;0,"OVERDUE",IF(AND(K44="",O44&lt;0),"OVERDUE","IN TIME")))</f>
        <v>DONE</v>
      </c>
      <c r="K44" s="13"/>
      <c r="L44" s="13"/>
      <c r="M44" s="13"/>
      <c r="N44" s="13"/>
      <c r="O44" s="13"/>
      <c r="P44" s="20" t="s">
        <v>551</v>
      </c>
      <c r="Q44" s="167"/>
      <c r="R44" s="168"/>
      <c r="S44" s="168"/>
      <c r="T44" s="168"/>
      <c r="U44" s="168"/>
      <c r="V44" s="168"/>
      <c r="W44" s="168"/>
      <c r="X44" s="168"/>
      <c r="Y44" s="168"/>
      <c r="Z44" s="168"/>
      <c r="AA44" s="168"/>
      <c r="AB44" s="168"/>
      <c r="AC44" s="27"/>
      <c r="AD44" s="27"/>
    </row>
    <row r="45" spans="1:30" ht="77.25" customHeight="1" x14ac:dyDescent="0.15">
      <c r="A45" s="15">
        <v>280</v>
      </c>
      <c r="B45" s="11"/>
      <c r="C45" s="16" t="s">
        <v>542</v>
      </c>
      <c r="D45" s="13" t="s">
        <v>37</v>
      </c>
      <c r="E45" s="13" t="s">
        <v>365</v>
      </c>
      <c r="F45" s="14">
        <v>44073</v>
      </c>
      <c r="G45" s="14">
        <v>44081</v>
      </c>
      <c r="H45" s="14"/>
      <c r="I45" s="14">
        <v>44102</v>
      </c>
      <c r="J45" s="13" t="str">
        <f t="shared" ca="1" si="174"/>
        <v>DONE</v>
      </c>
      <c r="K45" s="13"/>
      <c r="L45" s="13"/>
      <c r="M45" s="13"/>
      <c r="N45" s="13"/>
      <c r="O45" s="13"/>
      <c r="P45" s="20" t="s">
        <v>553</v>
      </c>
      <c r="Q45" s="167"/>
      <c r="R45" s="168"/>
      <c r="S45" s="168"/>
      <c r="T45" s="168"/>
      <c r="U45" s="168"/>
      <c r="V45" s="168"/>
      <c r="W45" s="168"/>
      <c r="X45" s="168"/>
      <c r="Y45" s="168"/>
      <c r="Z45" s="168"/>
      <c r="AA45" s="168"/>
      <c r="AB45" s="168"/>
      <c r="AC45" s="27"/>
      <c r="AD45" s="27"/>
    </row>
    <row r="46" spans="1:30" ht="24.6" customHeight="1" x14ac:dyDescent="0.15">
      <c r="A46" s="15">
        <v>281</v>
      </c>
      <c r="B46" s="11"/>
      <c r="C46" s="16" t="s">
        <v>532</v>
      </c>
      <c r="D46" s="13" t="s">
        <v>37</v>
      </c>
      <c r="E46" s="13" t="s">
        <v>533</v>
      </c>
      <c r="F46" s="14">
        <v>44112</v>
      </c>
      <c r="G46" s="14">
        <v>44130</v>
      </c>
      <c r="H46" s="14"/>
      <c r="I46" s="14">
        <v>44130</v>
      </c>
      <c r="J46" s="13" t="str">
        <f t="shared" ca="1" si="174"/>
        <v>DONE</v>
      </c>
      <c r="K46" s="13"/>
      <c r="L46" s="13"/>
      <c r="M46" s="13"/>
      <c r="N46" s="13"/>
      <c r="O46" s="13"/>
      <c r="P46" s="20" t="s">
        <v>563</v>
      </c>
      <c r="Q46" s="167"/>
      <c r="R46" s="168"/>
      <c r="S46" s="168"/>
      <c r="T46" s="168"/>
      <c r="U46" s="168"/>
      <c r="V46" s="168"/>
      <c r="W46" s="168"/>
      <c r="X46" s="168"/>
      <c r="Y46" s="168"/>
      <c r="Z46" s="168"/>
      <c r="AA46" s="168"/>
      <c r="AB46" s="168"/>
      <c r="AC46" s="27"/>
      <c r="AD46" s="27"/>
    </row>
    <row r="47" spans="1:30" ht="24.6" customHeight="1" x14ac:dyDescent="0.15">
      <c r="A47" s="15">
        <v>282</v>
      </c>
      <c r="B47" s="11"/>
      <c r="C47" s="16" t="s">
        <v>561</v>
      </c>
      <c r="D47" s="13" t="s">
        <v>37</v>
      </c>
      <c r="E47" s="13" t="s">
        <v>534</v>
      </c>
      <c r="F47" s="14">
        <v>44112</v>
      </c>
      <c r="G47" s="14">
        <v>44130</v>
      </c>
      <c r="H47" s="14"/>
      <c r="I47" s="14">
        <v>44130</v>
      </c>
      <c r="J47" s="13" t="str">
        <f t="shared" ca="1" si="174"/>
        <v>DONE</v>
      </c>
      <c r="K47" s="13"/>
      <c r="L47" s="13"/>
      <c r="M47" s="13"/>
      <c r="N47" s="13"/>
      <c r="O47" s="13"/>
      <c r="P47" s="20" t="s">
        <v>564</v>
      </c>
      <c r="Q47" s="167"/>
      <c r="R47" s="168"/>
      <c r="S47" s="168"/>
      <c r="T47" s="168"/>
      <c r="U47" s="168"/>
      <c r="V47" s="168"/>
      <c r="W47" s="168"/>
      <c r="X47" s="168"/>
      <c r="Y47" s="168"/>
      <c r="Z47" s="168"/>
      <c r="AA47" s="168"/>
      <c r="AB47" s="168"/>
      <c r="AC47" s="27"/>
      <c r="AD47" s="27"/>
    </row>
    <row r="48" spans="1:30" ht="24.6" customHeight="1" x14ac:dyDescent="0.15">
      <c r="A48" s="15">
        <v>283</v>
      </c>
      <c r="B48" s="11"/>
      <c r="C48" s="16" t="s">
        <v>554</v>
      </c>
      <c r="D48" s="13" t="s">
        <v>37</v>
      </c>
      <c r="E48" s="13" t="s">
        <v>555</v>
      </c>
      <c r="F48" s="14">
        <v>44095</v>
      </c>
      <c r="G48" s="14">
        <v>44104</v>
      </c>
      <c r="H48" s="14"/>
      <c r="I48" s="14">
        <v>44102</v>
      </c>
      <c r="J48" s="13" t="str">
        <f t="shared" ref="J48:J56" ca="1" si="175">IF(AND(I48&lt;=$C$2,I48&lt;&gt;0),"DONE",IF(K48&lt;0,"OVERDUE",IF(AND(K48="",O48&lt;0),"OVERDUE","IN TIME")))</f>
        <v>DONE</v>
      </c>
      <c r="K48" s="13"/>
      <c r="L48" s="13"/>
      <c r="M48" s="13"/>
      <c r="N48" s="13"/>
      <c r="O48" s="13"/>
      <c r="P48" s="20" t="s">
        <v>558</v>
      </c>
      <c r="Q48" s="169"/>
      <c r="R48" s="170"/>
      <c r="S48" s="170"/>
      <c r="T48" s="170"/>
      <c r="U48" s="170"/>
      <c r="V48" s="170"/>
      <c r="W48" s="170"/>
      <c r="X48" s="170"/>
      <c r="Y48" s="170"/>
      <c r="Z48" s="170"/>
      <c r="AA48" s="170"/>
      <c r="AB48" s="170"/>
      <c r="AC48" s="27"/>
      <c r="AD48" s="27"/>
    </row>
    <row r="49" spans="1:30" ht="24.6" customHeight="1" x14ac:dyDescent="0.15">
      <c r="A49" s="15">
        <v>284</v>
      </c>
      <c r="B49" s="11"/>
      <c r="C49" s="16" t="s">
        <v>556</v>
      </c>
      <c r="D49" s="13" t="s">
        <v>24</v>
      </c>
      <c r="E49" s="13" t="s">
        <v>557</v>
      </c>
      <c r="F49" s="14">
        <v>44095</v>
      </c>
      <c r="G49" s="14">
        <v>44104</v>
      </c>
      <c r="H49" s="14"/>
      <c r="I49" s="14">
        <v>44116</v>
      </c>
      <c r="J49" s="13" t="str">
        <f t="shared" ca="1" si="175"/>
        <v>DONE</v>
      </c>
      <c r="K49" s="13"/>
      <c r="L49" s="13"/>
      <c r="M49" s="13"/>
      <c r="N49" s="13"/>
      <c r="O49" s="13"/>
      <c r="P49" s="20" t="s">
        <v>562</v>
      </c>
      <c r="Q49" s="169"/>
      <c r="R49" s="170"/>
      <c r="S49" s="170"/>
      <c r="T49" s="170"/>
      <c r="U49" s="170"/>
      <c r="V49" s="170"/>
      <c r="W49" s="170"/>
      <c r="X49" s="170"/>
      <c r="Y49" s="170"/>
      <c r="Z49" s="170"/>
      <c r="AA49" s="170"/>
      <c r="AB49" s="170"/>
      <c r="AC49" s="27"/>
      <c r="AD49" s="27"/>
    </row>
    <row r="50" spans="1:30" ht="24.6" customHeight="1" x14ac:dyDescent="0.15">
      <c r="A50" s="15">
        <v>285</v>
      </c>
      <c r="B50" s="11"/>
      <c r="C50" s="16" t="s">
        <v>559</v>
      </c>
      <c r="D50" s="13" t="s">
        <v>37</v>
      </c>
      <c r="E50" s="13" t="s">
        <v>555</v>
      </c>
      <c r="F50" s="14">
        <v>44130</v>
      </c>
      <c r="G50" s="14">
        <v>44135</v>
      </c>
      <c r="H50" s="14"/>
      <c r="I50" s="14">
        <v>44137</v>
      </c>
      <c r="J50" s="13" t="str">
        <f t="shared" ca="1" si="175"/>
        <v>DONE</v>
      </c>
      <c r="K50" s="13"/>
      <c r="L50" s="13"/>
      <c r="M50" s="13"/>
      <c r="N50" s="13"/>
      <c r="O50" s="13"/>
      <c r="P50" s="20" t="s">
        <v>568</v>
      </c>
      <c r="Q50" s="169"/>
      <c r="R50" s="170"/>
      <c r="S50" s="170"/>
      <c r="T50" s="170"/>
      <c r="U50" s="170"/>
      <c r="V50" s="170"/>
      <c r="W50" s="170"/>
      <c r="X50" s="170"/>
      <c r="Y50" s="170"/>
      <c r="Z50" s="170"/>
      <c r="AA50" s="170"/>
      <c r="AB50" s="170"/>
      <c r="AC50" s="27"/>
      <c r="AD50" s="27"/>
    </row>
    <row r="51" spans="1:30" ht="24.6" customHeight="1" x14ac:dyDescent="0.15">
      <c r="A51" s="15">
        <v>286</v>
      </c>
      <c r="B51" s="11"/>
      <c r="C51" s="16" t="s">
        <v>566</v>
      </c>
      <c r="D51" s="13" t="s">
        <v>24</v>
      </c>
      <c r="E51" s="13" t="s">
        <v>358</v>
      </c>
      <c r="F51" s="14">
        <v>44130</v>
      </c>
      <c r="G51" s="14">
        <v>44135</v>
      </c>
      <c r="H51" s="14"/>
      <c r="I51" s="14">
        <v>44137</v>
      </c>
      <c r="J51" s="13" t="str">
        <f t="shared" ca="1" si="175"/>
        <v>DONE</v>
      </c>
      <c r="K51" s="13"/>
      <c r="L51" s="13"/>
      <c r="M51" s="13"/>
      <c r="N51" s="13"/>
      <c r="O51" s="13"/>
      <c r="P51" s="20" t="s">
        <v>569</v>
      </c>
      <c r="Q51" s="169"/>
      <c r="R51" s="170"/>
      <c r="S51" s="170"/>
      <c r="T51" s="170"/>
      <c r="U51" s="170"/>
      <c r="V51" s="170"/>
      <c r="W51" s="170"/>
      <c r="X51" s="170"/>
      <c r="Y51" s="170"/>
      <c r="Z51" s="170"/>
      <c r="AA51" s="170"/>
      <c r="AB51" s="170"/>
      <c r="AC51" s="27"/>
      <c r="AD51" s="27"/>
    </row>
    <row r="52" spans="1:30" ht="24.6" customHeight="1" x14ac:dyDescent="0.15">
      <c r="A52" s="15">
        <v>287</v>
      </c>
      <c r="B52" s="11"/>
      <c r="C52" s="16" t="s">
        <v>565</v>
      </c>
      <c r="D52" s="13" t="s">
        <v>24</v>
      </c>
      <c r="E52" s="13" t="s">
        <v>358</v>
      </c>
      <c r="F52" s="14">
        <v>44130</v>
      </c>
      <c r="G52" s="14">
        <v>44135</v>
      </c>
      <c r="H52" s="14"/>
      <c r="I52" s="14">
        <v>44144</v>
      </c>
      <c r="J52" s="13" t="str">
        <f t="shared" ca="1" si="175"/>
        <v>DONE</v>
      </c>
      <c r="K52" s="13"/>
      <c r="L52" s="13"/>
      <c r="M52" s="13"/>
      <c r="N52" s="13"/>
      <c r="O52" s="13"/>
      <c r="P52" s="20" t="s">
        <v>570</v>
      </c>
      <c r="Q52" s="169"/>
      <c r="R52" s="170"/>
      <c r="S52" s="170"/>
      <c r="T52" s="170"/>
      <c r="U52" s="170"/>
      <c r="V52" s="170"/>
      <c r="W52" s="170"/>
      <c r="X52" s="170"/>
      <c r="Y52" s="170"/>
      <c r="Z52" s="170"/>
      <c r="AA52" s="170"/>
      <c r="AB52" s="170"/>
      <c r="AC52" s="27"/>
      <c r="AD52" s="27"/>
    </row>
    <row r="53" spans="1:30" ht="24.6" customHeight="1" x14ac:dyDescent="0.15">
      <c r="A53" s="15">
        <v>288</v>
      </c>
      <c r="B53" s="11"/>
      <c r="C53" s="16" t="s">
        <v>567</v>
      </c>
      <c r="D53" s="13" t="s">
        <v>24</v>
      </c>
      <c r="E53" s="13" t="s">
        <v>555</v>
      </c>
      <c r="F53" s="14">
        <v>44146</v>
      </c>
      <c r="G53" s="14">
        <v>44155</v>
      </c>
      <c r="H53" s="14"/>
      <c r="I53" s="14">
        <v>44193</v>
      </c>
      <c r="J53" s="13" t="str">
        <f t="shared" ca="1" si="175"/>
        <v>DONE</v>
      </c>
      <c r="K53" s="13"/>
      <c r="L53" s="13"/>
      <c r="M53" s="13"/>
      <c r="N53" s="13"/>
      <c r="O53" s="13"/>
      <c r="P53" s="20" t="s">
        <v>606</v>
      </c>
      <c r="Q53" s="171"/>
      <c r="R53" s="172"/>
      <c r="S53" s="172"/>
      <c r="T53" s="172"/>
      <c r="U53" s="172"/>
      <c r="V53" s="172"/>
      <c r="W53" s="172"/>
      <c r="X53" s="172"/>
      <c r="Y53" s="172"/>
      <c r="Z53" s="172"/>
      <c r="AA53" s="172"/>
      <c r="AB53" s="172"/>
      <c r="AC53" s="27"/>
      <c r="AD53" s="27"/>
    </row>
    <row r="54" spans="1:30" ht="24.6" customHeight="1" x14ac:dyDescent="0.15">
      <c r="A54" s="15">
        <v>289</v>
      </c>
      <c r="B54" s="11"/>
      <c r="C54" s="16" t="s">
        <v>571</v>
      </c>
      <c r="D54" s="13" t="s">
        <v>24</v>
      </c>
      <c r="E54" s="13" t="s">
        <v>572</v>
      </c>
      <c r="F54" s="14">
        <v>44144</v>
      </c>
      <c r="G54" s="14">
        <v>44144</v>
      </c>
      <c r="H54" s="14"/>
      <c r="I54" s="14">
        <v>44151</v>
      </c>
      <c r="J54" s="13" t="str">
        <f t="shared" ca="1" si="175"/>
        <v>DONE</v>
      </c>
      <c r="K54" s="13"/>
      <c r="L54" s="13"/>
      <c r="M54" s="13"/>
      <c r="N54" s="13"/>
      <c r="O54" s="13"/>
      <c r="P54" s="20" t="s">
        <v>573</v>
      </c>
      <c r="Q54" s="171"/>
      <c r="R54" s="172"/>
      <c r="S54" s="172"/>
      <c r="T54" s="172"/>
      <c r="U54" s="172"/>
      <c r="V54" s="172"/>
      <c r="W54" s="172"/>
      <c r="X54" s="172"/>
      <c r="Y54" s="172"/>
      <c r="Z54" s="172"/>
      <c r="AA54" s="172"/>
      <c r="AB54" s="172"/>
      <c r="AC54" s="27"/>
      <c r="AD54" s="27"/>
    </row>
    <row r="55" spans="1:30" ht="24.6" customHeight="1" x14ac:dyDescent="0.15">
      <c r="A55" s="15">
        <v>290</v>
      </c>
      <c r="B55" s="11"/>
      <c r="C55" s="16" t="s">
        <v>574</v>
      </c>
      <c r="D55" s="13" t="s">
        <v>24</v>
      </c>
      <c r="E55" s="13" t="s">
        <v>575</v>
      </c>
      <c r="F55" s="14">
        <v>44151</v>
      </c>
      <c r="G55" s="14">
        <v>44157</v>
      </c>
      <c r="H55" s="14"/>
      <c r="I55" s="14">
        <v>44155</v>
      </c>
      <c r="J55" s="13" t="str">
        <f t="shared" ca="1" si="175"/>
        <v>DONE</v>
      </c>
      <c r="K55" s="13"/>
      <c r="L55" s="13"/>
      <c r="M55" s="13"/>
      <c r="N55" s="13"/>
      <c r="O55" s="13"/>
      <c r="P55" s="20" t="s">
        <v>578</v>
      </c>
      <c r="Q55" s="171"/>
      <c r="R55" s="172"/>
      <c r="S55" s="172"/>
      <c r="T55" s="172"/>
      <c r="U55" s="172"/>
      <c r="V55" s="172"/>
      <c r="W55" s="172"/>
      <c r="X55" s="172"/>
      <c r="Y55" s="172"/>
      <c r="Z55" s="172"/>
      <c r="AA55" s="172"/>
      <c r="AB55" s="172"/>
      <c r="AC55" s="27"/>
      <c r="AD55" s="27"/>
    </row>
    <row r="56" spans="1:30" ht="24.6" customHeight="1" x14ac:dyDescent="0.15">
      <c r="A56" s="15">
        <v>291</v>
      </c>
      <c r="B56" s="11"/>
      <c r="C56" s="16" t="s">
        <v>579</v>
      </c>
      <c r="D56" s="13" t="s">
        <v>37</v>
      </c>
      <c r="E56" s="13" t="s">
        <v>580</v>
      </c>
      <c r="F56" s="14">
        <v>44155</v>
      </c>
      <c r="G56" s="14">
        <v>44178</v>
      </c>
      <c r="H56" s="14"/>
      <c r="I56" s="14"/>
      <c r="J56" s="13" t="str">
        <f t="shared" ca="1" si="175"/>
        <v>IN TIME</v>
      </c>
      <c r="K56" s="13"/>
      <c r="L56" s="13"/>
      <c r="M56" s="13"/>
      <c r="N56" s="13"/>
      <c r="O56" s="13"/>
      <c r="P56" s="20" t="s">
        <v>587</v>
      </c>
      <c r="Q56" s="171"/>
      <c r="R56" s="172"/>
      <c r="S56" s="172"/>
      <c r="T56" s="172"/>
      <c r="U56" s="172"/>
      <c r="V56" s="172"/>
      <c r="W56" s="172"/>
      <c r="X56" s="172"/>
      <c r="Y56" s="172"/>
      <c r="Z56" s="172"/>
      <c r="AA56" s="172"/>
      <c r="AB56" s="172"/>
      <c r="AC56" s="27"/>
      <c r="AD56" s="27"/>
    </row>
    <row r="57" spans="1:30" ht="97.5" customHeight="1" x14ac:dyDescent="0.15">
      <c r="A57" s="15">
        <v>292</v>
      </c>
      <c r="B57" s="11"/>
      <c r="C57" s="16" t="s">
        <v>583</v>
      </c>
      <c r="D57" s="13" t="s">
        <v>37</v>
      </c>
      <c r="E57" s="13" t="s">
        <v>586</v>
      </c>
      <c r="F57" s="14"/>
      <c r="G57" s="14"/>
      <c r="H57" s="14"/>
      <c r="I57" s="14">
        <v>44179</v>
      </c>
      <c r="J57" s="13" t="str">
        <f t="shared" ref="J57" ca="1" si="176">IF(AND(I57&lt;=$C$2,I57&lt;&gt;0),"DONE",IF(K57&lt;0,"OVERDUE",IF(AND(K57="",O57&lt;0),"OVERDUE","IN TIME")))</f>
        <v>DONE</v>
      </c>
      <c r="K57" s="13"/>
      <c r="L57" s="13"/>
      <c r="M57" s="13"/>
      <c r="N57" s="13"/>
      <c r="O57" s="13"/>
      <c r="P57" s="20" t="s">
        <v>595</v>
      </c>
      <c r="Q57" s="173"/>
      <c r="R57" s="174"/>
      <c r="S57" s="174"/>
      <c r="T57" s="174"/>
      <c r="U57" s="174"/>
      <c r="V57" s="174"/>
      <c r="W57" s="174"/>
      <c r="X57" s="174"/>
      <c r="Y57" s="174"/>
      <c r="Z57" s="174"/>
      <c r="AA57" s="174"/>
      <c r="AB57" s="174"/>
      <c r="AC57" s="27"/>
      <c r="AD57" s="27"/>
    </row>
    <row r="58" spans="1:30" ht="24.6" customHeight="1" x14ac:dyDescent="0.15">
      <c r="A58" s="15">
        <v>293</v>
      </c>
      <c r="B58" s="11"/>
      <c r="C58" s="16" t="s">
        <v>584</v>
      </c>
      <c r="D58" s="13" t="s">
        <v>24</v>
      </c>
      <c r="E58" s="13" t="s">
        <v>586</v>
      </c>
      <c r="F58" s="14"/>
      <c r="G58" s="14"/>
      <c r="H58" s="14"/>
      <c r="I58" s="14">
        <v>44179</v>
      </c>
      <c r="J58" s="13" t="str">
        <f t="shared" ref="J58" ca="1" si="177">IF(AND(I58&lt;=$C$2,I58&lt;&gt;0),"DONE",IF(K58&lt;0,"OVERDUE",IF(AND(K58="",O58&lt;0),"OVERDUE","IN TIME")))</f>
        <v>DONE</v>
      </c>
      <c r="K58" s="13"/>
      <c r="L58" s="13"/>
      <c r="M58" s="13"/>
      <c r="N58" s="13"/>
      <c r="O58" s="13"/>
      <c r="P58" s="20" t="s">
        <v>588</v>
      </c>
      <c r="Q58" s="173"/>
      <c r="R58" s="174"/>
      <c r="S58" s="174"/>
      <c r="T58" s="174"/>
      <c r="U58" s="174"/>
      <c r="V58" s="174"/>
      <c r="W58" s="174"/>
      <c r="X58" s="174"/>
      <c r="Y58" s="174"/>
      <c r="Z58" s="174"/>
      <c r="AA58" s="174"/>
      <c r="AB58" s="174"/>
      <c r="AC58" s="27"/>
      <c r="AD58" s="27"/>
    </row>
    <row r="59" spans="1:30" ht="24.6" customHeight="1" x14ac:dyDescent="0.15">
      <c r="A59" s="15">
        <v>294</v>
      </c>
      <c r="B59" s="11"/>
      <c r="C59" s="16" t="s">
        <v>585</v>
      </c>
      <c r="D59" s="13" t="s">
        <v>37</v>
      </c>
      <c r="E59" s="13" t="s">
        <v>586</v>
      </c>
      <c r="F59" s="14">
        <v>44179</v>
      </c>
      <c r="G59" s="14">
        <v>44190</v>
      </c>
      <c r="H59" s="14"/>
      <c r="I59" s="14">
        <v>44186</v>
      </c>
      <c r="J59" s="13" t="str">
        <f t="shared" ref="J59" ca="1" si="178">IF(AND(I59&lt;=$C$2,I59&lt;&gt;0),"DONE",IF(K59&lt;0,"OVERDUE",IF(AND(K59="",O59&lt;0),"OVERDUE","IN TIME")))</f>
        <v>DONE</v>
      </c>
      <c r="K59" s="13"/>
      <c r="L59" s="13"/>
      <c r="M59" s="13"/>
      <c r="N59" s="13"/>
      <c r="O59" s="13"/>
      <c r="P59" s="20" t="s">
        <v>599</v>
      </c>
      <c r="Q59" s="173"/>
      <c r="R59" s="174"/>
      <c r="S59" s="174"/>
      <c r="T59" s="174"/>
      <c r="U59" s="174"/>
      <c r="V59" s="174"/>
      <c r="W59" s="174"/>
      <c r="X59" s="174"/>
      <c r="Y59" s="174"/>
      <c r="Z59" s="174"/>
      <c r="AA59" s="174"/>
      <c r="AB59" s="174"/>
      <c r="AC59" s="27"/>
      <c r="AD59" s="27"/>
    </row>
    <row r="60" spans="1:30" ht="24.6" customHeight="1" x14ac:dyDescent="0.15">
      <c r="A60" s="15">
        <v>295</v>
      </c>
      <c r="B60" s="11"/>
      <c r="C60" s="16" t="s">
        <v>601</v>
      </c>
      <c r="D60" s="13"/>
      <c r="E60" s="13"/>
      <c r="F60" s="14"/>
      <c r="G60" s="14"/>
      <c r="H60" s="14"/>
      <c r="I60" s="14"/>
      <c r="J60" s="13" t="str">
        <f t="shared" ref="J60" ca="1" si="179">IF(AND(I60&lt;=$C$2,I60&lt;&gt;0),"DONE",IF(K60&lt;0,"OVERDUE",IF(AND(K60="",O60&lt;0),"OVERDUE","IN TIME")))</f>
        <v>IN TIME</v>
      </c>
      <c r="K60" s="13"/>
      <c r="L60" s="13"/>
      <c r="M60" s="13"/>
      <c r="N60" s="13"/>
      <c r="O60" s="13"/>
      <c r="P60" s="20"/>
      <c r="Q60" s="173"/>
      <c r="R60" s="174"/>
      <c r="S60" s="174"/>
      <c r="T60" s="174"/>
      <c r="U60" s="174"/>
      <c r="V60" s="174"/>
      <c r="W60" s="174"/>
      <c r="X60" s="174"/>
      <c r="Y60" s="174"/>
      <c r="Z60" s="174"/>
      <c r="AA60" s="174"/>
      <c r="AB60" s="174"/>
      <c r="AC60" s="27"/>
      <c r="AD60" s="27"/>
    </row>
    <row r="61" spans="1:30" ht="24.6" customHeight="1" x14ac:dyDescent="0.15">
      <c r="A61" s="15">
        <v>296</v>
      </c>
      <c r="B61" s="11"/>
      <c r="C61" s="16" t="s">
        <v>589</v>
      </c>
      <c r="D61" s="13" t="s">
        <v>37</v>
      </c>
      <c r="E61" s="13" t="s">
        <v>374</v>
      </c>
      <c r="F61" s="14"/>
      <c r="G61" s="14"/>
      <c r="H61" s="14"/>
      <c r="I61" s="14">
        <v>44186</v>
      </c>
      <c r="J61" s="13" t="str">
        <f t="shared" ref="J61:J66" ca="1" si="180">IF(AND(I61&lt;=$C$2,I61&lt;&gt;0),"DONE",IF(K61&lt;0,"OVERDUE",IF(AND(K61="",O61&lt;0),"OVERDUE","IN TIME")))</f>
        <v>DONE</v>
      </c>
      <c r="K61" s="13"/>
      <c r="L61" s="13"/>
      <c r="M61" s="13"/>
      <c r="N61" s="13"/>
      <c r="O61" s="13"/>
      <c r="P61" s="20" t="s">
        <v>600</v>
      </c>
      <c r="Q61" s="175"/>
      <c r="R61" s="176"/>
      <c r="S61" s="176"/>
      <c r="T61" s="176"/>
      <c r="U61" s="176"/>
      <c r="V61" s="176"/>
      <c r="W61" s="176"/>
      <c r="X61" s="176"/>
      <c r="Y61" s="176"/>
      <c r="Z61" s="176"/>
      <c r="AA61" s="176"/>
      <c r="AB61" s="176"/>
      <c r="AC61" s="27"/>
      <c r="AD61" s="27"/>
    </row>
    <row r="62" spans="1:30" ht="61.5" customHeight="1" x14ac:dyDescent="0.15">
      <c r="A62" s="15">
        <v>297</v>
      </c>
      <c r="B62" s="11"/>
      <c r="C62" s="16" t="s">
        <v>593</v>
      </c>
      <c r="D62" s="13" t="s">
        <v>37</v>
      </c>
      <c r="E62" s="13" t="s">
        <v>590</v>
      </c>
      <c r="F62" s="14">
        <v>44172</v>
      </c>
      <c r="G62" s="14"/>
      <c r="H62" s="14"/>
      <c r="I62" s="14"/>
      <c r="J62" s="13" t="str">
        <f t="shared" ca="1" si="180"/>
        <v>IN TIME</v>
      </c>
      <c r="K62" s="13"/>
      <c r="L62" s="13"/>
      <c r="M62" s="13"/>
      <c r="N62" s="13"/>
      <c r="O62" s="13"/>
      <c r="P62" s="20" t="s">
        <v>591</v>
      </c>
      <c r="Q62" s="175"/>
      <c r="R62" s="176"/>
      <c r="S62" s="176"/>
      <c r="T62" s="176"/>
      <c r="U62" s="176"/>
      <c r="V62" s="176"/>
      <c r="W62" s="176"/>
      <c r="X62" s="176"/>
      <c r="Y62" s="176"/>
      <c r="Z62" s="176"/>
      <c r="AA62" s="176"/>
      <c r="AB62" s="176"/>
      <c r="AC62" s="27"/>
      <c r="AD62" s="27"/>
    </row>
    <row r="63" spans="1:30" ht="67.5" customHeight="1" x14ac:dyDescent="0.15">
      <c r="A63" s="15">
        <v>298</v>
      </c>
      <c r="B63" s="11"/>
      <c r="C63" s="16" t="s">
        <v>594</v>
      </c>
      <c r="D63" s="13" t="s">
        <v>37</v>
      </c>
      <c r="E63" s="13" t="s">
        <v>590</v>
      </c>
      <c r="F63" s="14">
        <v>44172</v>
      </c>
      <c r="G63" s="14"/>
      <c r="H63" s="14"/>
      <c r="I63" s="14"/>
      <c r="J63" s="13" t="str">
        <f t="shared" ca="1" si="180"/>
        <v>IN TIME</v>
      </c>
      <c r="K63" s="13"/>
      <c r="L63" s="13"/>
      <c r="M63" s="13"/>
      <c r="N63" s="13"/>
      <c r="O63" s="13"/>
      <c r="P63" s="20" t="s">
        <v>592</v>
      </c>
      <c r="Q63" s="177"/>
      <c r="R63" s="178"/>
      <c r="S63" s="178"/>
      <c r="T63" s="178"/>
      <c r="U63" s="178"/>
      <c r="V63" s="178"/>
      <c r="W63" s="178"/>
      <c r="X63" s="178"/>
      <c r="Y63" s="178"/>
      <c r="Z63" s="178"/>
      <c r="AA63" s="178"/>
      <c r="AB63" s="178"/>
      <c r="AC63" s="27"/>
      <c r="AD63" s="27"/>
    </row>
    <row r="64" spans="1:30" ht="73.5" customHeight="1" x14ac:dyDescent="0.15">
      <c r="A64" s="15" t="s">
        <v>603</v>
      </c>
      <c r="B64" s="11"/>
      <c r="C64" s="16" t="s">
        <v>604</v>
      </c>
      <c r="D64" s="13" t="s">
        <v>24</v>
      </c>
      <c r="E64" s="13" t="s">
        <v>605</v>
      </c>
      <c r="F64" s="14">
        <v>44196</v>
      </c>
      <c r="G64" s="14"/>
      <c r="H64" s="14"/>
      <c r="I64" s="14">
        <v>44214</v>
      </c>
      <c r="J64" s="13" t="str">
        <f t="shared" ca="1" si="180"/>
        <v>DONE</v>
      </c>
      <c r="K64" s="13"/>
      <c r="L64" s="13"/>
      <c r="M64" s="13"/>
      <c r="N64" s="13"/>
      <c r="O64" s="13"/>
      <c r="P64" s="20" t="s">
        <v>624</v>
      </c>
      <c r="Q64" s="179"/>
      <c r="R64" s="180"/>
      <c r="S64" s="180"/>
      <c r="T64" s="180"/>
      <c r="U64" s="180"/>
      <c r="V64" s="180"/>
      <c r="W64" s="180"/>
      <c r="X64" s="180"/>
      <c r="Y64" s="180"/>
      <c r="Z64" s="180"/>
      <c r="AA64" s="180"/>
      <c r="AB64" s="180"/>
      <c r="AC64" s="27"/>
      <c r="AD64" s="27"/>
    </row>
    <row r="65" spans="1:30" ht="24.6" customHeight="1" x14ac:dyDescent="0.15">
      <c r="A65" s="15">
        <v>300</v>
      </c>
      <c r="B65" s="11"/>
      <c r="C65" s="16" t="s">
        <v>607</v>
      </c>
      <c r="D65" s="13" t="s">
        <v>37</v>
      </c>
      <c r="E65" s="13" t="s">
        <v>615</v>
      </c>
      <c r="F65" s="14">
        <v>44193</v>
      </c>
      <c r="G65" s="14">
        <v>44196</v>
      </c>
      <c r="H65" s="14">
        <v>44196</v>
      </c>
      <c r="I65" s="14">
        <v>44196</v>
      </c>
      <c r="J65" s="13" t="str">
        <f t="shared" ca="1" si="180"/>
        <v>DONE</v>
      </c>
      <c r="K65" s="13"/>
      <c r="L65" s="13"/>
      <c r="M65" s="13"/>
      <c r="N65" s="13"/>
      <c r="O65" s="13"/>
      <c r="P65" s="20" t="s">
        <v>616</v>
      </c>
      <c r="Q65" s="181"/>
      <c r="R65" s="182"/>
      <c r="S65" s="182"/>
      <c r="T65" s="182"/>
      <c r="U65" s="182"/>
      <c r="V65" s="182"/>
      <c r="W65" s="182"/>
      <c r="X65" s="182"/>
      <c r="Y65" s="182"/>
      <c r="Z65" s="182"/>
      <c r="AA65" s="182"/>
      <c r="AB65" s="182"/>
      <c r="AC65" s="27"/>
      <c r="AD65" s="27"/>
    </row>
    <row r="66" spans="1:30" ht="24.6" customHeight="1" x14ac:dyDescent="0.15">
      <c r="A66" s="15">
        <v>301</v>
      </c>
      <c r="B66" s="11"/>
      <c r="C66" s="16" t="s">
        <v>608</v>
      </c>
      <c r="D66" s="13" t="s">
        <v>37</v>
      </c>
      <c r="E66" s="13" t="s">
        <v>615</v>
      </c>
      <c r="F66" s="14">
        <v>44193</v>
      </c>
      <c r="G66" s="14">
        <v>44196</v>
      </c>
      <c r="H66" s="14">
        <v>44196</v>
      </c>
      <c r="I66" s="14">
        <v>44196</v>
      </c>
      <c r="J66" s="13" t="str">
        <f t="shared" ca="1" si="180"/>
        <v>DONE</v>
      </c>
      <c r="K66" s="13"/>
      <c r="L66" s="13"/>
      <c r="M66" s="13"/>
      <c r="N66" s="13"/>
      <c r="O66" s="13"/>
      <c r="P66" s="20" t="s">
        <v>616</v>
      </c>
      <c r="Q66" s="181"/>
      <c r="R66" s="182"/>
      <c r="S66" s="182"/>
      <c r="T66" s="182"/>
      <c r="U66" s="182"/>
      <c r="V66" s="182"/>
      <c r="W66" s="182"/>
      <c r="X66" s="182"/>
      <c r="Y66" s="182"/>
      <c r="Z66" s="182"/>
      <c r="AA66" s="182"/>
      <c r="AB66" s="182"/>
      <c r="AC66" s="27"/>
      <c r="AD66" s="27"/>
    </row>
    <row r="67" spans="1:30" ht="24.6" customHeight="1" x14ac:dyDescent="0.15">
      <c r="A67" s="15">
        <v>302</v>
      </c>
      <c r="B67" s="11"/>
      <c r="C67" s="16" t="s">
        <v>609</v>
      </c>
      <c r="D67" s="13"/>
      <c r="E67" s="13"/>
      <c r="F67" s="14"/>
      <c r="G67" s="14"/>
      <c r="H67" s="14"/>
      <c r="I67" s="14"/>
      <c r="J67" s="13" t="str">
        <f t="shared" ref="J67" ca="1" si="181">IF(AND(I67&lt;=$C$2,I67&lt;&gt;0),"DONE",IF(K67&lt;0,"OVERDUE",IF(AND(K67="",O67&lt;0),"OVERDUE","IN TIME")))</f>
        <v>IN TIME</v>
      </c>
      <c r="K67" s="13"/>
      <c r="L67" s="13"/>
      <c r="M67" s="13"/>
      <c r="N67" s="13"/>
      <c r="O67" s="13"/>
      <c r="P67" s="20"/>
      <c r="Q67" s="183"/>
      <c r="R67" s="184"/>
      <c r="S67" s="184"/>
      <c r="T67" s="184"/>
      <c r="U67" s="184"/>
      <c r="V67" s="184"/>
      <c r="W67" s="184"/>
      <c r="X67" s="184"/>
      <c r="Y67" s="184"/>
      <c r="Z67" s="184"/>
      <c r="AA67" s="184"/>
      <c r="AB67" s="184"/>
      <c r="AC67" s="27"/>
      <c r="AD67" s="27"/>
    </row>
    <row r="68" spans="1:30" ht="24.6" customHeight="1" x14ac:dyDescent="0.15">
      <c r="A68" s="15">
        <v>303</v>
      </c>
      <c r="B68" s="11"/>
      <c r="C68" s="16" t="s">
        <v>610</v>
      </c>
      <c r="D68" s="13" t="s">
        <v>37</v>
      </c>
      <c r="E68" s="13" t="s">
        <v>622</v>
      </c>
      <c r="F68" s="14"/>
      <c r="G68" s="14"/>
      <c r="H68" s="14"/>
      <c r="I68" s="14">
        <v>44214</v>
      </c>
      <c r="J68" s="13" t="str">
        <f t="shared" ref="J68" ca="1" si="182">IF(AND(I68&lt;=$C$2,I68&lt;&gt;0),"DONE",IF(K68&lt;0,"OVERDUE",IF(AND(K68="",O68&lt;0),"OVERDUE","IN TIME")))</f>
        <v>DONE</v>
      </c>
      <c r="K68" s="13"/>
      <c r="L68" s="13"/>
      <c r="M68" s="13"/>
      <c r="N68" s="13"/>
      <c r="O68" s="13"/>
      <c r="P68" s="20" t="s">
        <v>625</v>
      </c>
      <c r="Q68" s="183"/>
      <c r="R68" s="184"/>
      <c r="S68" s="184"/>
      <c r="T68" s="184"/>
      <c r="U68" s="184"/>
      <c r="V68" s="184"/>
      <c r="W68" s="184"/>
      <c r="X68" s="184"/>
      <c r="Y68" s="184"/>
      <c r="Z68" s="184"/>
      <c r="AA68" s="184"/>
      <c r="AB68" s="184"/>
      <c r="AC68" s="27"/>
      <c r="AD68" s="27"/>
    </row>
    <row r="69" spans="1:30" ht="24.6" customHeight="1" x14ac:dyDescent="0.15">
      <c r="A69" s="15">
        <v>304</v>
      </c>
      <c r="B69" s="11"/>
      <c r="C69" s="16" t="s">
        <v>611</v>
      </c>
      <c r="D69" s="13" t="s">
        <v>37</v>
      </c>
      <c r="E69" s="13" t="s">
        <v>615</v>
      </c>
      <c r="F69" s="14"/>
      <c r="G69" s="14"/>
      <c r="H69" s="14"/>
      <c r="I69" s="14">
        <v>44196</v>
      </c>
      <c r="J69" s="13" t="str">
        <f t="shared" ref="J69" ca="1" si="183">IF(AND(I69&lt;=$C$2,I69&lt;&gt;0),"DONE",IF(K69&lt;0,"OVERDUE",IF(AND(K69="",O69&lt;0),"OVERDUE","IN TIME")))</f>
        <v>DONE</v>
      </c>
      <c r="K69" s="13"/>
      <c r="L69" s="13"/>
      <c r="M69" s="13"/>
      <c r="N69" s="13"/>
      <c r="O69" s="13"/>
      <c r="P69" s="20" t="s">
        <v>617</v>
      </c>
      <c r="Q69" s="183"/>
      <c r="R69" s="184"/>
      <c r="S69" s="184"/>
      <c r="T69" s="184"/>
      <c r="U69" s="184"/>
      <c r="V69" s="184"/>
      <c r="W69" s="184"/>
      <c r="X69" s="184"/>
      <c r="Y69" s="184"/>
      <c r="Z69" s="184"/>
      <c r="AA69" s="184"/>
      <c r="AB69" s="184"/>
      <c r="AC69" s="27"/>
      <c r="AD69" s="27"/>
    </row>
    <row r="70" spans="1:30" ht="24.6" customHeight="1" x14ac:dyDescent="0.15">
      <c r="A70" s="15">
        <v>305</v>
      </c>
      <c r="B70" s="11"/>
      <c r="C70" s="16" t="s">
        <v>612</v>
      </c>
      <c r="D70" s="13"/>
      <c r="E70" s="13" t="s">
        <v>630</v>
      </c>
      <c r="F70" s="14"/>
      <c r="G70" s="14"/>
      <c r="H70" s="14"/>
      <c r="I70" s="14"/>
      <c r="J70" s="13" t="str">
        <f t="shared" ref="J70" ca="1" si="184">IF(AND(I70&lt;=$C$2,I70&lt;&gt;0),"DONE",IF(K70&lt;0,"OVERDUE",IF(AND(K70="",O70&lt;0),"OVERDUE","IN TIME")))</f>
        <v>IN TIME</v>
      </c>
      <c r="K70" s="13"/>
      <c r="L70" s="13"/>
      <c r="M70" s="13"/>
      <c r="N70" s="13"/>
      <c r="O70" s="13"/>
      <c r="P70" s="20"/>
      <c r="Q70" s="183"/>
      <c r="R70" s="184"/>
      <c r="S70" s="184"/>
      <c r="T70" s="184"/>
      <c r="U70" s="184"/>
      <c r="V70" s="184"/>
      <c r="W70" s="184"/>
      <c r="X70" s="184"/>
      <c r="Y70" s="184"/>
      <c r="Z70" s="184"/>
      <c r="AA70" s="184"/>
      <c r="AB70" s="184"/>
      <c r="AC70" s="27"/>
      <c r="AD70" s="27"/>
    </row>
    <row r="71" spans="1:30" ht="55.5" customHeight="1" x14ac:dyDescent="0.15">
      <c r="A71" s="15">
        <v>306</v>
      </c>
      <c r="B71" s="11"/>
      <c r="C71" s="16" t="s">
        <v>613</v>
      </c>
      <c r="D71" s="13"/>
      <c r="E71" s="13" t="s">
        <v>630</v>
      </c>
      <c r="F71" s="14"/>
      <c r="G71" s="14"/>
      <c r="H71" s="14"/>
      <c r="I71" s="14"/>
      <c r="J71" s="13" t="str">
        <f t="shared" ref="J71" ca="1" si="185">IF(AND(I71&lt;=$C$2,I71&lt;&gt;0),"DONE",IF(K71&lt;0,"OVERDUE",IF(AND(K71="",O71&lt;0),"OVERDUE","IN TIME")))</f>
        <v>IN TIME</v>
      </c>
      <c r="K71" s="13"/>
      <c r="L71" s="13"/>
      <c r="M71" s="13"/>
      <c r="N71" s="13"/>
      <c r="O71" s="13"/>
      <c r="P71" s="20" t="s">
        <v>618</v>
      </c>
      <c r="Q71" s="183"/>
      <c r="R71" s="184"/>
      <c r="S71" s="184"/>
      <c r="T71" s="184"/>
      <c r="U71" s="184"/>
      <c r="V71" s="184"/>
      <c r="W71" s="184"/>
      <c r="X71" s="184"/>
      <c r="Y71" s="184"/>
      <c r="Z71" s="184"/>
      <c r="AA71" s="184"/>
      <c r="AB71" s="184"/>
      <c r="AC71" s="27"/>
      <c r="AD71" s="27"/>
    </row>
    <row r="72" spans="1:30" ht="24.6" customHeight="1" x14ac:dyDescent="0.15">
      <c r="A72" s="15">
        <v>307</v>
      </c>
      <c r="B72" s="11"/>
      <c r="C72" s="16" t="s">
        <v>614</v>
      </c>
      <c r="D72" s="13" t="s">
        <v>37</v>
      </c>
      <c r="E72" s="13" t="s">
        <v>365</v>
      </c>
      <c r="F72" s="14"/>
      <c r="G72" s="14"/>
      <c r="H72" s="14"/>
      <c r="I72" s="14">
        <v>44196</v>
      </c>
      <c r="J72" s="13" t="str">
        <f t="shared" ref="J72" ca="1" si="186">IF(AND(I72&lt;=$C$2,I72&lt;&gt;0),"DONE",IF(K72&lt;0,"OVERDUE",IF(AND(K72="",O72&lt;0),"OVERDUE","IN TIME")))</f>
        <v>DONE</v>
      </c>
      <c r="K72" s="13"/>
      <c r="L72" s="13"/>
      <c r="M72" s="13"/>
      <c r="N72" s="13"/>
      <c r="O72" s="13"/>
      <c r="P72" s="20" t="s">
        <v>619</v>
      </c>
      <c r="Q72" s="185"/>
      <c r="R72" s="186"/>
      <c r="S72" s="186"/>
      <c r="T72" s="186"/>
      <c r="U72" s="186"/>
      <c r="V72" s="186"/>
      <c r="W72" s="186"/>
      <c r="X72" s="186"/>
      <c r="Y72" s="186"/>
      <c r="Z72" s="186"/>
      <c r="AA72" s="186"/>
      <c r="AB72" s="186"/>
      <c r="AC72" s="27"/>
      <c r="AD72" s="27"/>
    </row>
    <row r="73" spans="1:30" ht="24.6" customHeight="1" x14ac:dyDescent="0.15">
      <c r="A73" s="15">
        <v>308</v>
      </c>
      <c r="B73" s="11"/>
      <c r="C73" s="16" t="s">
        <v>623</v>
      </c>
      <c r="D73" s="13"/>
      <c r="E73" s="13"/>
      <c r="F73" s="14"/>
      <c r="G73" s="14"/>
      <c r="H73" s="14"/>
      <c r="I73" s="14">
        <v>44228</v>
      </c>
      <c r="J73" s="13" t="str">
        <f t="shared" ref="J73" ca="1" si="187">IF(AND(I73&lt;=$C$2,I73&lt;&gt;0),"DONE",IF(K73&lt;0,"OVERDUE",IF(AND(K73="",O73&lt;0),"OVERDUE","IN TIME")))</f>
        <v>DONE</v>
      </c>
      <c r="K73" s="13"/>
      <c r="L73" s="13"/>
      <c r="M73" s="13"/>
      <c r="N73" s="13"/>
      <c r="O73" s="13"/>
      <c r="P73" s="20" t="s">
        <v>633</v>
      </c>
      <c r="Q73" s="187"/>
      <c r="R73" s="188"/>
      <c r="S73" s="188"/>
      <c r="T73" s="188"/>
      <c r="U73" s="188"/>
      <c r="V73" s="188"/>
      <c r="W73" s="188"/>
      <c r="X73" s="188"/>
      <c r="Y73" s="188"/>
      <c r="Z73" s="188"/>
      <c r="AA73" s="188"/>
      <c r="AB73" s="188"/>
      <c r="AC73" s="27"/>
      <c r="AD73" s="27"/>
    </row>
    <row r="74" spans="1:30" ht="38.25" customHeight="1" x14ac:dyDescent="0.15">
      <c r="A74" s="15">
        <v>309</v>
      </c>
      <c r="B74" s="11"/>
      <c r="C74" s="16" t="s">
        <v>626</v>
      </c>
      <c r="D74" s="13" t="s">
        <v>24</v>
      </c>
      <c r="E74" s="13" t="s">
        <v>627</v>
      </c>
      <c r="F74" s="14">
        <v>43848</v>
      </c>
      <c r="G74" s="14"/>
      <c r="H74" s="14"/>
      <c r="I74" s="14"/>
      <c r="J74" s="13" t="str">
        <f t="shared" ref="J74" ca="1" si="188">IF(AND(I74&lt;=$C$2,I74&lt;&gt;0),"DONE",IF(K74&lt;0,"OVERDUE",IF(AND(K74="",O74&lt;0),"OVERDUE","IN TIME")))</f>
        <v>IN TIME</v>
      </c>
      <c r="K74" s="13"/>
      <c r="L74" s="13"/>
      <c r="M74" s="13"/>
      <c r="N74" s="13"/>
      <c r="O74" s="13"/>
      <c r="P74" s="20" t="s">
        <v>650</v>
      </c>
      <c r="Q74" s="189"/>
      <c r="R74" s="190"/>
      <c r="S74" s="190"/>
      <c r="T74" s="190"/>
      <c r="U74" s="190"/>
      <c r="V74" s="190"/>
      <c r="W74" s="190"/>
      <c r="X74" s="190"/>
      <c r="Y74" s="190"/>
      <c r="Z74" s="190"/>
      <c r="AA74" s="190"/>
      <c r="AB74" s="190"/>
      <c r="AC74" s="27"/>
      <c r="AD74" s="27"/>
    </row>
    <row r="75" spans="1:30" ht="24.6" customHeight="1" x14ac:dyDescent="0.15">
      <c r="A75" s="15">
        <v>310</v>
      </c>
      <c r="B75" s="11"/>
      <c r="C75" s="16" t="s">
        <v>628</v>
      </c>
      <c r="D75" s="13" t="s">
        <v>24</v>
      </c>
      <c r="E75" s="13" t="s">
        <v>629</v>
      </c>
      <c r="F75" s="14"/>
      <c r="G75" s="14"/>
      <c r="H75" s="14"/>
      <c r="I75" s="14">
        <v>44228</v>
      </c>
      <c r="J75" s="13" t="str">
        <f t="shared" ref="J75" ca="1" si="189">IF(AND(I75&lt;=$C$2,I75&lt;&gt;0),"DONE",IF(K75&lt;0,"OVERDUE",IF(AND(K75="",O75&lt;0),"OVERDUE","IN TIME")))</f>
        <v>DONE</v>
      </c>
      <c r="K75" s="13"/>
      <c r="L75" s="13"/>
      <c r="M75" s="13"/>
      <c r="N75" s="13"/>
      <c r="O75" s="13"/>
      <c r="P75" s="20" t="s">
        <v>632</v>
      </c>
      <c r="Q75" s="189"/>
      <c r="R75" s="190"/>
      <c r="S75" s="190"/>
      <c r="T75" s="190"/>
      <c r="U75" s="190"/>
      <c r="V75" s="190"/>
      <c r="W75" s="190"/>
      <c r="X75" s="190"/>
      <c r="Y75" s="190"/>
      <c r="Z75" s="190"/>
      <c r="AA75" s="190"/>
      <c r="AB75" s="190"/>
      <c r="AC75" s="27"/>
      <c r="AD75" s="27"/>
    </row>
    <row r="76" spans="1:30" ht="24.6" customHeight="1" x14ac:dyDescent="0.15">
      <c r="A76" s="15">
        <v>311</v>
      </c>
      <c r="B76" s="11"/>
      <c r="C76" s="16" t="s">
        <v>634</v>
      </c>
      <c r="D76" s="13"/>
      <c r="E76" s="13"/>
      <c r="F76" s="14"/>
      <c r="G76" s="14"/>
      <c r="H76" s="14"/>
      <c r="I76" s="14"/>
      <c r="J76" s="13" t="str">
        <f t="shared" ref="J76" ca="1" si="190">IF(AND(I76&lt;=$C$2,I76&lt;&gt;0),"DONE",IF(K76&lt;0,"OVERDUE",IF(AND(K76="",O76&lt;0),"OVERDUE","IN TIME")))</f>
        <v>IN TIME</v>
      </c>
      <c r="K76" s="13"/>
      <c r="L76" s="13"/>
      <c r="M76" s="13"/>
      <c r="N76" s="13"/>
      <c r="O76" s="13"/>
      <c r="P76" s="20"/>
      <c r="Q76" s="191"/>
      <c r="R76" s="192"/>
      <c r="S76" s="192"/>
      <c r="T76" s="192"/>
      <c r="U76" s="192"/>
      <c r="V76" s="192"/>
      <c r="W76" s="192"/>
      <c r="X76" s="192"/>
      <c r="Y76" s="192"/>
      <c r="Z76" s="192"/>
      <c r="AA76" s="192"/>
      <c r="AB76" s="192"/>
      <c r="AC76" s="27"/>
      <c r="AD76" s="27"/>
    </row>
    <row r="77" spans="1:30" ht="24.6" customHeight="1" x14ac:dyDescent="0.15">
      <c r="A77" s="15">
        <v>312</v>
      </c>
      <c r="B77" s="11"/>
      <c r="C77" s="16"/>
      <c r="D77" s="13"/>
      <c r="E77" s="13"/>
      <c r="F77" s="14"/>
      <c r="G77" s="14"/>
      <c r="H77" s="14"/>
      <c r="I77" s="14"/>
      <c r="J77" s="13" t="str">
        <f t="shared" ref="J77" ca="1" si="191">IF(AND(I77&lt;=$C$2,I77&lt;&gt;0),"DONE",IF(K77&lt;0,"OVERDUE",IF(AND(K77="",O77&lt;0),"OVERDUE","IN TIME")))</f>
        <v>IN TIME</v>
      </c>
      <c r="K77" s="13"/>
      <c r="L77" s="13"/>
      <c r="M77" s="13"/>
      <c r="N77" s="13"/>
      <c r="O77" s="13"/>
      <c r="P77" s="20"/>
      <c r="Q77" s="193"/>
      <c r="R77" s="194"/>
      <c r="S77" s="194"/>
      <c r="T77" s="194"/>
      <c r="U77" s="194"/>
      <c r="V77" s="194"/>
      <c r="W77" s="194"/>
      <c r="X77" s="194"/>
      <c r="Y77" s="194"/>
      <c r="Z77" s="194"/>
      <c r="AA77" s="194"/>
      <c r="AB77" s="194"/>
      <c r="AC77" s="27"/>
      <c r="AD77" s="27"/>
    </row>
    <row r="78" spans="1:30" ht="50.25" customHeight="1" x14ac:dyDescent="0.15">
      <c r="A78" s="15">
        <v>313</v>
      </c>
      <c r="B78" s="11"/>
      <c r="C78" s="16" t="s">
        <v>661</v>
      </c>
      <c r="D78" s="13" t="s">
        <v>37</v>
      </c>
      <c r="E78" s="13" t="s">
        <v>662</v>
      </c>
      <c r="F78" s="14">
        <v>44347</v>
      </c>
      <c r="G78" s="14">
        <v>44358</v>
      </c>
      <c r="H78" s="14"/>
      <c r="I78" s="14"/>
      <c r="J78" s="13" t="str">
        <f t="shared" ref="J78" ca="1" si="192">IF(AND(I78&lt;=$C$2,I78&lt;&gt;0),"DONE",IF(K78&lt;0,"OVERDUE",IF(AND(K78="",O78&lt;0),"OVERDUE","IN TIME")))</f>
        <v>IN TIME</v>
      </c>
      <c r="K78" s="13"/>
      <c r="L78" s="13"/>
      <c r="M78" s="13"/>
      <c r="N78" s="13"/>
      <c r="O78" s="13"/>
      <c r="P78" s="20" t="s">
        <v>663</v>
      </c>
      <c r="Q78" s="199"/>
      <c r="R78" s="200"/>
      <c r="S78" s="200"/>
      <c r="T78" s="200"/>
      <c r="U78" s="200"/>
      <c r="V78" s="200"/>
      <c r="W78" s="200"/>
      <c r="X78" s="200"/>
      <c r="Y78" s="200"/>
      <c r="Z78" s="200"/>
      <c r="AA78" s="200"/>
      <c r="AB78" s="200"/>
      <c r="AC78" s="27"/>
      <c r="AD78" s="27"/>
    </row>
    <row r="79" spans="1:30" ht="24.6" customHeight="1" x14ac:dyDescent="0.15">
      <c r="A79" s="15">
        <v>314</v>
      </c>
      <c r="B79" s="11"/>
      <c r="C79" s="16"/>
      <c r="D79" s="13"/>
      <c r="E79" s="13"/>
      <c r="F79" s="14"/>
      <c r="G79" s="14"/>
      <c r="H79" s="14"/>
      <c r="I79" s="14"/>
      <c r="J79" s="13" t="str">
        <f t="shared" ref="J79" ca="1" si="193">IF(AND(I79&lt;=$C$2,I79&lt;&gt;0),"DONE",IF(K79&lt;0,"OVERDUE",IF(AND(K79="",O79&lt;0),"OVERDUE","IN TIME")))</f>
        <v>IN TIME</v>
      </c>
      <c r="K79" s="13"/>
      <c r="L79" s="13"/>
      <c r="M79" s="13"/>
      <c r="N79" s="13"/>
      <c r="O79" s="13"/>
      <c r="P79" s="20"/>
      <c r="Q79" s="199"/>
      <c r="R79" s="200"/>
      <c r="S79" s="200"/>
      <c r="T79" s="200"/>
      <c r="U79" s="200"/>
      <c r="V79" s="200"/>
      <c r="W79" s="200"/>
      <c r="X79" s="200"/>
      <c r="Y79" s="200"/>
      <c r="Z79" s="200"/>
      <c r="AA79" s="200"/>
      <c r="AB79" s="200"/>
      <c r="AC79" s="27"/>
      <c r="AD79" s="27"/>
    </row>
    <row r="80" spans="1:30" ht="24.6" customHeight="1" x14ac:dyDescent="0.15">
      <c r="A80" s="15">
        <v>315</v>
      </c>
      <c r="B80" s="11"/>
      <c r="C80" s="205" t="s">
        <v>678</v>
      </c>
      <c r="D80" s="13" t="s">
        <v>24</v>
      </c>
      <c r="E80" s="13" t="s">
        <v>664</v>
      </c>
      <c r="F80" s="14">
        <v>44347</v>
      </c>
      <c r="G80" s="14">
        <v>44361</v>
      </c>
      <c r="H80" s="14"/>
      <c r="I80" s="14"/>
      <c r="J80" s="13" t="str">
        <f t="shared" ref="J80" ca="1" si="194">IF(AND(I80&lt;=$C$2,I80&lt;&gt;0),"DONE",IF(K80&lt;0,"OVERDUE",IF(AND(K80="",O80&lt;0),"OVERDUE","IN TIME")))</f>
        <v>IN TIME</v>
      </c>
      <c r="K80" s="13"/>
      <c r="L80" s="13"/>
      <c r="M80" s="13"/>
      <c r="N80" s="13"/>
      <c r="O80" s="13"/>
      <c r="P80" s="20" t="s">
        <v>671</v>
      </c>
      <c r="Q80" s="199"/>
      <c r="R80" s="200"/>
      <c r="S80" s="200"/>
      <c r="T80" s="200"/>
      <c r="U80" s="200"/>
      <c r="V80" s="200"/>
      <c r="W80" s="200"/>
      <c r="X80" s="200"/>
      <c r="Y80" s="200"/>
      <c r="Z80" s="200"/>
      <c r="AA80" s="200"/>
      <c r="AB80" s="200"/>
      <c r="AC80" s="27"/>
      <c r="AD80" s="27"/>
    </row>
    <row r="81" spans="1:30" ht="24.6" customHeight="1" x14ac:dyDescent="0.15">
      <c r="A81" s="15">
        <v>316</v>
      </c>
      <c r="B81" s="11"/>
      <c r="C81" s="16" t="s">
        <v>665</v>
      </c>
      <c r="D81" s="13"/>
      <c r="E81" s="13" t="s">
        <v>358</v>
      </c>
      <c r="F81" s="14">
        <v>44010</v>
      </c>
      <c r="G81" s="14">
        <v>44021</v>
      </c>
      <c r="H81" s="14"/>
      <c r="I81" s="14"/>
      <c r="J81" s="13" t="str">
        <f t="shared" ref="J81" ca="1" si="195">IF(AND(I81&lt;=$C$2,I81&lt;&gt;0),"DONE",IF(K81&lt;0,"OVERDUE",IF(AND(K81="",O81&lt;0),"OVERDUE","IN TIME")))</f>
        <v>IN TIME</v>
      </c>
      <c r="K81" s="13"/>
      <c r="L81" s="13"/>
      <c r="M81" s="13"/>
      <c r="N81" s="13"/>
      <c r="O81" s="13"/>
      <c r="P81" s="20" t="s">
        <v>672</v>
      </c>
      <c r="Q81" s="199"/>
      <c r="R81" s="200"/>
      <c r="S81" s="200"/>
      <c r="T81" s="200"/>
      <c r="U81" s="200"/>
      <c r="V81" s="200"/>
      <c r="W81" s="200"/>
      <c r="X81" s="200"/>
      <c r="Y81" s="200"/>
      <c r="Z81" s="200"/>
      <c r="AA81" s="200"/>
      <c r="AB81" s="200"/>
      <c r="AC81" s="27"/>
      <c r="AD81" s="27"/>
    </row>
    <row r="82" spans="1:30" ht="24.6" customHeight="1" x14ac:dyDescent="0.15">
      <c r="A82" s="15">
        <v>317</v>
      </c>
      <c r="B82" s="11"/>
      <c r="C82" s="16" t="s">
        <v>666</v>
      </c>
      <c r="D82" s="13"/>
      <c r="E82" s="13"/>
      <c r="F82" s="14"/>
      <c r="G82" s="14"/>
      <c r="H82" s="14"/>
      <c r="I82" s="14"/>
      <c r="J82" s="13" t="str">
        <f t="shared" ref="J82" ca="1" si="196">IF(AND(I82&lt;=$C$2,I82&lt;&gt;0),"DONE",IF(K82&lt;0,"OVERDUE",IF(AND(K82="",O82&lt;0),"OVERDUE","IN TIME")))</f>
        <v>IN TIME</v>
      </c>
      <c r="K82" s="13"/>
      <c r="L82" s="13"/>
      <c r="M82" s="13"/>
      <c r="N82" s="13"/>
      <c r="O82" s="13"/>
      <c r="P82" s="20"/>
      <c r="Q82" s="201"/>
      <c r="R82" s="202"/>
      <c r="S82" s="202"/>
      <c r="T82" s="202"/>
      <c r="U82" s="202"/>
      <c r="V82" s="202"/>
      <c r="W82" s="202"/>
      <c r="X82" s="202"/>
      <c r="Y82" s="202"/>
      <c r="Z82" s="202"/>
      <c r="AA82" s="202"/>
      <c r="AB82" s="202"/>
      <c r="AC82" s="27"/>
      <c r="AD82" s="27"/>
    </row>
    <row r="83" spans="1:30" ht="24.6" customHeight="1" x14ac:dyDescent="0.15">
      <c r="A83" s="15">
        <v>318</v>
      </c>
      <c r="B83" s="11"/>
      <c r="C83" s="16" t="s">
        <v>667</v>
      </c>
      <c r="D83" s="13"/>
      <c r="E83" s="13" t="s">
        <v>674</v>
      </c>
      <c r="F83" s="14">
        <v>44010</v>
      </c>
      <c r="G83" s="14">
        <v>44021</v>
      </c>
      <c r="H83" s="14"/>
      <c r="I83" s="14"/>
      <c r="J83" s="13" t="str">
        <f t="shared" ref="J83" ca="1" si="197">IF(AND(I83&lt;=$C$2,I83&lt;&gt;0),"DONE",IF(K83&lt;0,"OVERDUE",IF(AND(K83="",O83&lt;0),"OVERDUE","IN TIME")))</f>
        <v>IN TIME</v>
      </c>
      <c r="K83" s="13"/>
      <c r="L83" s="13"/>
      <c r="M83" s="13"/>
      <c r="N83" s="13"/>
      <c r="O83" s="13"/>
      <c r="P83" s="20" t="s">
        <v>673</v>
      </c>
      <c r="Q83" s="201"/>
      <c r="R83" s="202"/>
      <c r="S83" s="202"/>
      <c r="T83" s="202"/>
      <c r="U83" s="202"/>
      <c r="V83" s="202"/>
      <c r="W83" s="202"/>
      <c r="X83" s="202"/>
      <c r="Y83" s="202"/>
      <c r="Z83" s="202"/>
      <c r="AA83" s="202"/>
      <c r="AB83" s="202"/>
      <c r="AC83" s="27"/>
      <c r="AD83" s="27"/>
    </row>
    <row r="84" spans="1:30" ht="24.6" customHeight="1" x14ac:dyDescent="0.15">
      <c r="A84" s="15">
        <v>319</v>
      </c>
      <c r="B84" s="11"/>
      <c r="C84" s="16" t="s">
        <v>668</v>
      </c>
      <c r="D84" s="13"/>
      <c r="E84" s="13"/>
      <c r="F84" s="14"/>
      <c r="G84" s="14"/>
      <c r="H84" s="14"/>
      <c r="I84" s="14"/>
      <c r="J84" s="13" t="str">
        <f t="shared" ref="J84" ca="1" si="198">IF(AND(I84&lt;=$C$2,I84&lt;&gt;0),"DONE",IF(K84&lt;0,"OVERDUE",IF(AND(K84="",O84&lt;0),"OVERDUE","IN TIME")))</f>
        <v>IN TIME</v>
      </c>
      <c r="K84" s="13"/>
      <c r="L84" s="13"/>
      <c r="M84" s="13"/>
      <c r="N84" s="13"/>
      <c r="O84" s="13"/>
      <c r="P84" s="20"/>
      <c r="Q84" s="201"/>
      <c r="R84" s="202"/>
      <c r="S84" s="202"/>
      <c r="T84" s="202"/>
      <c r="U84" s="202"/>
      <c r="V84" s="202"/>
      <c r="W84" s="202"/>
      <c r="X84" s="202"/>
      <c r="Y84" s="202"/>
      <c r="Z84" s="202"/>
      <c r="AA84" s="202"/>
      <c r="AB84" s="202"/>
      <c r="AC84" s="27"/>
      <c r="AD84" s="27"/>
    </row>
    <row r="85" spans="1:30" ht="24.6" customHeight="1" x14ac:dyDescent="0.15">
      <c r="A85" s="15">
        <v>320</v>
      </c>
      <c r="B85" s="11"/>
      <c r="C85" s="16" t="s">
        <v>669</v>
      </c>
      <c r="D85" s="13"/>
      <c r="E85" s="13"/>
      <c r="F85" s="14"/>
      <c r="G85" s="14"/>
      <c r="H85" s="14"/>
      <c r="I85" s="14"/>
      <c r="J85" s="13" t="str">
        <f t="shared" ref="J85" ca="1" si="199">IF(AND(I85&lt;=$C$2,I85&lt;&gt;0),"DONE",IF(K85&lt;0,"OVERDUE",IF(AND(K85="",O85&lt;0),"OVERDUE","IN TIME")))</f>
        <v>IN TIME</v>
      </c>
      <c r="K85" s="13"/>
      <c r="L85" s="13"/>
      <c r="M85" s="13"/>
      <c r="N85" s="13"/>
      <c r="O85" s="13"/>
      <c r="P85" s="20"/>
      <c r="Q85" s="201"/>
      <c r="R85" s="202"/>
      <c r="S85" s="202"/>
      <c r="T85" s="202"/>
      <c r="U85" s="202"/>
      <c r="V85" s="202"/>
      <c r="W85" s="202"/>
      <c r="X85" s="202"/>
      <c r="Y85" s="202"/>
      <c r="Z85" s="202"/>
      <c r="AA85" s="202"/>
      <c r="AB85" s="202"/>
      <c r="AC85" s="27"/>
      <c r="AD85" s="27"/>
    </row>
    <row r="86" spans="1:30" ht="24.6" customHeight="1" x14ac:dyDescent="0.15">
      <c r="A86" s="15">
        <v>321</v>
      </c>
      <c r="B86" s="11"/>
      <c r="C86" s="16" t="s">
        <v>676</v>
      </c>
      <c r="D86" s="13" t="s">
        <v>24</v>
      </c>
      <c r="E86" s="13" t="s">
        <v>358</v>
      </c>
      <c r="F86" s="14">
        <v>44003</v>
      </c>
      <c r="G86" s="14">
        <v>44021</v>
      </c>
      <c r="H86" s="14"/>
      <c r="I86" s="14"/>
      <c r="J86" s="13" t="str">
        <f t="shared" ref="J86:J87" ca="1" si="200">IF(AND(I86&lt;=$C$2,I86&lt;&gt;0),"DONE",IF(K86&lt;0,"OVERDUE",IF(AND(K86="",O86&lt;0),"OVERDUE","IN TIME")))</f>
        <v>IN TIME</v>
      </c>
      <c r="K86" s="13"/>
      <c r="L86" s="13"/>
      <c r="M86" s="13"/>
      <c r="N86" s="13"/>
      <c r="O86" s="13"/>
      <c r="P86" s="20" t="s">
        <v>677</v>
      </c>
      <c r="Q86" s="201"/>
      <c r="R86" s="202"/>
      <c r="S86" s="202"/>
      <c r="T86" s="202"/>
      <c r="U86" s="202"/>
      <c r="V86" s="202"/>
      <c r="W86" s="202"/>
      <c r="X86" s="202"/>
      <c r="Y86" s="202"/>
      <c r="Z86" s="202"/>
      <c r="AA86" s="202"/>
      <c r="AB86" s="202"/>
      <c r="AC86" s="27"/>
      <c r="AD86" s="27"/>
    </row>
    <row r="87" spans="1:30" ht="24.4" customHeight="1" x14ac:dyDescent="0.15">
      <c r="A87" s="15">
        <v>322</v>
      </c>
      <c r="B87" s="11"/>
      <c r="C87" s="16" t="s">
        <v>680</v>
      </c>
      <c r="D87" s="13" t="s">
        <v>24</v>
      </c>
      <c r="E87" s="13" t="s">
        <v>358</v>
      </c>
      <c r="F87" s="14">
        <v>44003</v>
      </c>
      <c r="G87" s="14">
        <v>44014</v>
      </c>
      <c r="H87" s="14"/>
      <c r="I87" s="14"/>
      <c r="J87" s="13" t="str">
        <f t="shared" ca="1" si="200"/>
        <v>IN TIME</v>
      </c>
      <c r="K87" s="13"/>
      <c r="L87" s="13"/>
      <c r="M87" s="13"/>
      <c r="N87" s="13"/>
      <c r="O87" s="13"/>
      <c r="P87" s="20" t="s">
        <v>681</v>
      </c>
      <c r="Q87" s="203"/>
      <c r="R87" s="204"/>
      <c r="S87" s="204"/>
      <c r="T87" s="204"/>
      <c r="U87" s="204"/>
      <c r="V87" s="204"/>
      <c r="W87" s="204"/>
      <c r="X87" s="204"/>
      <c r="Y87" s="204"/>
      <c r="Z87" s="204"/>
      <c r="AA87" s="204"/>
      <c r="AB87" s="204"/>
      <c r="AC87" s="27"/>
      <c r="AD87" s="27"/>
    </row>
    <row r="88" spans="1:30" ht="24.4" customHeight="1" x14ac:dyDescent="0.15">
      <c r="A88" s="15">
        <v>323</v>
      </c>
      <c r="B88" s="11"/>
      <c r="C88" s="16"/>
      <c r="D88" s="13"/>
      <c r="E88" s="13"/>
      <c r="F88" s="14"/>
      <c r="G88" s="14"/>
      <c r="H88" s="14"/>
      <c r="I88" s="14"/>
      <c r="J88" s="13"/>
      <c r="K88" s="13"/>
      <c r="L88" s="13"/>
      <c r="M88" s="13"/>
      <c r="N88" s="13"/>
      <c r="O88" s="13"/>
      <c r="P88" s="20"/>
      <c r="Q88" s="203"/>
      <c r="R88" s="204"/>
      <c r="S88" s="204"/>
      <c r="T88" s="204"/>
      <c r="U88" s="204"/>
      <c r="V88" s="204"/>
      <c r="W88" s="204"/>
      <c r="X88" s="204"/>
      <c r="Y88" s="204"/>
      <c r="Z88" s="204"/>
      <c r="AA88" s="204"/>
      <c r="AB88" s="204"/>
      <c r="AC88" s="27"/>
      <c r="AD88" s="27"/>
    </row>
  </sheetData>
  <autoFilter ref="A3:P30"/>
  <mergeCells count="3">
    <mergeCell ref="A1:P1"/>
    <mergeCell ref="A2:B2"/>
    <mergeCell ref="Q3:AB14"/>
  </mergeCells>
  <phoneticPr fontId="34" type="noConversion"/>
  <conditionalFormatting sqref="J4">
    <cfRule type="cellIs" dxfId="542" priority="277" operator="equal">
      <formula>"OVERDUE"</formula>
    </cfRule>
    <cfRule type="cellIs" dxfId="541" priority="278" operator="equal">
      <formula>"DONE"</formula>
    </cfRule>
    <cfRule type="cellIs" dxfId="540" priority="279" operator="equal">
      <formula>"DONE"</formula>
    </cfRule>
  </conditionalFormatting>
  <conditionalFormatting sqref="J5">
    <cfRule type="cellIs" dxfId="539" priority="274" operator="equal">
      <formula>"OVERDUE"</formula>
    </cfRule>
    <cfRule type="cellIs" dxfId="538" priority="275" operator="equal">
      <formula>"DONE"</formula>
    </cfRule>
    <cfRule type="cellIs" dxfId="537" priority="276" operator="equal">
      <formula>"DONE"</formula>
    </cfRule>
  </conditionalFormatting>
  <conditionalFormatting sqref="J6">
    <cfRule type="cellIs" dxfId="536" priority="271" operator="equal">
      <formula>"OVERDUE"</formula>
    </cfRule>
    <cfRule type="cellIs" dxfId="535" priority="272" operator="equal">
      <formula>"DONE"</formula>
    </cfRule>
    <cfRule type="cellIs" dxfId="534" priority="273" operator="equal">
      <formula>"DONE"</formula>
    </cfRule>
  </conditionalFormatting>
  <conditionalFormatting sqref="J7">
    <cfRule type="cellIs" dxfId="533" priority="268" operator="equal">
      <formula>"OVERDUE"</formula>
    </cfRule>
    <cfRule type="cellIs" dxfId="532" priority="269" operator="equal">
      <formula>"DONE"</formula>
    </cfRule>
    <cfRule type="cellIs" dxfId="531" priority="270" operator="equal">
      <formula>"DONE"</formula>
    </cfRule>
  </conditionalFormatting>
  <conditionalFormatting sqref="J8">
    <cfRule type="cellIs" dxfId="530" priority="265" operator="equal">
      <formula>"OVERDUE"</formula>
    </cfRule>
    <cfRule type="cellIs" dxfId="529" priority="266" operator="equal">
      <formula>"DONE"</formula>
    </cfRule>
    <cfRule type="cellIs" dxfId="528" priority="267" operator="equal">
      <formula>"DONE"</formula>
    </cfRule>
  </conditionalFormatting>
  <conditionalFormatting sqref="J9">
    <cfRule type="cellIs" dxfId="527" priority="262" operator="equal">
      <formula>"OVERDUE"</formula>
    </cfRule>
    <cfRule type="cellIs" dxfId="526" priority="263" operator="equal">
      <formula>"DONE"</formula>
    </cfRule>
    <cfRule type="cellIs" dxfId="525" priority="264" operator="equal">
      <formula>"DONE"</formula>
    </cfRule>
  </conditionalFormatting>
  <conditionalFormatting sqref="J10">
    <cfRule type="cellIs" dxfId="524" priority="259" operator="equal">
      <formula>"OVERDUE"</formula>
    </cfRule>
    <cfRule type="cellIs" dxfId="523" priority="260" operator="equal">
      <formula>"DONE"</formula>
    </cfRule>
    <cfRule type="cellIs" dxfId="522" priority="261" operator="equal">
      <formula>"DONE"</formula>
    </cfRule>
  </conditionalFormatting>
  <conditionalFormatting sqref="J11">
    <cfRule type="cellIs" dxfId="521" priority="256" operator="equal">
      <formula>"OVERDUE"</formula>
    </cfRule>
    <cfRule type="cellIs" dxfId="520" priority="257" operator="equal">
      <formula>"DONE"</formula>
    </cfRule>
    <cfRule type="cellIs" dxfId="519" priority="258" operator="equal">
      <formula>"DONE"</formula>
    </cfRule>
  </conditionalFormatting>
  <conditionalFormatting sqref="J12">
    <cfRule type="cellIs" dxfId="518" priority="253" operator="equal">
      <formula>"OVERDUE"</formula>
    </cfRule>
    <cfRule type="cellIs" dxfId="517" priority="254" operator="equal">
      <formula>"DONE"</formula>
    </cfRule>
    <cfRule type="cellIs" dxfId="516" priority="255" operator="equal">
      <formula>"DONE"</formula>
    </cfRule>
  </conditionalFormatting>
  <conditionalFormatting sqref="J13">
    <cfRule type="cellIs" dxfId="515" priority="250" operator="equal">
      <formula>"OVERDUE"</formula>
    </cfRule>
    <cfRule type="cellIs" dxfId="514" priority="251" operator="equal">
      <formula>"DONE"</formula>
    </cfRule>
    <cfRule type="cellIs" dxfId="513" priority="252" operator="equal">
      <formula>"DONE"</formula>
    </cfRule>
  </conditionalFormatting>
  <conditionalFormatting sqref="J14">
    <cfRule type="cellIs" dxfId="512" priority="247" operator="equal">
      <formula>"OVERDUE"</formula>
    </cfRule>
    <cfRule type="cellIs" dxfId="511" priority="248" operator="equal">
      <formula>"DONE"</formula>
    </cfRule>
    <cfRule type="cellIs" dxfId="510" priority="249" operator="equal">
      <formula>"DONE"</formula>
    </cfRule>
  </conditionalFormatting>
  <conditionalFormatting sqref="J15">
    <cfRule type="cellIs" dxfId="509" priority="244" operator="equal">
      <formula>"OVERDUE"</formula>
    </cfRule>
    <cfRule type="cellIs" dxfId="508" priority="245" operator="equal">
      <formula>"DONE"</formula>
    </cfRule>
    <cfRule type="cellIs" dxfId="507" priority="246" operator="equal">
      <formula>"DONE"</formula>
    </cfRule>
  </conditionalFormatting>
  <conditionalFormatting sqref="J16">
    <cfRule type="cellIs" dxfId="506" priority="241" operator="equal">
      <formula>"OVERDUE"</formula>
    </cfRule>
    <cfRule type="cellIs" dxfId="505" priority="242" operator="equal">
      <formula>"DONE"</formula>
    </cfRule>
    <cfRule type="cellIs" dxfId="504" priority="243" operator="equal">
      <formula>"DONE"</formula>
    </cfRule>
  </conditionalFormatting>
  <conditionalFormatting sqref="J17">
    <cfRule type="cellIs" dxfId="503" priority="238" operator="equal">
      <formula>"OVERDUE"</formula>
    </cfRule>
    <cfRule type="cellIs" dxfId="502" priority="239" operator="equal">
      <formula>"DONE"</formula>
    </cfRule>
    <cfRule type="cellIs" dxfId="501" priority="240" operator="equal">
      <formula>"DONE"</formula>
    </cfRule>
  </conditionalFormatting>
  <conditionalFormatting sqref="J18">
    <cfRule type="cellIs" dxfId="500" priority="235" operator="equal">
      <formula>"OVERDUE"</formula>
    </cfRule>
    <cfRule type="cellIs" dxfId="499" priority="236" operator="equal">
      <formula>"DONE"</formula>
    </cfRule>
    <cfRule type="cellIs" dxfId="498" priority="237" operator="equal">
      <formula>"DONE"</formula>
    </cfRule>
  </conditionalFormatting>
  <conditionalFormatting sqref="J19">
    <cfRule type="cellIs" dxfId="497" priority="232" operator="equal">
      <formula>"OVERDUE"</formula>
    </cfRule>
    <cfRule type="cellIs" dxfId="496" priority="233" operator="equal">
      <formula>"DONE"</formula>
    </cfRule>
    <cfRule type="cellIs" dxfId="495" priority="234" operator="equal">
      <formula>"DONE"</formula>
    </cfRule>
  </conditionalFormatting>
  <conditionalFormatting sqref="J20">
    <cfRule type="cellIs" dxfId="494" priority="229" operator="equal">
      <formula>"OVERDUE"</formula>
    </cfRule>
    <cfRule type="cellIs" dxfId="493" priority="230" operator="equal">
      <formula>"DONE"</formula>
    </cfRule>
    <cfRule type="cellIs" dxfId="492" priority="231" operator="equal">
      <formula>"DONE"</formula>
    </cfRule>
  </conditionalFormatting>
  <conditionalFormatting sqref="J21">
    <cfRule type="cellIs" dxfId="491" priority="226" operator="equal">
      <formula>"OVERDUE"</formula>
    </cfRule>
    <cfRule type="cellIs" dxfId="490" priority="227" operator="equal">
      <formula>"DONE"</formula>
    </cfRule>
    <cfRule type="cellIs" dxfId="489" priority="228" operator="equal">
      <formula>"DONE"</formula>
    </cfRule>
  </conditionalFormatting>
  <conditionalFormatting sqref="J22">
    <cfRule type="cellIs" dxfId="488" priority="223" operator="equal">
      <formula>"OVERDUE"</formula>
    </cfRule>
    <cfRule type="cellIs" dxfId="487" priority="224" operator="equal">
      <formula>"DONE"</formula>
    </cfRule>
    <cfRule type="cellIs" dxfId="486" priority="225" operator="equal">
      <formula>"DONE"</formula>
    </cfRule>
  </conditionalFormatting>
  <conditionalFormatting sqref="J23">
    <cfRule type="cellIs" dxfId="485" priority="220" operator="equal">
      <formula>"OVERDUE"</formula>
    </cfRule>
    <cfRule type="cellIs" dxfId="484" priority="221" operator="equal">
      <formula>"DONE"</formula>
    </cfRule>
    <cfRule type="cellIs" dxfId="483" priority="222" operator="equal">
      <formula>"DONE"</formula>
    </cfRule>
  </conditionalFormatting>
  <conditionalFormatting sqref="J24">
    <cfRule type="cellIs" dxfId="482" priority="217" operator="equal">
      <formula>"OVERDUE"</formula>
    </cfRule>
    <cfRule type="cellIs" dxfId="481" priority="218" operator="equal">
      <formula>"DONE"</formula>
    </cfRule>
    <cfRule type="cellIs" dxfId="480" priority="219" operator="equal">
      <formula>"DONE"</formula>
    </cfRule>
  </conditionalFormatting>
  <conditionalFormatting sqref="J25">
    <cfRule type="cellIs" dxfId="479" priority="214" operator="equal">
      <formula>"OVERDUE"</formula>
    </cfRule>
    <cfRule type="cellIs" dxfId="478" priority="215" operator="equal">
      <formula>"DONE"</formula>
    </cfRule>
    <cfRule type="cellIs" dxfId="477" priority="216" operator="equal">
      <formula>"DONE"</formula>
    </cfRule>
  </conditionalFormatting>
  <conditionalFormatting sqref="J26">
    <cfRule type="cellIs" dxfId="476" priority="211" operator="equal">
      <formula>"OVERDUE"</formula>
    </cfRule>
    <cfRule type="cellIs" dxfId="475" priority="212" operator="equal">
      <formula>"DONE"</formula>
    </cfRule>
    <cfRule type="cellIs" dxfId="474" priority="213" operator="equal">
      <formula>"DONE"</formula>
    </cfRule>
  </conditionalFormatting>
  <conditionalFormatting sqref="J27">
    <cfRule type="cellIs" dxfId="473" priority="208" operator="equal">
      <formula>"OVERDUE"</formula>
    </cfRule>
    <cfRule type="cellIs" dxfId="472" priority="209" operator="equal">
      <formula>"DONE"</formula>
    </cfRule>
    <cfRule type="cellIs" dxfId="471" priority="210" operator="equal">
      <formula>"DONE"</formula>
    </cfRule>
  </conditionalFormatting>
  <conditionalFormatting sqref="J28">
    <cfRule type="cellIs" dxfId="470" priority="205" operator="equal">
      <formula>"OVERDUE"</formula>
    </cfRule>
    <cfRule type="cellIs" dxfId="469" priority="206" operator="equal">
      <formula>"DONE"</formula>
    </cfRule>
    <cfRule type="cellIs" dxfId="468" priority="207" operator="equal">
      <formula>"DONE"</formula>
    </cfRule>
  </conditionalFormatting>
  <conditionalFormatting sqref="J29">
    <cfRule type="cellIs" dxfId="467" priority="202" operator="equal">
      <formula>"OVERDUE"</formula>
    </cfRule>
    <cfRule type="cellIs" dxfId="466" priority="203" operator="equal">
      <formula>"DONE"</formula>
    </cfRule>
    <cfRule type="cellIs" dxfId="465" priority="204" operator="equal">
      <formula>"DONE"</formula>
    </cfRule>
  </conditionalFormatting>
  <conditionalFormatting sqref="J30">
    <cfRule type="cellIs" dxfId="464" priority="199" operator="equal">
      <formula>"OVERDUE"</formula>
    </cfRule>
    <cfRule type="cellIs" dxfId="463" priority="200" operator="equal">
      <formula>"DONE"</formula>
    </cfRule>
    <cfRule type="cellIs" dxfId="462" priority="201" operator="equal">
      <formula>"DONE"</formula>
    </cfRule>
  </conditionalFormatting>
  <conditionalFormatting sqref="J2:J3 J89:J1048576">
    <cfRule type="cellIs" dxfId="461" priority="298" operator="equal">
      <formula>"OVERDUE"</formula>
    </cfRule>
    <cfRule type="cellIs" dxfId="460" priority="299" operator="equal">
      <formula>"DONE"</formula>
    </cfRule>
    <cfRule type="cellIs" dxfId="459" priority="300" operator="equal">
      <formula>"DONE"</formula>
    </cfRule>
  </conditionalFormatting>
  <conditionalFormatting sqref="J31">
    <cfRule type="cellIs" dxfId="458" priority="196" operator="equal">
      <formula>"OVERDUE"</formula>
    </cfRule>
    <cfRule type="cellIs" dxfId="457" priority="197" operator="equal">
      <formula>"DONE"</formula>
    </cfRule>
    <cfRule type="cellIs" dxfId="456" priority="198" operator="equal">
      <formula>"DONE"</formula>
    </cfRule>
  </conditionalFormatting>
  <conditionalFormatting sqref="J32">
    <cfRule type="cellIs" dxfId="455" priority="193" operator="equal">
      <formula>"OVERDUE"</formula>
    </cfRule>
    <cfRule type="cellIs" dxfId="454" priority="194" operator="equal">
      <formula>"DONE"</formula>
    </cfRule>
    <cfRule type="cellIs" dxfId="453" priority="195" operator="equal">
      <formula>"DONE"</formula>
    </cfRule>
  </conditionalFormatting>
  <conditionalFormatting sqref="J33">
    <cfRule type="cellIs" dxfId="452" priority="190" operator="equal">
      <formula>"OVERDUE"</formula>
    </cfRule>
    <cfRule type="cellIs" dxfId="451" priority="191" operator="equal">
      <formula>"DONE"</formula>
    </cfRule>
    <cfRule type="cellIs" dxfId="450" priority="192" operator="equal">
      <formula>"DONE"</formula>
    </cfRule>
  </conditionalFormatting>
  <conditionalFormatting sqref="J34">
    <cfRule type="cellIs" dxfId="449" priority="187" operator="equal">
      <formula>"OVERDUE"</formula>
    </cfRule>
    <cfRule type="cellIs" dxfId="448" priority="188" operator="equal">
      <formula>"DONE"</formula>
    </cfRule>
    <cfRule type="cellIs" dxfId="447" priority="189" operator="equal">
      <formula>"DONE"</formula>
    </cfRule>
  </conditionalFormatting>
  <conditionalFormatting sqref="J35:J38">
    <cfRule type="cellIs" dxfId="446" priority="184" operator="equal">
      <formula>"OVERDUE"</formula>
    </cfRule>
    <cfRule type="cellIs" dxfId="445" priority="185" operator="equal">
      <formula>"DONE"</formula>
    </cfRule>
    <cfRule type="cellIs" dxfId="444" priority="186" operator="equal">
      <formula>"DONE"</formula>
    </cfRule>
  </conditionalFormatting>
  <conditionalFormatting sqref="J39">
    <cfRule type="cellIs" dxfId="443" priority="172" operator="equal">
      <formula>"OVERDUE"</formula>
    </cfRule>
    <cfRule type="cellIs" dxfId="442" priority="173" operator="equal">
      <formula>"DONE"</formula>
    </cfRule>
    <cfRule type="cellIs" dxfId="441" priority="174" operator="equal">
      <formula>"DONE"</formula>
    </cfRule>
  </conditionalFormatting>
  <conditionalFormatting sqref="J40">
    <cfRule type="cellIs" dxfId="440" priority="169" operator="equal">
      <formula>"OVERDUE"</formula>
    </cfRule>
    <cfRule type="cellIs" dxfId="439" priority="170" operator="equal">
      <formula>"DONE"</formula>
    </cfRule>
    <cfRule type="cellIs" dxfId="438" priority="171" operator="equal">
      <formula>"DONE"</formula>
    </cfRule>
  </conditionalFormatting>
  <conditionalFormatting sqref="J41">
    <cfRule type="cellIs" dxfId="437" priority="145" operator="equal">
      <formula>"OVERDUE"</formula>
    </cfRule>
    <cfRule type="cellIs" dxfId="436" priority="146" operator="equal">
      <formula>"DONE"</formula>
    </cfRule>
    <cfRule type="cellIs" dxfId="435" priority="147" operator="equal">
      <formula>"DONE"</formula>
    </cfRule>
  </conditionalFormatting>
  <conditionalFormatting sqref="J44">
    <cfRule type="cellIs" dxfId="434" priority="142" operator="equal">
      <formula>"OVERDUE"</formula>
    </cfRule>
    <cfRule type="cellIs" dxfId="433" priority="143" operator="equal">
      <formula>"DONE"</formula>
    </cfRule>
    <cfRule type="cellIs" dxfId="432" priority="144" operator="equal">
      <formula>"DONE"</formula>
    </cfRule>
  </conditionalFormatting>
  <conditionalFormatting sqref="J42">
    <cfRule type="cellIs" dxfId="431" priority="124" operator="equal">
      <formula>"OVERDUE"</formula>
    </cfRule>
    <cfRule type="cellIs" dxfId="430" priority="125" operator="equal">
      <formula>"DONE"</formula>
    </cfRule>
    <cfRule type="cellIs" dxfId="429" priority="126" operator="equal">
      <formula>"DONE"</formula>
    </cfRule>
  </conditionalFormatting>
  <conditionalFormatting sqref="J43">
    <cfRule type="cellIs" dxfId="428" priority="121" operator="equal">
      <formula>"OVERDUE"</formula>
    </cfRule>
    <cfRule type="cellIs" dxfId="427" priority="122" operator="equal">
      <formula>"DONE"</formula>
    </cfRule>
    <cfRule type="cellIs" dxfId="426" priority="123" operator="equal">
      <formula>"DONE"</formula>
    </cfRule>
  </conditionalFormatting>
  <conditionalFormatting sqref="J45:J47">
    <cfRule type="cellIs" dxfId="425" priority="118" operator="equal">
      <formula>"OVERDUE"</formula>
    </cfRule>
    <cfRule type="cellIs" dxfId="424" priority="119" operator="equal">
      <formula>"DONE"</formula>
    </cfRule>
    <cfRule type="cellIs" dxfId="423" priority="120" operator="equal">
      <formula>"DONE"</formula>
    </cfRule>
  </conditionalFormatting>
  <conditionalFormatting sqref="J48">
    <cfRule type="cellIs" dxfId="422" priority="115" operator="equal">
      <formula>"OVERDUE"</formula>
    </cfRule>
    <cfRule type="cellIs" dxfId="421" priority="116" operator="equal">
      <formula>"DONE"</formula>
    </cfRule>
    <cfRule type="cellIs" dxfId="420" priority="117" operator="equal">
      <formula>"DONE"</formula>
    </cfRule>
  </conditionalFormatting>
  <conditionalFormatting sqref="J49:J56">
    <cfRule type="cellIs" dxfId="419" priority="112" operator="equal">
      <formula>"OVERDUE"</formula>
    </cfRule>
    <cfRule type="cellIs" dxfId="418" priority="113" operator="equal">
      <formula>"DONE"</formula>
    </cfRule>
    <cfRule type="cellIs" dxfId="417" priority="114" operator="equal">
      <formula>"DONE"</formula>
    </cfRule>
  </conditionalFormatting>
  <conditionalFormatting sqref="J57">
    <cfRule type="cellIs" dxfId="416" priority="97" operator="equal">
      <formula>"OVERDUE"</formula>
    </cfRule>
    <cfRule type="cellIs" dxfId="415" priority="98" operator="equal">
      <formula>"DONE"</formula>
    </cfRule>
    <cfRule type="cellIs" dxfId="414" priority="99" operator="equal">
      <formula>"DONE"</formula>
    </cfRule>
  </conditionalFormatting>
  <conditionalFormatting sqref="J58">
    <cfRule type="cellIs" dxfId="413" priority="94" operator="equal">
      <formula>"OVERDUE"</formula>
    </cfRule>
    <cfRule type="cellIs" dxfId="412" priority="95" operator="equal">
      <formula>"DONE"</formula>
    </cfRule>
    <cfRule type="cellIs" dxfId="411" priority="96" operator="equal">
      <formula>"DONE"</formula>
    </cfRule>
  </conditionalFormatting>
  <conditionalFormatting sqref="J59">
    <cfRule type="cellIs" dxfId="410" priority="91" operator="equal">
      <formula>"OVERDUE"</formula>
    </cfRule>
    <cfRule type="cellIs" dxfId="409" priority="92" operator="equal">
      <formula>"DONE"</formula>
    </cfRule>
    <cfRule type="cellIs" dxfId="408" priority="93" operator="equal">
      <formula>"DONE"</formula>
    </cfRule>
  </conditionalFormatting>
  <conditionalFormatting sqref="J60">
    <cfRule type="cellIs" dxfId="407" priority="88" operator="equal">
      <formula>"OVERDUE"</formula>
    </cfRule>
    <cfRule type="cellIs" dxfId="406" priority="89" operator="equal">
      <formula>"DONE"</formula>
    </cfRule>
    <cfRule type="cellIs" dxfId="405" priority="90" operator="equal">
      <formula>"DONE"</formula>
    </cfRule>
  </conditionalFormatting>
  <conditionalFormatting sqref="J61:J66">
    <cfRule type="cellIs" dxfId="404" priority="85" operator="equal">
      <formula>"OVERDUE"</formula>
    </cfRule>
    <cfRule type="cellIs" dxfId="403" priority="86" operator="equal">
      <formula>"DONE"</formula>
    </cfRule>
    <cfRule type="cellIs" dxfId="402" priority="87" operator="equal">
      <formula>"DONE"</formula>
    </cfRule>
  </conditionalFormatting>
  <conditionalFormatting sqref="J67">
    <cfRule type="cellIs" dxfId="401" priority="67" operator="equal">
      <formula>"OVERDUE"</formula>
    </cfRule>
    <cfRule type="cellIs" dxfId="400" priority="68" operator="equal">
      <formula>"DONE"</formula>
    </cfRule>
    <cfRule type="cellIs" dxfId="399" priority="69" operator="equal">
      <formula>"DONE"</formula>
    </cfRule>
  </conditionalFormatting>
  <conditionalFormatting sqref="J68">
    <cfRule type="cellIs" dxfId="398" priority="64" operator="equal">
      <formula>"OVERDUE"</formula>
    </cfRule>
    <cfRule type="cellIs" dxfId="397" priority="65" operator="equal">
      <formula>"DONE"</formula>
    </cfRule>
    <cfRule type="cellIs" dxfId="396" priority="66" operator="equal">
      <formula>"DONE"</formula>
    </cfRule>
  </conditionalFormatting>
  <conditionalFormatting sqref="J69">
    <cfRule type="cellIs" dxfId="395" priority="61" operator="equal">
      <formula>"OVERDUE"</formula>
    </cfRule>
    <cfRule type="cellIs" dxfId="394" priority="62" operator="equal">
      <formula>"DONE"</formula>
    </cfRule>
    <cfRule type="cellIs" dxfId="393" priority="63" operator="equal">
      <formula>"DONE"</formula>
    </cfRule>
  </conditionalFormatting>
  <conditionalFormatting sqref="J70">
    <cfRule type="cellIs" dxfId="392" priority="58" operator="equal">
      <formula>"OVERDUE"</formula>
    </cfRule>
    <cfRule type="cellIs" dxfId="391" priority="59" operator="equal">
      <formula>"DONE"</formula>
    </cfRule>
    <cfRule type="cellIs" dxfId="390" priority="60" operator="equal">
      <formula>"DONE"</formula>
    </cfRule>
  </conditionalFormatting>
  <conditionalFormatting sqref="J71">
    <cfRule type="cellIs" dxfId="389" priority="55" operator="equal">
      <formula>"OVERDUE"</formula>
    </cfRule>
    <cfRule type="cellIs" dxfId="388" priority="56" operator="equal">
      <formula>"DONE"</formula>
    </cfRule>
    <cfRule type="cellIs" dxfId="387" priority="57" operator="equal">
      <formula>"DONE"</formula>
    </cfRule>
  </conditionalFormatting>
  <conditionalFormatting sqref="J72">
    <cfRule type="cellIs" dxfId="386" priority="52" operator="equal">
      <formula>"OVERDUE"</formula>
    </cfRule>
    <cfRule type="cellIs" dxfId="385" priority="53" operator="equal">
      <formula>"DONE"</formula>
    </cfRule>
    <cfRule type="cellIs" dxfId="384" priority="54" operator="equal">
      <formula>"DONE"</formula>
    </cfRule>
  </conditionalFormatting>
  <conditionalFormatting sqref="J73">
    <cfRule type="cellIs" dxfId="383" priority="46" operator="equal">
      <formula>"OVERDUE"</formula>
    </cfRule>
    <cfRule type="cellIs" dxfId="382" priority="47" operator="equal">
      <formula>"DONE"</formula>
    </cfRule>
    <cfRule type="cellIs" dxfId="381" priority="48" operator="equal">
      <formula>"DONE"</formula>
    </cfRule>
  </conditionalFormatting>
  <conditionalFormatting sqref="J74">
    <cfRule type="cellIs" dxfId="380" priority="43" operator="equal">
      <formula>"OVERDUE"</formula>
    </cfRule>
    <cfRule type="cellIs" dxfId="379" priority="44" operator="equal">
      <formula>"DONE"</formula>
    </cfRule>
    <cfRule type="cellIs" dxfId="378" priority="45" operator="equal">
      <formula>"DONE"</formula>
    </cfRule>
  </conditionalFormatting>
  <conditionalFormatting sqref="J75">
    <cfRule type="cellIs" dxfId="377" priority="40" operator="equal">
      <formula>"OVERDUE"</formula>
    </cfRule>
    <cfRule type="cellIs" dxfId="376" priority="41" operator="equal">
      <formula>"DONE"</formula>
    </cfRule>
    <cfRule type="cellIs" dxfId="375" priority="42" operator="equal">
      <formula>"DONE"</formula>
    </cfRule>
  </conditionalFormatting>
  <conditionalFormatting sqref="J76">
    <cfRule type="cellIs" dxfId="374" priority="37" operator="equal">
      <formula>"OVERDUE"</formula>
    </cfRule>
    <cfRule type="cellIs" dxfId="373" priority="38" operator="equal">
      <formula>"DONE"</formula>
    </cfRule>
    <cfRule type="cellIs" dxfId="372" priority="39" operator="equal">
      <formula>"DONE"</formula>
    </cfRule>
  </conditionalFormatting>
  <conditionalFormatting sqref="J77">
    <cfRule type="cellIs" dxfId="371" priority="34" operator="equal">
      <formula>"OVERDUE"</formula>
    </cfRule>
    <cfRule type="cellIs" dxfId="370" priority="35" operator="equal">
      <formula>"DONE"</formula>
    </cfRule>
    <cfRule type="cellIs" dxfId="369" priority="36" operator="equal">
      <formula>"DONE"</formula>
    </cfRule>
  </conditionalFormatting>
  <conditionalFormatting sqref="J78">
    <cfRule type="cellIs" dxfId="368" priority="31" operator="equal">
      <formula>"OVERDUE"</formula>
    </cfRule>
    <cfRule type="cellIs" dxfId="367" priority="32" operator="equal">
      <formula>"DONE"</formula>
    </cfRule>
    <cfRule type="cellIs" dxfId="366" priority="33" operator="equal">
      <formula>"DONE"</formula>
    </cfRule>
  </conditionalFormatting>
  <conditionalFormatting sqref="J79">
    <cfRule type="cellIs" dxfId="365" priority="28" operator="equal">
      <formula>"OVERDUE"</formula>
    </cfRule>
    <cfRule type="cellIs" dxfId="364" priority="29" operator="equal">
      <formula>"DONE"</formula>
    </cfRule>
    <cfRule type="cellIs" dxfId="363" priority="30" operator="equal">
      <formula>"DONE"</formula>
    </cfRule>
  </conditionalFormatting>
  <conditionalFormatting sqref="J80">
    <cfRule type="cellIs" dxfId="362" priority="25" operator="equal">
      <formula>"OVERDUE"</formula>
    </cfRule>
    <cfRule type="cellIs" dxfId="361" priority="26" operator="equal">
      <formula>"DONE"</formula>
    </cfRule>
    <cfRule type="cellIs" dxfId="360" priority="27" operator="equal">
      <formula>"DONE"</formula>
    </cfRule>
  </conditionalFormatting>
  <conditionalFormatting sqref="J81">
    <cfRule type="cellIs" dxfId="359" priority="22" operator="equal">
      <formula>"OVERDUE"</formula>
    </cfRule>
    <cfRule type="cellIs" dxfId="358" priority="23" operator="equal">
      <formula>"DONE"</formula>
    </cfRule>
    <cfRule type="cellIs" dxfId="357" priority="24" operator="equal">
      <formula>"DONE"</formula>
    </cfRule>
  </conditionalFormatting>
  <conditionalFormatting sqref="J82">
    <cfRule type="cellIs" dxfId="356" priority="19" operator="equal">
      <formula>"OVERDUE"</formula>
    </cfRule>
    <cfRule type="cellIs" dxfId="355" priority="20" operator="equal">
      <formula>"DONE"</formula>
    </cfRule>
    <cfRule type="cellIs" dxfId="354" priority="21" operator="equal">
      <formula>"DONE"</formula>
    </cfRule>
  </conditionalFormatting>
  <conditionalFormatting sqref="J83">
    <cfRule type="cellIs" dxfId="353" priority="16" operator="equal">
      <formula>"OVERDUE"</formula>
    </cfRule>
    <cfRule type="cellIs" dxfId="352" priority="17" operator="equal">
      <formula>"DONE"</formula>
    </cfRule>
    <cfRule type="cellIs" dxfId="351" priority="18" operator="equal">
      <formula>"DONE"</formula>
    </cfRule>
  </conditionalFormatting>
  <conditionalFormatting sqref="J84">
    <cfRule type="cellIs" dxfId="350" priority="13" operator="equal">
      <formula>"OVERDUE"</formula>
    </cfRule>
    <cfRule type="cellIs" dxfId="349" priority="14" operator="equal">
      <formula>"DONE"</formula>
    </cfRule>
    <cfRule type="cellIs" dxfId="348" priority="15" operator="equal">
      <formula>"DONE"</formula>
    </cfRule>
  </conditionalFormatting>
  <conditionalFormatting sqref="J85">
    <cfRule type="cellIs" dxfId="347" priority="10" operator="equal">
      <formula>"OVERDUE"</formula>
    </cfRule>
    <cfRule type="cellIs" dxfId="346" priority="11" operator="equal">
      <formula>"DONE"</formula>
    </cfRule>
    <cfRule type="cellIs" dxfId="345" priority="12" operator="equal">
      <formula>"DONE"</formula>
    </cfRule>
  </conditionalFormatting>
  <conditionalFormatting sqref="J86:J87">
    <cfRule type="cellIs" dxfId="344" priority="7" operator="equal">
      <formula>"OVERDUE"</formula>
    </cfRule>
    <cfRule type="cellIs" dxfId="343" priority="8" operator="equal">
      <formula>"DONE"</formula>
    </cfRule>
    <cfRule type="cellIs" dxfId="342" priority="9" operator="equal">
      <formula>"DONE"</formula>
    </cfRule>
  </conditionalFormatting>
  <conditionalFormatting sqref="J88">
    <cfRule type="cellIs" dxfId="341" priority="1" operator="equal">
      <formula>"OVERDUE"</formula>
    </cfRule>
    <cfRule type="cellIs" dxfId="340" priority="2" operator="equal">
      <formula>"DONE"</formula>
    </cfRule>
    <cfRule type="cellIs" dxfId="339" priority="3" operator="equal">
      <formula>"DONE"</formula>
    </cfRule>
  </conditionalFormatting>
  <dataValidations count="1">
    <dataValidation type="list" allowBlank="1" showInputMessage="1" showErrorMessage="1" sqref="D1:D1048576">
      <formula1>"高,中,低"</formula1>
    </dataValidation>
  </dataValidations>
  <pageMargins left="0.51180555555555596" right="0" top="0.35416666666666702" bottom="0.39305555555555599" header="0.31388888888888899" footer="0.31388888888888899"/>
  <pageSetup paperSize="9" orientation="landscape"/>
  <drawing r:id="rId1"/>
  <legacyDrawing r:id="rId2"/>
  <mc:AlternateContent xmlns:mc="http://schemas.openxmlformats.org/markup-compatibility/2006">
    <mc:Choice Requires="x14">
      <controls>
        <mc:AlternateContent xmlns:mc="http://schemas.openxmlformats.org/markup-compatibility/2006">
          <mc:Choice Requires="x14">
            <control shapeId="10241" r:id="rId3" name="Button 1">
              <controlPr defaultSize="0" print="0" autoPict="0" macro="[0]!Insert_Line_moban">
                <anchor moveWithCells="1">
                  <from>
                    <xdr:col>0</xdr:col>
                    <xdr:colOff>104775</xdr:colOff>
                    <xdr:row>88</xdr:row>
                    <xdr:rowOff>85725</xdr:rowOff>
                  </from>
                  <to>
                    <xdr:col>1</xdr:col>
                    <xdr:colOff>800100</xdr:colOff>
                    <xdr:row>89</xdr:row>
                    <xdr:rowOff>161925</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tabColor rgb="FF92D050"/>
  </sheetPr>
  <dimension ref="A1:IL30"/>
  <sheetViews>
    <sheetView topLeftCell="C1" workbookViewId="0">
      <pane ySplit="3" topLeftCell="A4" activePane="bottomLeft" state="frozen"/>
      <selection pane="bottomLeft" activeCell="C14" sqref="C14"/>
    </sheetView>
  </sheetViews>
  <sheetFormatPr defaultColWidth="9" defaultRowHeight="14.25" x14ac:dyDescent="0.15"/>
  <cols>
    <col min="1" max="1" width="8.25" style="1" customWidth="1"/>
    <col min="2" max="2" width="12.125" style="1" customWidth="1"/>
    <col min="3" max="3" width="50.875" style="1" customWidth="1"/>
    <col min="4" max="4" width="6" style="2" customWidth="1"/>
    <col min="5" max="5" width="10.375" style="1" customWidth="1"/>
    <col min="6" max="6" width="11.75" style="1" customWidth="1"/>
    <col min="7" max="7" width="12.75" style="1" customWidth="1"/>
    <col min="8" max="8" width="12" style="1" customWidth="1"/>
    <col min="9" max="9" width="10.75" style="1" customWidth="1"/>
    <col min="10" max="10" width="8.625" style="1" customWidth="1"/>
    <col min="11" max="11" width="19.375" style="1" hidden="1" customWidth="1"/>
    <col min="12" max="14" width="9" style="1" hidden="1" customWidth="1"/>
    <col min="15" max="15" width="0.25" style="1" hidden="1" customWidth="1"/>
    <col min="16" max="16" width="34.75" style="1" customWidth="1"/>
    <col min="17" max="17" width="43" style="3" customWidth="1"/>
    <col min="18" max="16384" width="9" style="4"/>
  </cols>
  <sheetData>
    <row r="1" spans="1:246" ht="41.25" customHeight="1" x14ac:dyDescent="0.15">
      <c r="A1" s="214" t="s">
        <v>357</v>
      </c>
      <c r="B1" s="214"/>
      <c r="C1" s="214"/>
      <c r="D1" s="214"/>
      <c r="E1" s="214"/>
      <c r="F1" s="214"/>
      <c r="G1" s="214"/>
      <c r="H1" s="214"/>
      <c r="I1" s="214"/>
      <c r="J1" s="214"/>
      <c r="K1" s="214"/>
      <c r="L1" s="214"/>
      <c r="M1" s="214"/>
      <c r="N1" s="214"/>
      <c r="O1" s="214"/>
      <c r="P1" s="214"/>
      <c r="Q1" s="21"/>
      <c r="R1" s="22"/>
      <c r="S1" s="22"/>
      <c r="T1" s="22"/>
      <c r="U1" s="22"/>
      <c r="V1" s="22"/>
      <c r="W1" s="22"/>
      <c r="X1" s="22"/>
      <c r="Y1" s="22"/>
      <c r="Z1" s="22"/>
      <c r="AA1" s="22"/>
      <c r="AB1" s="22"/>
      <c r="AC1" s="22"/>
      <c r="AD1" s="22"/>
      <c r="AE1" s="22"/>
      <c r="AF1" s="22"/>
      <c r="AG1" s="22"/>
      <c r="AH1" s="22"/>
      <c r="AI1" s="22"/>
      <c r="AJ1" s="22"/>
      <c r="AK1" s="22"/>
      <c r="AL1" s="22"/>
      <c r="AM1" s="22"/>
      <c r="AN1" s="22"/>
      <c r="AO1" s="22"/>
      <c r="AP1" s="22"/>
      <c r="AQ1" s="22"/>
      <c r="AR1" s="22"/>
      <c r="AS1" s="22"/>
      <c r="AT1" s="22"/>
      <c r="AU1" s="22"/>
      <c r="AV1" s="22"/>
      <c r="AW1" s="22"/>
      <c r="AX1" s="22"/>
      <c r="AY1" s="22"/>
      <c r="AZ1" s="22"/>
      <c r="BA1" s="22"/>
      <c r="BB1" s="22"/>
      <c r="BC1" s="22"/>
      <c r="BD1" s="22"/>
      <c r="BE1" s="22"/>
      <c r="BF1" s="22"/>
      <c r="BG1" s="22"/>
      <c r="BH1" s="22"/>
      <c r="BI1" s="22"/>
      <c r="BJ1" s="22"/>
      <c r="BK1" s="22"/>
      <c r="BL1" s="22"/>
      <c r="BM1" s="22"/>
      <c r="BN1" s="22"/>
      <c r="BO1" s="22"/>
      <c r="BP1" s="22"/>
      <c r="BQ1" s="22"/>
      <c r="BR1" s="22"/>
      <c r="BS1" s="22"/>
      <c r="BT1" s="22"/>
      <c r="BU1" s="22"/>
      <c r="BV1" s="22"/>
      <c r="BW1" s="22"/>
      <c r="BX1" s="22"/>
      <c r="BY1" s="22"/>
      <c r="BZ1" s="22"/>
      <c r="CA1" s="22"/>
      <c r="CB1" s="22"/>
      <c r="CC1" s="22"/>
      <c r="CD1" s="22"/>
      <c r="CE1" s="22"/>
      <c r="CF1" s="22"/>
      <c r="CG1" s="22"/>
      <c r="CH1" s="22"/>
      <c r="CI1" s="22"/>
      <c r="CJ1" s="22"/>
      <c r="CK1" s="22"/>
      <c r="CL1" s="22"/>
      <c r="CM1" s="22"/>
      <c r="CN1" s="22"/>
      <c r="CO1" s="22"/>
      <c r="CP1" s="22"/>
      <c r="CQ1" s="22"/>
      <c r="CR1" s="22"/>
      <c r="CS1" s="22"/>
      <c r="CT1" s="22"/>
      <c r="CU1" s="22"/>
      <c r="CV1" s="22"/>
      <c r="CW1" s="22"/>
      <c r="CX1" s="22"/>
      <c r="CY1" s="22"/>
      <c r="CZ1" s="22"/>
      <c r="DA1" s="22"/>
      <c r="DB1" s="22"/>
      <c r="DC1" s="22"/>
      <c r="DD1" s="22"/>
      <c r="DE1" s="22"/>
      <c r="DF1" s="22"/>
      <c r="DG1" s="22"/>
      <c r="DH1" s="22"/>
      <c r="DI1" s="22"/>
      <c r="DJ1" s="22"/>
      <c r="DK1" s="22"/>
      <c r="DL1" s="22"/>
      <c r="DM1" s="22"/>
      <c r="DN1" s="22"/>
      <c r="DO1" s="22"/>
      <c r="DP1" s="22"/>
      <c r="DQ1" s="22"/>
      <c r="DR1" s="22"/>
      <c r="DS1" s="22"/>
      <c r="DT1" s="22"/>
      <c r="DU1" s="22"/>
      <c r="DV1" s="22"/>
      <c r="DW1" s="22"/>
      <c r="DX1" s="22"/>
      <c r="DY1" s="22"/>
      <c r="DZ1" s="22"/>
      <c r="EA1" s="22"/>
      <c r="EB1" s="22"/>
      <c r="EC1" s="22"/>
      <c r="ED1" s="22"/>
      <c r="EE1" s="22"/>
      <c r="EF1" s="22"/>
      <c r="EG1" s="22"/>
      <c r="EH1" s="22"/>
      <c r="EI1" s="22"/>
      <c r="EJ1" s="22"/>
      <c r="EK1" s="22"/>
      <c r="EL1" s="22"/>
      <c r="EM1" s="22"/>
      <c r="EN1" s="22"/>
      <c r="EO1" s="22"/>
      <c r="EP1" s="22"/>
      <c r="EQ1" s="22"/>
      <c r="ER1" s="22"/>
      <c r="ES1" s="22"/>
      <c r="ET1" s="22"/>
      <c r="EU1" s="22"/>
      <c r="EV1" s="22"/>
      <c r="EW1" s="22"/>
      <c r="EX1" s="22"/>
      <c r="EY1" s="22"/>
      <c r="EZ1" s="22"/>
      <c r="FA1" s="22"/>
      <c r="FB1" s="22"/>
      <c r="FC1" s="22"/>
      <c r="FD1" s="22"/>
      <c r="FE1" s="22"/>
      <c r="FF1" s="22"/>
      <c r="FG1" s="22"/>
      <c r="FH1" s="22"/>
      <c r="FI1" s="22"/>
      <c r="FJ1" s="22"/>
      <c r="FK1" s="22"/>
      <c r="FL1" s="22"/>
      <c r="FM1" s="22"/>
      <c r="FN1" s="22"/>
      <c r="FO1" s="22"/>
      <c r="FP1" s="22"/>
      <c r="FQ1" s="22"/>
      <c r="FR1" s="22"/>
      <c r="FS1" s="22"/>
      <c r="FT1" s="22"/>
      <c r="FU1" s="22"/>
      <c r="FV1" s="22"/>
      <c r="FW1" s="22"/>
      <c r="FX1" s="22"/>
      <c r="FY1" s="22"/>
      <c r="FZ1" s="22"/>
      <c r="GA1" s="22"/>
      <c r="GB1" s="22"/>
      <c r="GC1" s="22"/>
      <c r="GD1" s="22"/>
      <c r="GE1" s="22"/>
      <c r="GF1" s="22"/>
      <c r="GG1" s="22"/>
      <c r="GH1" s="22"/>
      <c r="GI1" s="22"/>
      <c r="GJ1" s="22"/>
      <c r="GK1" s="22"/>
      <c r="GL1" s="22"/>
      <c r="GM1" s="22"/>
      <c r="GN1" s="22"/>
      <c r="GO1" s="22"/>
      <c r="GP1" s="22"/>
      <c r="GQ1" s="22"/>
      <c r="GR1" s="22"/>
      <c r="GS1" s="22"/>
      <c r="GT1" s="22"/>
      <c r="GU1" s="22"/>
      <c r="GV1" s="22"/>
      <c r="GW1" s="22"/>
      <c r="GX1" s="22"/>
      <c r="GY1" s="22"/>
      <c r="GZ1" s="22"/>
      <c r="HA1" s="22"/>
      <c r="HB1" s="22"/>
      <c r="HC1" s="22"/>
      <c r="HD1" s="22"/>
      <c r="HE1" s="22"/>
      <c r="HF1" s="22"/>
      <c r="HG1" s="22"/>
      <c r="HH1" s="22"/>
      <c r="HI1" s="22"/>
      <c r="HJ1" s="22"/>
      <c r="HK1" s="22"/>
      <c r="HL1" s="22"/>
      <c r="HM1" s="22"/>
      <c r="HN1" s="22"/>
      <c r="HO1" s="22"/>
      <c r="HP1" s="22"/>
      <c r="HQ1" s="22"/>
      <c r="HR1" s="22"/>
      <c r="HS1" s="22"/>
      <c r="HT1" s="22"/>
      <c r="HU1" s="22"/>
      <c r="HV1" s="22"/>
      <c r="HW1" s="22"/>
      <c r="HX1" s="22"/>
      <c r="HY1" s="22"/>
      <c r="HZ1" s="22"/>
      <c r="IA1" s="22"/>
      <c r="IB1" s="22"/>
      <c r="IC1" s="22"/>
      <c r="ID1" s="22"/>
      <c r="IE1" s="22"/>
      <c r="IF1" s="22"/>
      <c r="IG1" s="22"/>
      <c r="IH1" s="22"/>
      <c r="II1" s="22"/>
      <c r="IJ1" s="22"/>
      <c r="IK1" s="22"/>
      <c r="IL1" s="22"/>
    </row>
    <row r="2" spans="1:246" ht="18.75" customHeight="1" x14ac:dyDescent="0.2">
      <c r="A2" s="215" t="s">
        <v>1</v>
      </c>
      <c r="B2" s="215"/>
      <c r="C2" s="5">
        <f ca="1">TODAY()</f>
        <v>44477</v>
      </c>
      <c r="D2" s="6" t="s">
        <v>2</v>
      </c>
      <c r="E2" s="7"/>
      <c r="F2" s="8"/>
      <c r="G2" s="8"/>
      <c r="H2" s="8"/>
      <c r="I2" s="8"/>
      <c r="J2" s="8"/>
      <c r="K2" s="17"/>
      <c r="L2" s="17"/>
      <c r="M2" s="17"/>
      <c r="N2" s="17"/>
      <c r="O2" s="17"/>
      <c r="P2" s="18"/>
      <c r="Q2" s="23"/>
      <c r="R2" s="24"/>
      <c r="S2" s="24"/>
      <c r="T2" s="24"/>
      <c r="U2" s="24"/>
      <c r="V2" s="24"/>
      <c r="W2" s="24"/>
      <c r="X2" s="24"/>
      <c r="Y2" s="24"/>
      <c r="Z2" s="24"/>
      <c r="AA2" s="24"/>
      <c r="AB2" s="24"/>
      <c r="AC2" s="24"/>
      <c r="AD2" s="24"/>
      <c r="AE2" s="24"/>
      <c r="AF2" s="24"/>
      <c r="AG2" s="24"/>
      <c r="AH2" s="24"/>
      <c r="AI2" s="24"/>
      <c r="AJ2" s="24"/>
      <c r="AK2" s="24"/>
      <c r="AL2" s="24"/>
      <c r="AM2" s="24"/>
      <c r="AN2" s="24"/>
      <c r="AO2" s="24"/>
      <c r="AP2" s="24"/>
      <c r="AQ2" s="24"/>
      <c r="AR2" s="24"/>
      <c r="AS2" s="24"/>
      <c r="AT2" s="24"/>
      <c r="AU2" s="24"/>
      <c r="AV2" s="24"/>
      <c r="AW2" s="24"/>
      <c r="AX2" s="24"/>
      <c r="AY2" s="24"/>
      <c r="AZ2" s="24"/>
      <c r="BA2" s="24"/>
      <c r="BB2" s="24"/>
      <c r="BC2" s="24"/>
      <c r="BD2" s="24"/>
      <c r="BE2" s="24"/>
      <c r="BF2" s="24"/>
      <c r="BG2" s="24"/>
      <c r="BH2" s="24"/>
      <c r="BI2" s="24"/>
      <c r="BJ2" s="24"/>
      <c r="BK2" s="24"/>
      <c r="BL2" s="24"/>
      <c r="BM2" s="24"/>
      <c r="BN2" s="24"/>
      <c r="BO2" s="24"/>
      <c r="BP2" s="24"/>
      <c r="BQ2" s="24"/>
      <c r="BR2" s="24"/>
      <c r="BS2" s="24"/>
      <c r="BT2" s="24"/>
      <c r="BU2" s="24"/>
      <c r="BV2" s="24"/>
      <c r="BW2" s="24"/>
      <c r="BX2" s="24"/>
      <c r="BY2" s="24"/>
      <c r="BZ2" s="24"/>
      <c r="CA2" s="24"/>
      <c r="CB2" s="24"/>
      <c r="CC2" s="24"/>
      <c r="CD2" s="24"/>
      <c r="CE2" s="24"/>
      <c r="CF2" s="24"/>
      <c r="CG2" s="24"/>
      <c r="CH2" s="24"/>
      <c r="CI2" s="24"/>
      <c r="CJ2" s="24"/>
      <c r="CK2" s="24"/>
      <c r="CL2" s="24"/>
      <c r="CM2" s="24"/>
      <c r="CN2" s="24"/>
      <c r="CO2" s="24"/>
      <c r="CP2" s="24"/>
      <c r="CQ2" s="24"/>
      <c r="CR2" s="24"/>
      <c r="CS2" s="24"/>
      <c r="CT2" s="24"/>
      <c r="CU2" s="24"/>
      <c r="CV2" s="24"/>
      <c r="CW2" s="24"/>
      <c r="CX2" s="24"/>
      <c r="CY2" s="24"/>
      <c r="CZ2" s="24"/>
      <c r="DA2" s="24"/>
      <c r="DB2" s="24"/>
      <c r="DC2" s="24"/>
      <c r="DD2" s="24"/>
      <c r="DE2" s="24"/>
      <c r="DF2" s="24"/>
      <c r="DG2" s="24"/>
      <c r="DH2" s="24"/>
      <c r="DI2" s="24"/>
      <c r="DJ2" s="24"/>
      <c r="DK2" s="24"/>
      <c r="DL2" s="24"/>
      <c r="DM2" s="24"/>
      <c r="DN2" s="24"/>
      <c r="DO2" s="24"/>
      <c r="DP2" s="24"/>
      <c r="DQ2" s="24"/>
      <c r="DR2" s="24"/>
      <c r="DS2" s="24"/>
      <c r="DT2" s="24"/>
      <c r="DU2" s="24"/>
      <c r="DV2" s="24"/>
      <c r="DW2" s="24"/>
      <c r="DX2" s="24"/>
      <c r="DY2" s="24"/>
      <c r="DZ2" s="24"/>
      <c r="EA2" s="24"/>
      <c r="EB2" s="24"/>
      <c r="EC2" s="24"/>
      <c r="ED2" s="24"/>
      <c r="EE2" s="24"/>
      <c r="EF2" s="24"/>
      <c r="EG2" s="24"/>
      <c r="EH2" s="24"/>
      <c r="EI2" s="24"/>
      <c r="EJ2" s="24"/>
      <c r="EK2" s="24"/>
      <c r="EL2" s="24"/>
      <c r="EM2" s="24"/>
      <c r="EN2" s="24"/>
      <c r="EO2" s="24"/>
      <c r="EP2" s="24"/>
      <c r="EQ2" s="24"/>
      <c r="ER2" s="24"/>
      <c r="ES2" s="24"/>
      <c r="ET2" s="24"/>
      <c r="EU2" s="24"/>
      <c r="EV2" s="24"/>
      <c r="EW2" s="24"/>
      <c r="EX2" s="24"/>
      <c r="EY2" s="24"/>
      <c r="EZ2" s="24"/>
      <c r="FA2" s="24"/>
      <c r="FB2" s="24"/>
      <c r="FC2" s="24"/>
      <c r="FD2" s="24"/>
      <c r="FE2" s="24"/>
      <c r="FF2" s="24"/>
      <c r="FG2" s="24"/>
      <c r="FH2" s="24"/>
      <c r="FI2" s="24"/>
      <c r="FJ2" s="24"/>
      <c r="FK2" s="24"/>
      <c r="FL2" s="24"/>
      <c r="FM2" s="24"/>
      <c r="FN2" s="24"/>
      <c r="FO2" s="24"/>
      <c r="FP2" s="24"/>
      <c r="FQ2" s="24"/>
      <c r="FR2" s="24"/>
      <c r="FS2" s="24"/>
      <c r="FT2" s="24"/>
      <c r="FU2" s="24"/>
      <c r="FV2" s="24"/>
      <c r="FW2" s="24"/>
      <c r="FX2" s="24"/>
      <c r="FY2" s="24"/>
      <c r="FZ2" s="24"/>
      <c r="GA2" s="24"/>
      <c r="GB2" s="24"/>
      <c r="GC2" s="24"/>
      <c r="GD2" s="24"/>
      <c r="GE2" s="24"/>
      <c r="GF2" s="24"/>
      <c r="GG2" s="24"/>
      <c r="GH2" s="24"/>
      <c r="GI2" s="24"/>
      <c r="GJ2" s="24"/>
      <c r="GK2" s="24"/>
      <c r="GL2" s="24"/>
      <c r="GM2" s="24"/>
      <c r="GN2" s="24"/>
      <c r="GO2" s="24"/>
      <c r="GP2" s="24"/>
      <c r="GQ2" s="24"/>
      <c r="GR2" s="24"/>
      <c r="GS2" s="24"/>
      <c r="GT2" s="24"/>
      <c r="GU2" s="24"/>
      <c r="GV2" s="24"/>
      <c r="GW2" s="24"/>
      <c r="GX2" s="24"/>
      <c r="GY2" s="24"/>
      <c r="GZ2" s="24"/>
      <c r="HA2" s="24"/>
      <c r="HB2" s="24"/>
      <c r="HC2" s="24"/>
      <c r="HD2" s="24"/>
      <c r="HE2" s="24"/>
      <c r="HF2" s="24"/>
      <c r="HG2" s="24"/>
      <c r="HH2" s="24"/>
      <c r="HI2" s="24"/>
      <c r="HJ2" s="24"/>
      <c r="HK2" s="24"/>
      <c r="HL2" s="24"/>
      <c r="HM2" s="24"/>
      <c r="HN2" s="24"/>
      <c r="HO2" s="24"/>
      <c r="HP2" s="24"/>
      <c r="HQ2" s="24"/>
      <c r="HR2" s="24"/>
      <c r="HS2" s="24"/>
      <c r="HT2" s="24"/>
      <c r="HU2" s="24"/>
      <c r="HV2" s="24"/>
      <c r="HW2" s="24"/>
      <c r="HX2" s="24"/>
      <c r="HY2" s="24"/>
      <c r="HZ2" s="24"/>
      <c r="IA2" s="24"/>
      <c r="IB2" s="24"/>
      <c r="IC2" s="24"/>
      <c r="ID2" s="24"/>
      <c r="IE2" s="24"/>
      <c r="IF2" s="24"/>
      <c r="IG2" s="24"/>
      <c r="IH2" s="24"/>
      <c r="II2" s="24"/>
      <c r="IJ2" s="24"/>
      <c r="IK2" s="24"/>
      <c r="IL2" s="24"/>
    </row>
    <row r="3" spans="1:246" ht="39" customHeight="1" x14ac:dyDescent="0.15">
      <c r="A3" s="9" t="s">
        <v>3</v>
      </c>
      <c r="B3" s="9" t="s">
        <v>4</v>
      </c>
      <c r="C3" s="9" t="s">
        <v>5</v>
      </c>
      <c r="D3" s="9" t="s">
        <v>6</v>
      </c>
      <c r="E3" s="9" t="s">
        <v>7</v>
      </c>
      <c r="F3" s="9" t="s">
        <v>8</v>
      </c>
      <c r="G3" s="9" t="s">
        <v>9</v>
      </c>
      <c r="H3" s="9" t="s">
        <v>10</v>
      </c>
      <c r="I3" s="9" t="s">
        <v>11</v>
      </c>
      <c r="J3" s="9" t="s">
        <v>12</v>
      </c>
      <c r="K3" s="9" t="s">
        <v>13</v>
      </c>
      <c r="L3" s="9" t="s">
        <v>14</v>
      </c>
      <c r="M3" s="9" t="s">
        <v>15</v>
      </c>
      <c r="N3" s="9" t="s">
        <v>16</v>
      </c>
      <c r="O3" s="9" t="s">
        <v>17</v>
      </c>
      <c r="P3" s="19" t="s">
        <v>18</v>
      </c>
      <c r="Q3" s="216"/>
      <c r="R3" s="217"/>
      <c r="S3" s="217"/>
      <c r="T3" s="217"/>
      <c r="U3" s="217"/>
      <c r="V3" s="217"/>
      <c r="W3" s="217"/>
      <c r="X3" s="217"/>
      <c r="Y3" s="217"/>
      <c r="Z3" s="217"/>
      <c r="AA3" s="217"/>
      <c r="AB3" s="217"/>
      <c r="AC3" s="43"/>
      <c r="AD3" s="43"/>
      <c r="AE3" s="43"/>
      <c r="AF3" s="43"/>
      <c r="AG3" s="43"/>
      <c r="AH3" s="43"/>
      <c r="AI3" s="43"/>
      <c r="AJ3" s="43"/>
      <c r="AK3" s="43"/>
      <c r="AL3" s="43"/>
      <c r="AM3" s="43"/>
      <c r="AN3" s="43"/>
      <c r="AO3" s="43"/>
      <c r="AP3" s="43"/>
      <c r="AQ3" s="43"/>
      <c r="AR3" s="43"/>
      <c r="AS3" s="43"/>
      <c r="AT3" s="43"/>
      <c r="AU3" s="43"/>
      <c r="AV3" s="43"/>
      <c r="AW3" s="43"/>
      <c r="AX3" s="43"/>
      <c r="AY3" s="43"/>
      <c r="AZ3" s="43"/>
      <c r="BA3" s="43"/>
      <c r="BB3" s="43"/>
      <c r="BC3" s="43"/>
      <c r="BD3" s="43"/>
      <c r="BE3" s="43"/>
      <c r="BF3" s="43"/>
      <c r="BG3" s="43"/>
      <c r="BH3" s="43"/>
      <c r="BI3" s="43"/>
      <c r="BJ3" s="43"/>
      <c r="BK3" s="43"/>
      <c r="BL3" s="43"/>
      <c r="BM3" s="43"/>
      <c r="BN3" s="43"/>
      <c r="BO3" s="43"/>
      <c r="BP3" s="43"/>
      <c r="BQ3" s="43"/>
      <c r="BR3" s="43"/>
      <c r="BS3" s="43"/>
      <c r="BT3" s="43"/>
      <c r="BU3" s="43"/>
      <c r="BV3" s="43"/>
      <c r="BW3" s="43"/>
      <c r="BX3" s="43"/>
      <c r="BY3" s="43"/>
      <c r="BZ3" s="43"/>
      <c r="CA3" s="43"/>
      <c r="CB3" s="43"/>
      <c r="CC3" s="43"/>
      <c r="CD3" s="43"/>
      <c r="CE3" s="43"/>
      <c r="CF3" s="43"/>
      <c r="CG3" s="43"/>
      <c r="CH3" s="43"/>
      <c r="CI3" s="43"/>
      <c r="CJ3" s="43"/>
      <c r="CK3" s="43"/>
      <c r="CL3" s="43"/>
      <c r="CM3" s="43"/>
      <c r="CN3" s="43"/>
      <c r="CO3" s="43"/>
      <c r="CP3" s="43"/>
      <c r="CQ3" s="43"/>
      <c r="CR3" s="43"/>
      <c r="CS3" s="43"/>
      <c r="CT3" s="43"/>
      <c r="CU3" s="43"/>
      <c r="CV3" s="43"/>
      <c r="CW3" s="43"/>
      <c r="CX3" s="43"/>
      <c r="CY3" s="43"/>
      <c r="CZ3" s="43"/>
      <c r="DA3" s="43"/>
      <c r="DB3" s="43"/>
      <c r="DC3" s="43"/>
      <c r="DD3" s="43"/>
      <c r="DE3" s="43"/>
      <c r="DF3" s="43"/>
      <c r="DG3" s="43"/>
      <c r="DH3" s="43"/>
      <c r="DI3" s="43"/>
      <c r="DJ3" s="43"/>
      <c r="DK3" s="43"/>
      <c r="DL3" s="43"/>
      <c r="DM3" s="43"/>
      <c r="DN3" s="43"/>
      <c r="DO3" s="43"/>
      <c r="DP3" s="43"/>
      <c r="DQ3" s="43"/>
      <c r="DR3" s="43"/>
      <c r="DS3" s="43"/>
      <c r="DT3" s="43"/>
      <c r="DU3" s="43"/>
      <c r="DV3" s="43"/>
      <c r="DW3" s="43"/>
      <c r="DX3" s="43"/>
      <c r="DY3" s="43"/>
      <c r="DZ3" s="43"/>
      <c r="EA3" s="43"/>
      <c r="EB3" s="43"/>
      <c r="EC3" s="43"/>
      <c r="ED3" s="43"/>
      <c r="EE3" s="43"/>
      <c r="EF3" s="43"/>
      <c r="EG3" s="43"/>
      <c r="EH3" s="43"/>
      <c r="EI3" s="43"/>
      <c r="EJ3" s="43"/>
      <c r="EK3" s="43"/>
      <c r="EL3" s="43"/>
      <c r="EM3" s="43"/>
      <c r="EN3" s="43"/>
      <c r="EO3" s="43"/>
      <c r="EP3" s="43"/>
      <c r="EQ3" s="43"/>
      <c r="ER3" s="43"/>
      <c r="ES3" s="43"/>
      <c r="ET3" s="43"/>
      <c r="EU3" s="43"/>
      <c r="EV3" s="43"/>
      <c r="EW3" s="43"/>
      <c r="EX3" s="43"/>
      <c r="EY3" s="43"/>
      <c r="EZ3" s="43"/>
      <c r="FA3" s="43"/>
      <c r="FB3" s="43"/>
      <c r="FC3" s="43"/>
      <c r="FD3" s="43"/>
      <c r="FE3" s="43"/>
      <c r="FF3" s="43"/>
      <c r="FG3" s="43"/>
      <c r="FH3" s="43"/>
      <c r="FI3" s="43"/>
      <c r="FJ3" s="43"/>
      <c r="FK3" s="43"/>
      <c r="FL3" s="43"/>
      <c r="FM3" s="43"/>
      <c r="FN3" s="43"/>
      <c r="FO3" s="43"/>
      <c r="FP3" s="43"/>
      <c r="FQ3" s="43"/>
      <c r="FR3" s="43"/>
      <c r="FS3" s="43"/>
      <c r="FT3" s="43"/>
      <c r="FU3" s="43"/>
      <c r="FV3" s="43"/>
      <c r="FW3" s="43"/>
      <c r="FX3" s="43"/>
      <c r="FY3" s="43"/>
      <c r="FZ3" s="43"/>
      <c r="GA3" s="43"/>
      <c r="GB3" s="43"/>
      <c r="GC3" s="43"/>
      <c r="GD3" s="43"/>
      <c r="GE3" s="43"/>
      <c r="GF3" s="43"/>
      <c r="GG3" s="43"/>
      <c r="GH3" s="43"/>
      <c r="GI3" s="43"/>
      <c r="GJ3" s="43"/>
      <c r="GK3" s="43"/>
      <c r="GL3" s="43"/>
      <c r="GM3" s="43"/>
      <c r="GN3" s="43"/>
      <c r="GO3" s="43"/>
      <c r="GP3" s="43"/>
      <c r="GQ3" s="43"/>
      <c r="GR3" s="43"/>
      <c r="GS3" s="43"/>
      <c r="GT3" s="43"/>
      <c r="GU3" s="43"/>
      <c r="GV3" s="43"/>
      <c r="GW3" s="43"/>
      <c r="GX3" s="43"/>
      <c r="GY3" s="43"/>
      <c r="GZ3" s="43"/>
      <c r="HA3" s="43"/>
      <c r="HB3" s="43"/>
      <c r="HC3" s="43"/>
      <c r="HD3" s="43"/>
      <c r="HE3" s="43"/>
      <c r="HF3" s="43"/>
      <c r="HG3" s="43"/>
      <c r="HH3" s="43"/>
      <c r="HI3" s="43"/>
      <c r="HJ3" s="43"/>
      <c r="HK3" s="43"/>
      <c r="HL3" s="43"/>
      <c r="HM3" s="43"/>
      <c r="HN3" s="43"/>
      <c r="HO3" s="43"/>
      <c r="HP3" s="43"/>
      <c r="HQ3" s="43"/>
      <c r="HR3" s="43"/>
      <c r="HS3" s="43"/>
      <c r="HT3" s="43"/>
      <c r="HU3" s="43"/>
      <c r="HV3" s="43"/>
      <c r="HW3" s="43"/>
      <c r="HX3" s="43"/>
      <c r="HY3" s="43"/>
      <c r="HZ3" s="43"/>
      <c r="IA3" s="43"/>
      <c r="IB3" s="43"/>
      <c r="IC3" s="43"/>
      <c r="ID3" s="43"/>
      <c r="IE3" s="43"/>
      <c r="IF3" s="43"/>
      <c r="IG3" s="43"/>
      <c r="IH3" s="43"/>
      <c r="II3" s="43"/>
      <c r="IJ3" s="43"/>
      <c r="IK3" s="43"/>
      <c r="IL3" s="43"/>
    </row>
    <row r="4" spans="1:246" ht="114" customHeight="1" x14ac:dyDescent="0.15">
      <c r="A4" s="10" t="s">
        <v>81</v>
      </c>
      <c r="B4" s="11"/>
      <c r="C4" s="16" t="s">
        <v>402</v>
      </c>
      <c r="D4" s="13" t="s">
        <v>24</v>
      </c>
      <c r="E4" s="13" t="s">
        <v>358</v>
      </c>
      <c r="F4" s="13"/>
      <c r="G4" s="14"/>
      <c r="H4" s="14"/>
      <c r="I4" s="14"/>
      <c r="J4" s="13" t="str">
        <f t="shared" ref="J4:J30" ca="1" si="0">IF(AND(I4&lt;=$C$2,I4&lt;&gt;0),"DONE",IF(K4&lt;0,"OVERDUE",IF(AND(K4="",O4&lt;0),"OVERDUE","IN TIME")))</f>
        <v>IN TIME</v>
      </c>
      <c r="K4" s="13" t="str">
        <f t="shared" ref="K4:K30" si="1">IF(H4&gt;0,H4-$C$2,"")</f>
        <v/>
      </c>
      <c r="L4" s="13">
        <f t="shared" ref="L4:L30" ca="1" si="2">IF(J4="OVERDUE",1,0)</f>
        <v>0</v>
      </c>
      <c r="M4" s="13">
        <f t="shared" ref="M4:M30" ca="1" si="3">IF(J4="IN TIME",1,0)</f>
        <v>1</v>
      </c>
      <c r="N4" s="13">
        <f t="shared" ref="N4:N30" ca="1" si="4">IF(J4="DONE",1,0)</f>
        <v>0</v>
      </c>
      <c r="O4" s="13" t="str">
        <f t="shared" ref="O4:O30" si="5">IF(G4&gt;0,G4-$C$2,"")</f>
        <v/>
      </c>
      <c r="P4" s="20"/>
      <c r="Q4" s="216"/>
      <c r="R4" s="217"/>
      <c r="S4" s="217"/>
      <c r="T4" s="217"/>
      <c r="U4" s="217"/>
      <c r="V4" s="217"/>
      <c r="W4" s="217"/>
      <c r="X4" s="217"/>
      <c r="Y4" s="217"/>
      <c r="Z4" s="217"/>
      <c r="AA4" s="217"/>
      <c r="AB4" s="217"/>
      <c r="AC4" s="27"/>
      <c r="AD4" s="27"/>
    </row>
    <row r="5" spans="1:246" ht="57.75" customHeight="1" x14ac:dyDescent="0.15">
      <c r="A5" s="15">
        <v>241</v>
      </c>
      <c r="B5" s="11"/>
      <c r="C5" s="16" t="s">
        <v>395</v>
      </c>
      <c r="D5" s="13" t="s">
        <v>24</v>
      </c>
      <c r="E5" s="13" t="s">
        <v>396</v>
      </c>
      <c r="F5" s="13">
        <v>43928</v>
      </c>
      <c r="G5" s="14">
        <v>43951</v>
      </c>
      <c r="H5" s="14"/>
      <c r="I5" s="14"/>
      <c r="J5" s="13" t="str">
        <f t="shared" ca="1" si="0"/>
        <v>OVERDUE</v>
      </c>
      <c r="K5" s="13" t="str">
        <f t="shared" si="1"/>
        <v/>
      </c>
      <c r="L5" s="13">
        <f t="shared" ca="1" si="2"/>
        <v>1</v>
      </c>
      <c r="M5" s="13">
        <f t="shared" ca="1" si="3"/>
        <v>0</v>
      </c>
      <c r="N5" s="13">
        <f t="shared" ca="1" si="4"/>
        <v>0</v>
      </c>
      <c r="O5" s="13">
        <f t="shared" ca="1" si="5"/>
        <v>-526</v>
      </c>
      <c r="P5" s="20"/>
      <c r="Q5" s="216"/>
      <c r="R5" s="217"/>
      <c r="S5" s="217"/>
      <c r="T5" s="217"/>
      <c r="U5" s="217"/>
      <c r="V5" s="217"/>
      <c r="W5" s="217"/>
      <c r="X5" s="217"/>
      <c r="Y5" s="217"/>
      <c r="Z5" s="217"/>
      <c r="AA5" s="217"/>
      <c r="AB5" s="217"/>
      <c r="AC5" s="27"/>
      <c r="AD5" s="27"/>
    </row>
    <row r="6" spans="1:246" ht="24.6" customHeight="1" x14ac:dyDescent="0.15">
      <c r="A6" s="15">
        <v>242</v>
      </c>
      <c r="B6" s="11"/>
      <c r="C6" s="16" t="s">
        <v>397</v>
      </c>
      <c r="D6" s="13" t="s">
        <v>24</v>
      </c>
      <c r="E6" s="13" t="s">
        <v>398</v>
      </c>
      <c r="F6" s="14">
        <v>43928</v>
      </c>
      <c r="G6" s="14">
        <v>43951</v>
      </c>
      <c r="H6" s="14"/>
      <c r="I6" s="14"/>
      <c r="J6" s="13" t="str">
        <f t="shared" ca="1" si="0"/>
        <v>OVERDUE</v>
      </c>
      <c r="K6" s="13" t="str">
        <f t="shared" si="1"/>
        <v/>
      </c>
      <c r="L6" s="13">
        <f t="shared" ca="1" si="2"/>
        <v>1</v>
      </c>
      <c r="M6" s="13">
        <f t="shared" ca="1" si="3"/>
        <v>0</v>
      </c>
      <c r="N6" s="13">
        <f t="shared" ca="1" si="4"/>
        <v>0</v>
      </c>
      <c r="O6" s="13">
        <f t="shared" ca="1" si="5"/>
        <v>-526</v>
      </c>
      <c r="P6" s="20"/>
      <c r="Q6" s="216"/>
      <c r="R6" s="217"/>
      <c r="S6" s="217"/>
      <c r="T6" s="217"/>
      <c r="U6" s="217"/>
      <c r="V6" s="217"/>
      <c r="W6" s="217"/>
      <c r="X6" s="217"/>
      <c r="Y6" s="217"/>
      <c r="Z6" s="217"/>
      <c r="AA6" s="217"/>
      <c r="AB6" s="217"/>
      <c r="AC6" s="27"/>
      <c r="AD6" s="27"/>
    </row>
    <row r="7" spans="1:246" ht="45" customHeight="1" x14ac:dyDescent="0.15">
      <c r="A7" s="15">
        <v>243</v>
      </c>
      <c r="B7" s="13"/>
      <c r="C7" s="16" t="s">
        <v>401</v>
      </c>
      <c r="D7" s="13" t="s">
        <v>24</v>
      </c>
      <c r="E7" s="13" t="s">
        <v>400</v>
      </c>
      <c r="F7" s="14">
        <v>43928</v>
      </c>
      <c r="G7" s="14"/>
      <c r="H7" s="14"/>
      <c r="I7" s="14"/>
      <c r="J7" s="13" t="str">
        <f t="shared" ca="1" si="0"/>
        <v>IN TIME</v>
      </c>
      <c r="K7" s="13" t="str">
        <f t="shared" si="1"/>
        <v/>
      </c>
      <c r="L7" s="13">
        <f t="shared" ca="1" si="2"/>
        <v>0</v>
      </c>
      <c r="M7" s="13">
        <f t="shared" ca="1" si="3"/>
        <v>1</v>
      </c>
      <c r="N7" s="13">
        <f t="shared" ca="1" si="4"/>
        <v>0</v>
      </c>
      <c r="O7" s="13" t="str">
        <f t="shared" si="5"/>
        <v/>
      </c>
      <c r="P7" s="20" t="s">
        <v>522</v>
      </c>
      <c r="Q7" s="216"/>
      <c r="R7" s="217"/>
      <c r="S7" s="217"/>
      <c r="T7" s="217"/>
      <c r="U7" s="217"/>
      <c r="V7" s="217"/>
      <c r="W7" s="217"/>
      <c r="X7" s="217"/>
      <c r="Y7" s="217"/>
      <c r="Z7" s="217"/>
      <c r="AA7" s="217"/>
      <c r="AB7" s="217"/>
      <c r="AC7" s="27"/>
      <c r="AD7" s="27"/>
    </row>
    <row r="8" spans="1:246" ht="24.6" customHeight="1" x14ac:dyDescent="0.15">
      <c r="A8" s="10" t="s">
        <v>93</v>
      </c>
      <c r="B8" s="11"/>
      <c r="C8" s="16" t="s">
        <v>399</v>
      </c>
      <c r="D8" s="13" t="s">
        <v>24</v>
      </c>
      <c r="E8" s="13" t="s">
        <v>396</v>
      </c>
      <c r="F8" s="14">
        <v>43928</v>
      </c>
      <c r="G8" s="14">
        <v>43951</v>
      </c>
      <c r="H8" s="14"/>
      <c r="I8" s="14"/>
      <c r="J8" s="13" t="str">
        <f t="shared" ca="1" si="0"/>
        <v>OVERDUE</v>
      </c>
      <c r="K8" s="13" t="str">
        <f t="shared" si="1"/>
        <v/>
      </c>
      <c r="L8" s="13">
        <f t="shared" ca="1" si="2"/>
        <v>1</v>
      </c>
      <c r="M8" s="13">
        <f t="shared" ca="1" si="3"/>
        <v>0</v>
      </c>
      <c r="N8" s="13">
        <f t="shared" ca="1" si="4"/>
        <v>0</v>
      </c>
      <c r="O8" s="13">
        <f t="shared" ca="1" si="5"/>
        <v>-526</v>
      </c>
      <c r="P8" s="20"/>
      <c r="Q8" s="216"/>
      <c r="R8" s="217"/>
      <c r="S8" s="217"/>
      <c r="T8" s="217"/>
      <c r="U8" s="217"/>
      <c r="V8" s="217"/>
      <c r="W8" s="217"/>
      <c r="X8" s="217"/>
      <c r="Y8" s="217"/>
      <c r="Z8" s="217"/>
      <c r="AA8" s="217"/>
      <c r="AB8" s="217"/>
      <c r="AC8" s="27"/>
      <c r="AD8" s="27"/>
    </row>
    <row r="9" spans="1:246" ht="24.6" customHeight="1" x14ac:dyDescent="0.15">
      <c r="A9" s="10" t="s">
        <v>97</v>
      </c>
      <c r="B9" s="11"/>
      <c r="C9" s="16"/>
      <c r="D9" s="13" t="s">
        <v>24</v>
      </c>
      <c r="E9" s="13"/>
      <c r="F9" s="14"/>
      <c r="G9" s="14"/>
      <c r="H9" s="14"/>
      <c r="I9" s="14"/>
      <c r="J9" s="13" t="str">
        <f t="shared" ca="1" si="0"/>
        <v>IN TIME</v>
      </c>
      <c r="K9" s="13" t="str">
        <f t="shared" si="1"/>
        <v/>
      </c>
      <c r="L9" s="13">
        <f t="shared" ca="1" si="2"/>
        <v>0</v>
      </c>
      <c r="M9" s="13">
        <f t="shared" ca="1" si="3"/>
        <v>1</v>
      </c>
      <c r="N9" s="13">
        <f t="shared" ca="1" si="4"/>
        <v>0</v>
      </c>
      <c r="O9" s="13" t="str">
        <f t="shared" si="5"/>
        <v/>
      </c>
      <c r="P9" s="20"/>
      <c r="Q9" s="216"/>
      <c r="R9" s="217"/>
      <c r="S9" s="217"/>
      <c r="T9" s="217"/>
      <c r="U9" s="217"/>
      <c r="V9" s="217"/>
      <c r="W9" s="217"/>
      <c r="X9" s="217"/>
      <c r="Y9" s="217"/>
      <c r="Z9" s="217"/>
      <c r="AA9" s="217"/>
      <c r="AB9" s="217"/>
      <c r="AC9" s="27"/>
      <c r="AD9" s="27"/>
    </row>
    <row r="10" spans="1:246" ht="24.6" customHeight="1" x14ac:dyDescent="0.15">
      <c r="A10" s="15">
        <v>246</v>
      </c>
      <c r="B10" s="11"/>
      <c r="C10" s="16" t="s">
        <v>494</v>
      </c>
      <c r="D10" s="13" t="s">
        <v>24</v>
      </c>
      <c r="E10" s="13" t="s">
        <v>495</v>
      </c>
      <c r="F10" s="14">
        <v>43990</v>
      </c>
      <c r="G10" s="14">
        <v>43994</v>
      </c>
      <c r="H10" s="14"/>
      <c r="I10" s="14">
        <v>43990</v>
      </c>
      <c r="J10" s="13" t="str">
        <f t="shared" ca="1" si="0"/>
        <v>DONE</v>
      </c>
      <c r="K10" s="13" t="str">
        <f t="shared" si="1"/>
        <v/>
      </c>
      <c r="L10" s="13">
        <f t="shared" ca="1" si="2"/>
        <v>0</v>
      </c>
      <c r="M10" s="13">
        <f t="shared" ca="1" si="3"/>
        <v>0</v>
      </c>
      <c r="N10" s="13">
        <f t="shared" ca="1" si="4"/>
        <v>1</v>
      </c>
      <c r="O10" s="13">
        <f t="shared" ca="1" si="5"/>
        <v>-483</v>
      </c>
      <c r="P10" s="20" t="s">
        <v>506</v>
      </c>
      <c r="Q10" s="216"/>
      <c r="R10" s="217"/>
      <c r="S10" s="217"/>
      <c r="T10" s="217"/>
      <c r="U10" s="217"/>
      <c r="V10" s="217"/>
      <c r="W10" s="217"/>
      <c r="X10" s="217"/>
      <c r="Y10" s="217"/>
      <c r="Z10" s="217"/>
      <c r="AA10" s="217"/>
      <c r="AB10" s="217"/>
      <c r="AC10" s="27"/>
      <c r="AD10" s="27"/>
    </row>
    <row r="11" spans="1:246" ht="24.6" customHeight="1" x14ac:dyDescent="0.15">
      <c r="A11" s="15">
        <v>247</v>
      </c>
      <c r="B11" s="11"/>
      <c r="C11" s="16" t="s">
        <v>497</v>
      </c>
      <c r="D11" s="13" t="s">
        <v>24</v>
      </c>
      <c r="E11" s="13" t="s">
        <v>495</v>
      </c>
      <c r="F11" s="14">
        <v>43991</v>
      </c>
      <c r="G11" s="14">
        <v>44001</v>
      </c>
      <c r="H11" s="14"/>
      <c r="I11" s="14">
        <v>44007</v>
      </c>
      <c r="J11" s="13" t="str">
        <f t="shared" ca="1" si="0"/>
        <v>DONE</v>
      </c>
      <c r="K11" s="13" t="str">
        <f t="shared" si="1"/>
        <v/>
      </c>
      <c r="L11" s="13">
        <f t="shared" ca="1" si="2"/>
        <v>0</v>
      </c>
      <c r="M11" s="13">
        <f t="shared" ca="1" si="3"/>
        <v>0</v>
      </c>
      <c r="N11" s="13">
        <f t="shared" ca="1" si="4"/>
        <v>1</v>
      </c>
      <c r="O11" s="13">
        <f t="shared" ca="1" si="5"/>
        <v>-476</v>
      </c>
      <c r="P11" s="20" t="s">
        <v>507</v>
      </c>
      <c r="Q11" s="216"/>
      <c r="R11" s="217"/>
      <c r="S11" s="217"/>
      <c r="T11" s="217"/>
      <c r="U11" s="217"/>
      <c r="V11" s="217"/>
      <c r="W11" s="217"/>
      <c r="X11" s="217"/>
      <c r="Y11" s="217"/>
      <c r="Z11" s="217"/>
      <c r="AA11" s="217"/>
      <c r="AB11" s="217"/>
      <c r="AC11" s="27"/>
      <c r="AD11" s="27"/>
    </row>
    <row r="12" spans="1:246" ht="39" customHeight="1" x14ac:dyDescent="0.15">
      <c r="A12" s="15">
        <v>248</v>
      </c>
      <c r="B12" s="11"/>
      <c r="C12" s="153" t="s">
        <v>504</v>
      </c>
      <c r="D12" s="13" t="s">
        <v>24</v>
      </c>
      <c r="E12" s="13" t="s">
        <v>505</v>
      </c>
      <c r="F12" s="14">
        <v>44004</v>
      </c>
      <c r="G12" s="14">
        <v>44009</v>
      </c>
      <c r="H12" s="14"/>
      <c r="I12" s="14">
        <v>44007</v>
      </c>
      <c r="J12" s="13" t="str">
        <f t="shared" ca="1" si="0"/>
        <v>DONE</v>
      </c>
      <c r="K12" s="13" t="str">
        <f t="shared" si="1"/>
        <v/>
      </c>
      <c r="L12" s="13">
        <f t="shared" ca="1" si="2"/>
        <v>0</v>
      </c>
      <c r="M12" s="13">
        <f t="shared" ca="1" si="3"/>
        <v>0</v>
      </c>
      <c r="N12" s="13">
        <f t="shared" ca="1" si="4"/>
        <v>1</v>
      </c>
      <c r="O12" s="13">
        <f t="shared" ca="1" si="5"/>
        <v>-468</v>
      </c>
      <c r="P12" s="20" t="s">
        <v>509</v>
      </c>
      <c r="Q12" s="216"/>
      <c r="R12" s="217"/>
      <c r="S12" s="217"/>
      <c r="T12" s="217"/>
      <c r="U12" s="217"/>
      <c r="V12" s="217"/>
      <c r="W12" s="217"/>
      <c r="X12" s="217"/>
      <c r="Y12" s="217"/>
      <c r="Z12" s="217"/>
      <c r="AA12" s="217"/>
      <c r="AB12" s="217"/>
      <c r="AC12" s="27"/>
      <c r="AD12" s="27"/>
    </row>
    <row r="13" spans="1:246" ht="24.6" customHeight="1" x14ac:dyDescent="0.15">
      <c r="A13" s="15">
        <v>249</v>
      </c>
      <c r="B13" s="13"/>
      <c r="C13" s="153" t="s">
        <v>508</v>
      </c>
      <c r="D13" s="13" t="s">
        <v>24</v>
      </c>
      <c r="E13" s="13" t="s">
        <v>505</v>
      </c>
      <c r="F13" s="14">
        <v>44009</v>
      </c>
      <c r="G13" s="14">
        <v>44022</v>
      </c>
      <c r="H13" s="14"/>
      <c r="I13" s="14"/>
      <c r="J13" s="13" t="str">
        <f t="shared" ca="1" si="0"/>
        <v>OVERDUE</v>
      </c>
      <c r="K13" s="13" t="str">
        <f t="shared" si="1"/>
        <v/>
      </c>
      <c r="L13" s="13">
        <f t="shared" ca="1" si="2"/>
        <v>1</v>
      </c>
      <c r="M13" s="13">
        <f t="shared" ca="1" si="3"/>
        <v>0</v>
      </c>
      <c r="N13" s="13">
        <f t="shared" ca="1" si="4"/>
        <v>0</v>
      </c>
      <c r="O13" s="13">
        <f t="shared" ca="1" si="5"/>
        <v>-455</v>
      </c>
      <c r="P13" s="20"/>
      <c r="Q13" s="216"/>
      <c r="R13" s="217"/>
      <c r="S13" s="217"/>
      <c r="T13" s="217"/>
      <c r="U13" s="217"/>
      <c r="V13" s="217"/>
      <c r="W13" s="217"/>
      <c r="X13" s="217"/>
      <c r="Y13" s="217"/>
      <c r="Z13" s="217"/>
      <c r="AA13" s="217"/>
      <c r="AB13" s="217"/>
      <c r="AC13" s="27"/>
      <c r="AD13" s="27"/>
    </row>
    <row r="14" spans="1:246" ht="24.6" customHeight="1" x14ac:dyDescent="0.15">
      <c r="A14" s="15"/>
      <c r="B14" s="11"/>
      <c r="C14" s="16" t="s">
        <v>510</v>
      </c>
      <c r="D14" s="13" t="s">
        <v>24</v>
      </c>
      <c r="E14" s="13" t="s">
        <v>505</v>
      </c>
      <c r="F14" s="14">
        <v>44004</v>
      </c>
      <c r="G14" s="14">
        <v>44009</v>
      </c>
      <c r="H14" s="14"/>
      <c r="I14" s="14">
        <v>44007</v>
      </c>
      <c r="J14" s="13" t="str">
        <f t="shared" ca="1" si="0"/>
        <v>DONE</v>
      </c>
      <c r="K14" s="13" t="str">
        <f t="shared" si="1"/>
        <v/>
      </c>
      <c r="L14" s="13">
        <f t="shared" ca="1" si="2"/>
        <v>0</v>
      </c>
      <c r="M14" s="13">
        <f t="shared" ca="1" si="3"/>
        <v>0</v>
      </c>
      <c r="N14" s="13">
        <f t="shared" ca="1" si="4"/>
        <v>1</v>
      </c>
      <c r="O14" s="13">
        <f t="shared" ca="1" si="5"/>
        <v>-468</v>
      </c>
      <c r="P14" s="20" t="s">
        <v>509</v>
      </c>
      <c r="Q14" s="216"/>
      <c r="R14" s="217"/>
      <c r="S14" s="217"/>
      <c r="T14" s="217"/>
      <c r="U14" s="217"/>
      <c r="V14" s="217"/>
      <c r="W14" s="217"/>
      <c r="X14" s="217"/>
      <c r="Y14" s="217"/>
      <c r="Z14" s="217"/>
      <c r="AA14" s="217"/>
      <c r="AB14" s="217"/>
      <c r="AC14" s="27"/>
      <c r="AD14" s="27"/>
    </row>
    <row r="15" spans="1:246" ht="24.6" customHeight="1" x14ac:dyDescent="0.15">
      <c r="A15" s="15">
        <v>251</v>
      </c>
      <c r="B15" s="11"/>
      <c r="C15" s="16"/>
      <c r="D15" s="13" t="s">
        <v>24</v>
      </c>
      <c r="E15" s="13"/>
      <c r="F15" s="14"/>
      <c r="G15" s="14"/>
      <c r="H15" s="14"/>
      <c r="I15" s="14"/>
      <c r="J15" s="13" t="str">
        <f t="shared" ca="1" si="0"/>
        <v>IN TIME</v>
      </c>
      <c r="K15" s="13" t="str">
        <f t="shared" si="1"/>
        <v/>
      </c>
      <c r="L15" s="13">
        <f t="shared" ca="1" si="2"/>
        <v>0</v>
      </c>
      <c r="M15" s="13">
        <f t="shared" ca="1" si="3"/>
        <v>1</v>
      </c>
      <c r="N15" s="13">
        <f t="shared" ca="1" si="4"/>
        <v>0</v>
      </c>
      <c r="O15" s="13" t="str">
        <f t="shared" si="5"/>
        <v/>
      </c>
      <c r="P15" s="20"/>
      <c r="Q15" s="42"/>
      <c r="R15" s="43"/>
      <c r="S15" s="43"/>
      <c r="T15" s="43"/>
      <c r="U15" s="43"/>
      <c r="V15" s="43"/>
      <c r="W15" s="43"/>
      <c r="X15" s="43"/>
      <c r="Y15" s="43"/>
      <c r="Z15" s="43"/>
      <c r="AA15" s="43"/>
      <c r="AB15" s="43"/>
      <c r="AC15" s="27"/>
      <c r="AD15" s="27"/>
    </row>
    <row r="16" spans="1:246" ht="93" customHeight="1" x14ac:dyDescent="0.15">
      <c r="A16" s="15">
        <v>252</v>
      </c>
      <c r="B16" s="11"/>
      <c r="C16" s="16"/>
      <c r="D16" s="13" t="s">
        <v>24</v>
      </c>
      <c r="E16" s="13"/>
      <c r="F16" s="14"/>
      <c r="G16" s="14"/>
      <c r="H16" s="14"/>
      <c r="I16" s="14"/>
      <c r="J16" s="13" t="str">
        <f t="shared" ca="1" si="0"/>
        <v>IN TIME</v>
      </c>
      <c r="K16" s="13" t="str">
        <f t="shared" si="1"/>
        <v/>
      </c>
      <c r="L16" s="13">
        <f t="shared" ca="1" si="2"/>
        <v>0</v>
      </c>
      <c r="M16" s="13">
        <f t="shared" ca="1" si="3"/>
        <v>1</v>
      </c>
      <c r="N16" s="13">
        <f t="shared" ca="1" si="4"/>
        <v>0</v>
      </c>
      <c r="O16" s="13" t="str">
        <f t="shared" si="5"/>
        <v/>
      </c>
      <c r="P16" s="20"/>
      <c r="Q16" s="42"/>
      <c r="R16" s="43"/>
      <c r="S16" s="43"/>
      <c r="T16" s="43"/>
      <c r="U16" s="43"/>
      <c r="V16" s="43"/>
      <c r="W16" s="43"/>
      <c r="X16" s="43"/>
      <c r="Y16" s="43"/>
      <c r="Z16" s="43"/>
      <c r="AA16" s="43"/>
      <c r="AB16" s="43"/>
      <c r="AC16" s="27"/>
      <c r="AD16" s="27"/>
    </row>
    <row r="17" spans="1:30" ht="24.6" customHeight="1" x14ac:dyDescent="0.15">
      <c r="A17" s="15">
        <v>253</v>
      </c>
      <c r="B17" s="13"/>
      <c r="C17" s="12"/>
      <c r="D17" s="13"/>
      <c r="E17" s="13"/>
      <c r="F17" s="14"/>
      <c r="G17" s="14"/>
      <c r="H17" s="14"/>
      <c r="I17" s="14"/>
      <c r="J17" s="13" t="str">
        <f t="shared" ca="1" si="0"/>
        <v>IN TIME</v>
      </c>
      <c r="K17" s="13" t="str">
        <f t="shared" si="1"/>
        <v/>
      </c>
      <c r="L17" s="13">
        <f t="shared" ca="1" si="2"/>
        <v>0</v>
      </c>
      <c r="M17" s="13">
        <f t="shared" ca="1" si="3"/>
        <v>1</v>
      </c>
      <c r="N17" s="13">
        <f t="shared" ca="1" si="4"/>
        <v>0</v>
      </c>
      <c r="O17" s="13" t="str">
        <f t="shared" si="5"/>
        <v/>
      </c>
      <c r="P17" s="20"/>
      <c r="Q17" s="42"/>
      <c r="R17" s="43"/>
      <c r="S17" s="43"/>
      <c r="T17" s="43"/>
      <c r="U17" s="43"/>
      <c r="V17" s="43"/>
      <c r="W17" s="43"/>
      <c r="X17" s="43"/>
      <c r="Y17" s="43"/>
      <c r="Z17" s="43"/>
      <c r="AA17" s="43"/>
      <c r="AB17" s="43"/>
      <c r="AC17" s="27"/>
      <c r="AD17" s="27"/>
    </row>
    <row r="18" spans="1:30" ht="24.6" customHeight="1" x14ac:dyDescent="0.15">
      <c r="A18" s="15">
        <v>254</v>
      </c>
      <c r="B18" s="13"/>
      <c r="C18" s="12"/>
      <c r="D18" s="13"/>
      <c r="E18" s="13"/>
      <c r="F18" s="14"/>
      <c r="G18" s="14"/>
      <c r="H18" s="14"/>
      <c r="I18" s="14"/>
      <c r="J18" s="13" t="str">
        <f t="shared" ca="1" si="0"/>
        <v>IN TIME</v>
      </c>
      <c r="K18" s="13" t="str">
        <f t="shared" si="1"/>
        <v/>
      </c>
      <c r="L18" s="13">
        <f t="shared" ca="1" si="2"/>
        <v>0</v>
      </c>
      <c r="M18" s="13">
        <f t="shared" ca="1" si="3"/>
        <v>1</v>
      </c>
      <c r="N18" s="13">
        <f t="shared" ca="1" si="4"/>
        <v>0</v>
      </c>
      <c r="O18" s="13" t="str">
        <f t="shared" si="5"/>
        <v/>
      </c>
      <c r="P18" s="20"/>
      <c r="Q18" s="42"/>
      <c r="R18" s="43"/>
      <c r="S18" s="43"/>
      <c r="T18" s="43"/>
      <c r="U18" s="43"/>
      <c r="V18" s="43"/>
      <c r="W18" s="43"/>
      <c r="X18" s="43"/>
      <c r="Y18" s="43"/>
      <c r="Z18" s="43"/>
      <c r="AA18" s="43"/>
      <c r="AB18" s="43"/>
      <c r="AC18" s="27"/>
      <c r="AD18" s="27"/>
    </row>
    <row r="19" spans="1:30" ht="24.6" customHeight="1" x14ac:dyDescent="0.15">
      <c r="A19" s="15">
        <v>255</v>
      </c>
      <c r="B19" s="13"/>
      <c r="C19" s="12"/>
      <c r="D19" s="13"/>
      <c r="E19" s="13"/>
      <c r="F19" s="14"/>
      <c r="G19" s="14"/>
      <c r="H19" s="14"/>
      <c r="I19" s="14"/>
      <c r="J19" s="13" t="str">
        <f t="shared" ca="1" si="0"/>
        <v>IN TIME</v>
      </c>
      <c r="K19" s="13" t="str">
        <f t="shared" si="1"/>
        <v/>
      </c>
      <c r="L19" s="13">
        <f t="shared" ca="1" si="2"/>
        <v>0</v>
      </c>
      <c r="M19" s="13">
        <f t="shared" ca="1" si="3"/>
        <v>1</v>
      </c>
      <c r="N19" s="13">
        <f t="shared" ca="1" si="4"/>
        <v>0</v>
      </c>
      <c r="O19" s="13" t="str">
        <f t="shared" si="5"/>
        <v/>
      </c>
      <c r="P19" s="20"/>
      <c r="Q19" s="42"/>
      <c r="R19" s="43"/>
      <c r="S19" s="43"/>
      <c r="T19" s="43"/>
      <c r="U19" s="43"/>
      <c r="V19" s="43"/>
      <c r="W19" s="43"/>
      <c r="X19" s="43"/>
      <c r="Y19" s="43"/>
      <c r="Z19" s="43"/>
      <c r="AA19" s="43"/>
      <c r="AB19" s="43"/>
      <c r="AC19" s="27"/>
      <c r="AD19" s="27"/>
    </row>
    <row r="20" spans="1:30" ht="24.6" customHeight="1" x14ac:dyDescent="0.15">
      <c r="A20" s="15">
        <v>256</v>
      </c>
      <c r="B20" s="13"/>
      <c r="C20" s="12"/>
      <c r="D20" s="13"/>
      <c r="E20" s="13"/>
      <c r="F20" s="14"/>
      <c r="G20" s="14"/>
      <c r="H20" s="14"/>
      <c r="I20" s="14"/>
      <c r="J20" s="13" t="str">
        <f t="shared" ca="1" si="0"/>
        <v>IN TIME</v>
      </c>
      <c r="K20" s="13" t="str">
        <f t="shared" si="1"/>
        <v/>
      </c>
      <c r="L20" s="13">
        <f t="shared" ca="1" si="2"/>
        <v>0</v>
      </c>
      <c r="M20" s="13">
        <f t="shared" ca="1" si="3"/>
        <v>1</v>
      </c>
      <c r="N20" s="13">
        <f t="shared" ca="1" si="4"/>
        <v>0</v>
      </c>
      <c r="O20" s="13" t="str">
        <f t="shared" si="5"/>
        <v/>
      </c>
      <c r="P20" s="20"/>
      <c r="Q20" s="42"/>
      <c r="R20" s="43"/>
      <c r="S20" s="43"/>
      <c r="T20" s="43"/>
      <c r="U20" s="43"/>
      <c r="V20" s="43"/>
      <c r="W20" s="43"/>
      <c r="X20" s="43"/>
      <c r="Y20" s="43"/>
      <c r="Z20" s="43"/>
      <c r="AA20" s="43"/>
      <c r="AB20" s="43"/>
      <c r="AC20" s="27"/>
      <c r="AD20" s="27"/>
    </row>
    <row r="21" spans="1:30" ht="24.6" customHeight="1" x14ac:dyDescent="0.15">
      <c r="A21" s="15">
        <v>257</v>
      </c>
      <c r="B21" s="13"/>
      <c r="C21" s="12"/>
      <c r="D21" s="13"/>
      <c r="E21" s="13"/>
      <c r="F21" s="14"/>
      <c r="G21" s="14"/>
      <c r="H21" s="14"/>
      <c r="I21" s="14"/>
      <c r="J21" s="13" t="str">
        <f t="shared" ca="1" si="0"/>
        <v>IN TIME</v>
      </c>
      <c r="K21" s="13" t="str">
        <f t="shared" si="1"/>
        <v/>
      </c>
      <c r="L21" s="13">
        <f t="shared" ca="1" si="2"/>
        <v>0</v>
      </c>
      <c r="M21" s="13">
        <f t="shared" ca="1" si="3"/>
        <v>1</v>
      </c>
      <c r="N21" s="13">
        <f t="shared" ca="1" si="4"/>
        <v>0</v>
      </c>
      <c r="O21" s="13" t="str">
        <f t="shared" si="5"/>
        <v/>
      </c>
      <c r="P21" s="20"/>
      <c r="Q21" s="42"/>
      <c r="R21" s="43"/>
      <c r="S21" s="43"/>
      <c r="T21" s="43"/>
      <c r="U21" s="43"/>
      <c r="V21" s="43"/>
      <c r="W21" s="43"/>
      <c r="X21" s="43"/>
      <c r="Y21" s="43"/>
      <c r="Z21" s="43"/>
      <c r="AA21" s="43"/>
      <c r="AB21" s="43"/>
      <c r="AC21" s="27"/>
      <c r="AD21" s="27"/>
    </row>
    <row r="22" spans="1:30" ht="24.6" customHeight="1" x14ac:dyDescent="0.15">
      <c r="A22" s="15">
        <v>258</v>
      </c>
      <c r="B22" s="13"/>
      <c r="C22" s="12"/>
      <c r="D22" s="13"/>
      <c r="E22" s="13"/>
      <c r="F22" s="14"/>
      <c r="G22" s="14"/>
      <c r="H22" s="14"/>
      <c r="I22" s="14"/>
      <c r="J22" s="13" t="str">
        <f t="shared" ca="1" si="0"/>
        <v>IN TIME</v>
      </c>
      <c r="K22" s="13" t="str">
        <f t="shared" si="1"/>
        <v/>
      </c>
      <c r="L22" s="13">
        <f t="shared" ca="1" si="2"/>
        <v>0</v>
      </c>
      <c r="M22" s="13">
        <f t="shared" ca="1" si="3"/>
        <v>1</v>
      </c>
      <c r="N22" s="13">
        <f t="shared" ca="1" si="4"/>
        <v>0</v>
      </c>
      <c r="O22" s="13" t="str">
        <f t="shared" si="5"/>
        <v/>
      </c>
      <c r="P22" s="20"/>
      <c r="Q22" s="42"/>
      <c r="R22" s="43"/>
      <c r="S22" s="43"/>
      <c r="T22" s="43"/>
      <c r="U22" s="43"/>
      <c r="V22" s="43"/>
      <c r="W22" s="43"/>
      <c r="X22" s="43"/>
      <c r="Y22" s="43"/>
      <c r="Z22" s="43"/>
      <c r="AA22" s="43"/>
      <c r="AB22" s="43"/>
      <c r="AC22" s="27"/>
      <c r="AD22" s="27"/>
    </row>
    <row r="23" spans="1:30" ht="24.6" customHeight="1" x14ac:dyDescent="0.15">
      <c r="A23" s="15">
        <v>259</v>
      </c>
      <c r="B23" s="13"/>
      <c r="C23" s="12"/>
      <c r="D23" s="13"/>
      <c r="E23" s="13"/>
      <c r="F23" s="14"/>
      <c r="G23" s="14"/>
      <c r="H23" s="14"/>
      <c r="I23" s="14"/>
      <c r="J23" s="13" t="str">
        <f t="shared" ca="1" si="0"/>
        <v>IN TIME</v>
      </c>
      <c r="K23" s="13" t="str">
        <f t="shared" si="1"/>
        <v/>
      </c>
      <c r="L23" s="13">
        <f t="shared" ca="1" si="2"/>
        <v>0</v>
      </c>
      <c r="M23" s="13">
        <f t="shared" ca="1" si="3"/>
        <v>1</v>
      </c>
      <c r="N23" s="13">
        <f t="shared" ca="1" si="4"/>
        <v>0</v>
      </c>
      <c r="O23" s="13" t="str">
        <f t="shared" si="5"/>
        <v/>
      </c>
      <c r="P23" s="20"/>
      <c r="Q23" s="42"/>
      <c r="R23" s="43"/>
      <c r="S23" s="43"/>
      <c r="T23" s="43"/>
      <c r="U23" s="43"/>
      <c r="V23" s="43"/>
      <c r="W23" s="43"/>
      <c r="X23" s="43"/>
      <c r="Y23" s="43"/>
      <c r="Z23" s="43"/>
      <c r="AA23" s="43"/>
      <c r="AB23" s="43"/>
      <c r="AC23" s="27"/>
      <c r="AD23" s="27"/>
    </row>
    <row r="24" spans="1:30" ht="24.6" customHeight="1" x14ac:dyDescent="0.15">
      <c r="A24" s="15">
        <v>260</v>
      </c>
      <c r="B24" s="13"/>
      <c r="C24" s="12"/>
      <c r="D24" s="13"/>
      <c r="E24" s="13"/>
      <c r="F24" s="14"/>
      <c r="G24" s="14"/>
      <c r="H24" s="14"/>
      <c r="I24" s="14"/>
      <c r="J24" s="13" t="str">
        <f t="shared" ca="1" si="0"/>
        <v>IN TIME</v>
      </c>
      <c r="K24" s="13" t="str">
        <f t="shared" si="1"/>
        <v/>
      </c>
      <c r="L24" s="13">
        <f t="shared" ca="1" si="2"/>
        <v>0</v>
      </c>
      <c r="M24" s="13">
        <f t="shared" ca="1" si="3"/>
        <v>1</v>
      </c>
      <c r="N24" s="13">
        <f t="shared" ca="1" si="4"/>
        <v>0</v>
      </c>
      <c r="O24" s="13" t="str">
        <f t="shared" si="5"/>
        <v/>
      </c>
      <c r="P24" s="20"/>
      <c r="Q24" s="42"/>
      <c r="R24" s="43"/>
      <c r="S24" s="43"/>
      <c r="T24" s="43"/>
      <c r="U24" s="43"/>
      <c r="V24" s="43"/>
      <c r="W24" s="43"/>
      <c r="X24" s="43"/>
      <c r="Y24" s="43"/>
      <c r="Z24" s="43"/>
      <c r="AA24" s="43"/>
      <c r="AB24" s="43"/>
      <c r="AC24" s="27"/>
      <c r="AD24" s="27"/>
    </row>
    <row r="25" spans="1:30" ht="24.6" customHeight="1" x14ac:dyDescent="0.15">
      <c r="A25" s="15">
        <v>261</v>
      </c>
      <c r="B25" s="13"/>
      <c r="C25" s="12"/>
      <c r="D25" s="13"/>
      <c r="E25" s="13"/>
      <c r="F25" s="14"/>
      <c r="G25" s="14"/>
      <c r="H25" s="14"/>
      <c r="I25" s="14"/>
      <c r="J25" s="13" t="str">
        <f t="shared" ca="1" si="0"/>
        <v>IN TIME</v>
      </c>
      <c r="K25" s="13" t="str">
        <f t="shared" si="1"/>
        <v/>
      </c>
      <c r="L25" s="13">
        <f t="shared" ca="1" si="2"/>
        <v>0</v>
      </c>
      <c r="M25" s="13">
        <f t="shared" ca="1" si="3"/>
        <v>1</v>
      </c>
      <c r="N25" s="13">
        <f t="shared" ca="1" si="4"/>
        <v>0</v>
      </c>
      <c r="O25" s="13" t="str">
        <f t="shared" si="5"/>
        <v/>
      </c>
      <c r="P25" s="20"/>
      <c r="Q25" s="42"/>
      <c r="R25" s="43"/>
      <c r="S25" s="43"/>
      <c r="T25" s="43"/>
      <c r="U25" s="43"/>
      <c r="V25" s="43"/>
      <c r="W25" s="43"/>
      <c r="X25" s="43"/>
      <c r="Y25" s="43"/>
      <c r="Z25" s="43"/>
      <c r="AA25" s="43"/>
      <c r="AB25" s="43"/>
      <c r="AC25" s="27"/>
      <c r="AD25" s="27"/>
    </row>
    <row r="26" spans="1:30" ht="24.6" customHeight="1" x14ac:dyDescent="0.15">
      <c r="A26" s="15">
        <v>262</v>
      </c>
      <c r="B26" s="13"/>
      <c r="C26" s="12"/>
      <c r="D26" s="13"/>
      <c r="E26" s="13"/>
      <c r="F26" s="14"/>
      <c r="G26" s="14"/>
      <c r="H26" s="14"/>
      <c r="I26" s="14"/>
      <c r="J26" s="13" t="str">
        <f t="shared" ca="1" si="0"/>
        <v>IN TIME</v>
      </c>
      <c r="K26" s="13" t="str">
        <f t="shared" si="1"/>
        <v/>
      </c>
      <c r="L26" s="13">
        <f t="shared" ca="1" si="2"/>
        <v>0</v>
      </c>
      <c r="M26" s="13">
        <f t="shared" ca="1" si="3"/>
        <v>1</v>
      </c>
      <c r="N26" s="13">
        <f t="shared" ca="1" si="4"/>
        <v>0</v>
      </c>
      <c r="O26" s="13" t="str">
        <f t="shared" si="5"/>
        <v/>
      </c>
      <c r="P26" s="20"/>
      <c r="Q26" s="42"/>
      <c r="R26" s="43"/>
      <c r="S26" s="43"/>
      <c r="T26" s="43"/>
      <c r="U26" s="43"/>
      <c r="V26" s="43"/>
      <c r="W26" s="43"/>
      <c r="X26" s="43"/>
      <c r="Y26" s="43"/>
      <c r="Z26" s="43"/>
      <c r="AA26" s="43"/>
      <c r="AB26" s="43"/>
      <c r="AC26" s="27"/>
      <c r="AD26" s="27"/>
    </row>
    <row r="27" spans="1:30" ht="24.6" customHeight="1" x14ac:dyDescent="0.15">
      <c r="A27" s="15">
        <v>263</v>
      </c>
      <c r="B27" s="13"/>
      <c r="C27" s="12"/>
      <c r="D27" s="13"/>
      <c r="E27" s="13"/>
      <c r="F27" s="14"/>
      <c r="G27" s="14"/>
      <c r="H27" s="14"/>
      <c r="I27" s="14"/>
      <c r="J27" s="13" t="str">
        <f t="shared" ca="1" si="0"/>
        <v>IN TIME</v>
      </c>
      <c r="K27" s="13" t="str">
        <f t="shared" si="1"/>
        <v/>
      </c>
      <c r="L27" s="13">
        <f t="shared" ca="1" si="2"/>
        <v>0</v>
      </c>
      <c r="M27" s="13">
        <f t="shared" ca="1" si="3"/>
        <v>1</v>
      </c>
      <c r="N27" s="13">
        <f t="shared" ca="1" si="4"/>
        <v>0</v>
      </c>
      <c r="O27" s="13" t="str">
        <f t="shared" si="5"/>
        <v/>
      </c>
      <c r="P27" s="20"/>
      <c r="Q27" s="42"/>
      <c r="R27" s="43"/>
      <c r="S27" s="43"/>
      <c r="T27" s="43"/>
      <c r="U27" s="43"/>
      <c r="V27" s="43"/>
      <c r="W27" s="43"/>
      <c r="X27" s="43"/>
      <c r="Y27" s="43"/>
      <c r="Z27" s="43"/>
      <c r="AA27" s="43"/>
      <c r="AB27" s="43"/>
      <c r="AC27" s="27"/>
      <c r="AD27" s="27"/>
    </row>
    <row r="28" spans="1:30" ht="24.6" customHeight="1" x14ac:dyDescent="0.15">
      <c r="A28" s="15">
        <v>264</v>
      </c>
      <c r="B28" s="13"/>
      <c r="C28" s="12"/>
      <c r="D28" s="13"/>
      <c r="E28" s="13"/>
      <c r="F28" s="14"/>
      <c r="G28" s="14"/>
      <c r="H28" s="14"/>
      <c r="I28" s="14"/>
      <c r="J28" s="13" t="str">
        <f t="shared" ca="1" si="0"/>
        <v>IN TIME</v>
      </c>
      <c r="K28" s="13" t="str">
        <f t="shared" si="1"/>
        <v/>
      </c>
      <c r="L28" s="13">
        <f t="shared" ca="1" si="2"/>
        <v>0</v>
      </c>
      <c r="M28" s="13">
        <f t="shared" ca="1" si="3"/>
        <v>1</v>
      </c>
      <c r="N28" s="13">
        <f t="shared" ca="1" si="4"/>
        <v>0</v>
      </c>
      <c r="O28" s="13" t="str">
        <f t="shared" si="5"/>
        <v/>
      </c>
      <c r="P28" s="20"/>
      <c r="Q28" s="42"/>
      <c r="R28" s="43"/>
      <c r="S28" s="43"/>
      <c r="T28" s="43"/>
      <c r="U28" s="43"/>
      <c r="V28" s="43"/>
      <c r="W28" s="43"/>
      <c r="X28" s="43"/>
      <c r="Y28" s="43"/>
      <c r="Z28" s="43"/>
      <c r="AA28" s="43"/>
      <c r="AB28" s="43"/>
      <c r="AC28" s="27"/>
      <c r="AD28" s="27"/>
    </row>
    <row r="29" spans="1:30" ht="24.6" customHeight="1" x14ac:dyDescent="0.15">
      <c r="A29" s="15">
        <v>265</v>
      </c>
      <c r="B29" s="13"/>
      <c r="C29" s="12"/>
      <c r="D29" s="13"/>
      <c r="E29" s="13"/>
      <c r="F29" s="14"/>
      <c r="G29" s="14"/>
      <c r="H29" s="14"/>
      <c r="I29" s="14"/>
      <c r="J29" s="13" t="str">
        <f t="shared" ca="1" si="0"/>
        <v>IN TIME</v>
      </c>
      <c r="K29" s="13" t="str">
        <f t="shared" si="1"/>
        <v/>
      </c>
      <c r="L29" s="13">
        <f t="shared" ca="1" si="2"/>
        <v>0</v>
      </c>
      <c r="M29" s="13">
        <f t="shared" ca="1" si="3"/>
        <v>1</v>
      </c>
      <c r="N29" s="13">
        <f t="shared" ca="1" si="4"/>
        <v>0</v>
      </c>
      <c r="O29" s="13" t="str">
        <f t="shared" si="5"/>
        <v/>
      </c>
      <c r="P29" s="20"/>
      <c r="Q29" s="42"/>
      <c r="R29" s="43"/>
      <c r="S29" s="43"/>
      <c r="T29" s="43"/>
      <c r="U29" s="43"/>
      <c r="V29" s="43"/>
      <c r="W29" s="43"/>
      <c r="X29" s="43"/>
      <c r="Y29" s="43"/>
      <c r="Z29" s="43"/>
      <c r="AA29" s="43"/>
      <c r="AB29" s="43"/>
      <c r="AC29" s="27"/>
      <c r="AD29" s="27"/>
    </row>
    <row r="30" spans="1:30" ht="24.6" customHeight="1" x14ac:dyDescent="0.15">
      <c r="A30" s="15">
        <v>266</v>
      </c>
      <c r="B30" s="13"/>
      <c r="C30" s="12"/>
      <c r="D30" s="13"/>
      <c r="E30" s="13"/>
      <c r="F30" s="14"/>
      <c r="G30" s="14"/>
      <c r="H30" s="14"/>
      <c r="I30" s="14"/>
      <c r="J30" s="13" t="str">
        <f t="shared" ca="1" si="0"/>
        <v>IN TIME</v>
      </c>
      <c r="K30" s="13" t="str">
        <f t="shared" si="1"/>
        <v/>
      </c>
      <c r="L30" s="13">
        <f t="shared" ca="1" si="2"/>
        <v>0</v>
      </c>
      <c r="M30" s="13">
        <f t="shared" ca="1" si="3"/>
        <v>1</v>
      </c>
      <c r="N30" s="13">
        <f t="shared" ca="1" si="4"/>
        <v>0</v>
      </c>
      <c r="O30" s="13" t="str">
        <f t="shared" si="5"/>
        <v/>
      </c>
      <c r="P30" s="20"/>
      <c r="Q30" s="42"/>
      <c r="R30" s="43"/>
      <c r="S30" s="43"/>
      <c r="T30" s="43"/>
      <c r="U30" s="43"/>
      <c r="V30" s="43"/>
      <c r="W30" s="43"/>
      <c r="X30" s="43"/>
      <c r="Y30" s="43"/>
      <c r="Z30" s="43"/>
      <c r="AA30" s="43"/>
      <c r="AB30" s="43"/>
      <c r="AC30" s="27"/>
      <c r="AD30" s="27"/>
    </row>
  </sheetData>
  <autoFilter ref="A3:P30"/>
  <mergeCells count="3">
    <mergeCell ref="A1:P1"/>
    <mergeCell ref="A2:B2"/>
    <mergeCell ref="Q3:AB14"/>
  </mergeCells>
  <phoneticPr fontId="34" type="noConversion"/>
  <conditionalFormatting sqref="J4">
    <cfRule type="cellIs" dxfId="338" priority="79" operator="equal">
      <formula>"OVERDUE"</formula>
    </cfRule>
    <cfRule type="cellIs" dxfId="337" priority="80" operator="equal">
      <formula>"DONE"</formula>
    </cfRule>
    <cfRule type="cellIs" dxfId="336" priority="81" operator="equal">
      <formula>"DONE"</formula>
    </cfRule>
  </conditionalFormatting>
  <conditionalFormatting sqref="J5">
    <cfRule type="cellIs" dxfId="335" priority="76" operator="equal">
      <formula>"OVERDUE"</formula>
    </cfRule>
    <cfRule type="cellIs" dxfId="334" priority="77" operator="equal">
      <formula>"DONE"</formula>
    </cfRule>
    <cfRule type="cellIs" dxfId="333" priority="78" operator="equal">
      <formula>"DONE"</formula>
    </cfRule>
  </conditionalFormatting>
  <conditionalFormatting sqref="J6">
    <cfRule type="cellIs" dxfId="332" priority="73" operator="equal">
      <formula>"OVERDUE"</formula>
    </cfRule>
    <cfRule type="cellIs" dxfId="331" priority="74" operator="equal">
      <formula>"DONE"</formula>
    </cfRule>
    <cfRule type="cellIs" dxfId="330" priority="75" operator="equal">
      <formula>"DONE"</formula>
    </cfRule>
  </conditionalFormatting>
  <conditionalFormatting sqref="J7">
    <cfRule type="cellIs" dxfId="329" priority="70" operator="equal">
      <formula>"OVERDUE"</formula>
    </cfRule>
    <cfRule type="cellIs" dxfId="328" priority="71" operator="equal">
      <formula>"DONE"</formula>
    </cfRule>
    <cfRule type="cellIs" dxfId="327" priority="72" operator="equal">
      <formula>"DONE"</formula>
    </cfRule>
  </conditionalFormatting>
  <conditionalFormatting sqref="J8">
    <cfRule type="cellIs" dxfId="326" priority="67" operator="equal">
      <formula>"OVERDUE"</formula>
    </cfRule>
    <cfRule type="cellIs" dxfId="325" priority="68" operator="equal">
      <formula>"DONE"</formula>
    </cfRule>
    <cfRule type="cellIs" dxfId="324" priority="69" operator="equal">
      <formula>"DONE"</formula>
    </cfRule>
  </conditionalFormatting>
  <conditionalFormatting sqref="J9">
    <cfRule type="cellIs" dxfId="323" priority="64" operator="equal">
      <formula>"OVERDUE"</formula>
    </cfRule>
    <cfRule type="cellIs" dxfId="322" priority="65" operator="equal">
      <formula>"DONE"</formula>
    </cfRule>
    <cfRule type="cellIs" dxfId="321" priority="66" operator="equal">
      <formula>"DONE"</formula>
    </cfRule>
  </conditionalFormatting>
  <conditionalFormatting sqref="J10">
    <cfRule type="cellIs" dxfId="320" priority="61" operator="equal">
      <formula>"OVERDUE"</formula>
    </cfRule>
    <cfRule type="cellIs" dxfId="319" priority="62" operator="equal">
      <formula>"DONE"</formula>
    </cfRule>
    <cfRule type="cellIs" dxfId="318" priority="63" operator="equal">
      <formula>"DONE"</formula>
    </cfRule>
  </conditionalFormatting>
  <conditionalFormatting sqref="J11">
    <cfRule type="cellIs" dxfId="317" priority="58" operator="equal">
      <formula>"OVERDUE"</formula>
    </cfRule>
    <cfRule type="cellIs" dxfId="316" priority="59" operator="equal">
      <formula>"DONE"</formula>
    </cfRule>
    <cfRule type="cellIs" dxfId="315" priority="60" operator="equal">
      <formula>"DONE"</formula>
    </cfRule>
  </conditionalFormatting>
  <conditionalFormatting sqref="J12">
    <cfRule type="cellIs" dxfId="314" priority="55" operator="equal">
      <formula>"OVERDUE"</formula>
    </cfRule>
    <cfRule type="cellIs" dxfId="313" priority="56" operator="equal">
      <formula>"DONE"</formula>
    </cfRule>
    <cfRule type="cellIs" dxfId="312" priority="57" operator="equal">
      <formula>"DONE"</formula>
    </cfRule>
  </conditionalFormatting>
  <conditionalFormatting sqref="J13">
    <cfRule type="cellIs" dxfId="311" priority="52" operator="equal">
      <formula>"OVERDUE"</formula>
    </cfRule>
    <cfRule type="cellIs" dxfId="310" priority="53" operator="equal">
      <formula>"DONE"</formula>
    </cfRule>
    <cfRule type="cellIs" dxfId="309" priority="54" operator="equal">
      <formula>"DONE"</formula>
    </cfRule>
  </conditionalFormatting>
  <conditionalFormatting sqref="J14">
    <cfRule type="cellIs" dxfId="308" priority="49" operator="equal">
      <formula>"OVERDUE"</formula>
    </cfRule>
    <cfRule type="cellIs" dxfId="307" priority="50" operator="equal">
      <formula>"DONE"</formula>
    </cfRule>
    <cfRule type="cellIs" dxfId="306" priority="51" operator="equal">
      <formula>"DONE"</formula>
    </cfRule>
  </conditionalFormatting>
  <conditionalFormatting sqref="J15">
    <cfRule type="cellIs" dxfId="305" priority="46" operator="equal">
      <formula>"OVERDUE"</formula>
    </cfRule>
    <cfRule type="cellIs" dxfId="304" priority="47" operator="equal">
      <formula>"DONE"</formula>
    </cfRule>
    <cfRule type="cellIs" dxfId="303" priority="48" operator="equal">
      <formula>"DONE"</formula>
    </cfRule>
  </conditionalFormatting>
  <conditionalFormatting sqref="J16">
    <cfRule type="cellIs" dxfId="302" priority="43" operator="equal">
      <formula>"OVERDUE"</formula>
    </cfRule>
    <cfRule type="cellIs" dxfId="301" priority="44" operator="equal">
      <formula>"DONE"</formula>
    </cfRule>
    <cfRule type="cellIs" dxfId="300" priority="45" operator="equal">
      <formula>"DONE"</formula>
    </cfRule>
  </conditionalFormatting>
  <conditionalFormatting sqref="J17">
    <cfRule type="cellIs" dxfId="299" priority="40" operator="equal">
      <formula>"OVERDUE"</formula>
    </cfRule>
    <cfRule type="cellIs" dxfId="298" priority="41" operator="equal">
      <formula>"DONE"</formula>
    </cfRule>
    <cfRule type="cellIs" dxfId="297" priority="42" operator="equal">
      <formula>"DONE"</formula>
    </cfRule>
  </conditionalFormatting>
  <conditionalFormatting sqref="J18">
    <cfRule type="cellIs" dxfId="296" priority="37" operator="equal">
      <formula>"OVERDUE"</formula>
    </cfRule>
    <cfRule type="cellIs" dxfId="295" priority="38" operator="equal">
      <formula>"DONE"</formula>
    </cfRule>
    <cfRule type="cellIs" dxfId="294" priority="39" operator="equal">
      <formula>"DONE"</formula>
    </cfRule>
  </conditionalFormatting>
  <conditionalFormatting sqref="J19">
    <cfRule type="cellIs" dxfId="293" priority="34" operator="equal">
      <formula>"OVERDUE"</formula>
    </cfRule>
    <cfRule type="cellIs" dxfId="292" priority="35" operator="equal">
      <formula>"DONE"</formula>
    </cfRule>
    <cfRule type="cellIs" dxfId="291" priority="36" operator="equal">
      <formula>"DONE"</formula>
    </cfRule>
  </conditionalFormatting>
  <conditionalFormatting sqref="J20">
    <cfRule type="cellIs" dxfId="290" priority="31" operator="equal">
      <formula>"OVERDUE"</formula>
    </cfRule>
    <cfRule type="cellIs" dxfId="289" priority="32" operator="equal">
      <formula>"DONE"</formula>
    </cfRule>
    <cfRule type="cellIs" dxfId="288" priority="33" operator="equal">
      <formula>"DONE"</formula>
    </cfRule>
  </conditionalFormatting>
  <conditionalFormatting sqref="J21">
    <cfRule type="cellIs" dxfId="287" priority="28" operator="equal">
      <formula>"OVERDUE"</formula>
    </cfRule>
    <cfRule type="cellIs" dxfId="286" priority="29" operator="equal">
      <formula>"DONE"</formula>
    </cfRule>
    <cfRule type="cellIs" dxfId="285" priority="30" operator="equal">
      <formula>"DONE"</formula>
    </cfRule>
  </conditionalFormatting>
  <conditionalFormatting sqref="J22">
    <cfRule type="cellIs" dxfId="284" priority="25" operator="equal">
      <formula>"OVERDUE"</formula>
    </cfRule>
    <cfRule type="cellIs" dxfId="283" priority="26" operator="equal">
      <formula>"DONE"</formula>
    </cfRule>
    <cfRule type="cellIs" dxfId="282" priority="27" operator="equal">
      <formula>"DONE"</formula>
    </cfRule>
  </conditionalFormatting>
  <conditionalFormatting sqref="J23">
    <cfRule type="cellIs" dxfId="281" priority="22" operator="equal">
      <formula>"OVERDUE"</formula>
    </cfRule>
    <cfRule type="cellIs" dxfId="280" priority="23" operator="equal">
      <formula>"DONE"</formula>
    </cfRule>
    <cfRule type="cellIs" dxfId="279" priority="24" operator="equal">
      <formula>"DONE"</formula>
    </cfRule>
  </conditionalFormatting>
  <conditionalFormatting sqref="J24">
    <cfRule type="cellIs" dxfId="278" priority="19" operator="equal">
      <formula>"OVERDUE"</formula>
    </cfRule>
    <cfRule type="cellIs" dxfId="277" priority="20" operator="equal">
      <formula>"DONE"</formula>
    </cfRule>
    <cfRule type="cellIs" dxfId="276" priority="21" operator="equal">
      <formula>"DONE"</formula>
    </cfRule>
  </conditionalFormatting>
  <conditionalFormatting sqref="J25">
    <cfRule type="cellIs" dxfId="275" priority="16" operator="equal">
      <formula>"OVERDUE"</formula>
    </cfRule>
    <cfRule type="cellIs" dxfId="274" priority="17" operator="equal">
      <formula>"DONE"</formula>
    </cfRule>
    <cfRule type="cellIs" dxfId="273" priority="18" operator="equal">
      <formula>"DONE"</formula>
    </cfRule>
  </conditionalFormatting>
  <conditionalFormatting sqref="J26">
    <cfRule type="cellIs" dxfId="272" priority="13" operator="equal">
      <formula>"OVERDUE"</formula>
    </cfRule>
    <cfRule type="cellIs" dxfId="271" priority="14" operator="equal">
      <formula>"DONE"</formula>
    </cfRule>
    <cfRule type="cellIs" dxfId="270" priority="15" operator="equal">
      <formula>"DONE"</formula>
    </cfRule>
  </conditionalFormatting>
  <conditionalFormatting sqref="J27">
    <cfRule type="cellIs" dxfId="269" priority="10" operator="equal">
      <formula>"OVERDUE"</formula>
    </cfRule>
    <cfRule type="cellIs" dxfId="268" priority="11" operator="equal">
      <formula>"DONE"</formula>
    </cfRule>
    <cfRule type="cellIs" dxfId="267" priority="12" operator="equal">
      <formula>"DONE"</formula>
    </cfRule>
  </conditionalFormatting>
  <conditionalFormatting sqref="J28">
    <cfRule type="cellIs" dxfId="266" priority="7" operator="equal">
      <formula>"OVERDUE"</formula>
    </cfRule>
    <cfRule type="cellIs" dxfId="265" priority="8" operator="equal">
      <formula>"DONE"</formula>
    </cfRule>
    <cfRule type="cellIs" dxfId="264" priority="9" operator="equal">
      <formula>"DONE"</formula>
    </cfRule>
  </conditionalFormatting>
  <conditionalFormatting sqref="J29">
    <cfRule type="cellIs" dxfId="263" priority="4" operator="equal">
      <formula>"OVERDUE"</formula>
    </cfRule>
    <cfRule type="cellIs" dxfId="262" priority="5" operator="equal">
      <formula>"DONE"</formula>
    </cfRule>
    <cfRule type="cellIs" dxfId="261" priority="6" operator="equal">
      <formula>"DONE"</formula>
    </cfRule>
  </conditionalFormatting>
  <conditionalFormatting sqref="J30">
    <cfRule type="cellIs" dxfId="260" priority="1" operator="equal">
      <formula>"OVERDUE"</formula>
    </cfRule>
    <cfRule type="cellIs" dxfId="259" priority="2" operator="equal">
      <formula>"DONE"</formula>
    </cfRule>
    <cfRule type="cellIs" dxfId="258" priority="3" operator="equal">
      <formula>"DONE"</formula>
    </cfRule>
  </conditionalFormatting>
  <conditionalFormatting sqref="J2:J3 J31:J1048576">
    <cfRule type="cellIs" dxfId="257" priority="82" operator="equal">
      <formula>"OVERDUE"</formula>
    </cfRule>
    <cfRule type="cellIs" dxfId="256" priority="83" operator="equal">
      <formula>"DONE"</formula>
    </cfRule>
    <cfRule type="cellIs" dxfId="255" priority="84" operator="equal">
      <formula>"DONE"</formula>
    </cfRule>
  </conditionalFormatting>
  <dataValidations count="1">
    <dataValidation type="list" allowBlank="1" showInputMessage="1" showErrorMessage="1" sqref="D1:D1048576">
      <formula1>"高,中,低"</formula1>
    </dataValidation>
  </dataValidations>
  <pageMargins left="0.51180555555555596" right="0" top="0.35416666666666702" bottom="0.39305555555555599" header="0.31388888888888899" footer="0.31388888888888899"/>
  <pageSetup paperSize="9" orientation="landscape"/>
  <drawing r:id="rId1"/>
  <legacyDrawing r:id="rId2"/>
  <mc:AlternateContent xmlns:mc="http://schemas.openxmlformats.org/markup-compatibility/2006">
    <mc:Choice Requires="x14">
      <controls>
        <mc:AlternateContent xmlns:mc="http://schemas.openxmlformats.org/markup-compatibility/2006">
          <mc:Choice Requires="x14">
            <control shapeId="14337" r:id="rId3" name="Button 1">
              <controlPr defaultSize="0" print="0" autoPict="0" macro="[0]!Insert_Line_moban">
                <anchor moveWithCells="1">
                  <from>
                    <xdr:col>0</xdr:col>
                    <xdr:colOff>104775</xdr:colOff>
                    <xdr:row>30</xdr:row>
                    <xdr:rowOff>85725</xdr:rowOff>
                  </from>
                  <to>
                    <xdr:col>1</xdr:col>
                    <xdr:colOff>800100</xdr:colOff>
                    <xdr:row>31</xdr:row>
                    <xdr:rowOff>161925</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rgb="FF92D050"/>
  </sheetPr>
  <dimension ref="A1:IL27"/>
  <sheetViews>
    <sheetView topLeftCell="C1" workbookViewId="0">
      <pane ySplit="3" topLeftCell="A7" activePane="bottomLeft" state="frozen"/>
      <selection activeCell="C76" sqref="C76"/>
      <selection pane="bottomLeft" activeCell="P11" sqref="P11"/>
    </sheetView>
  </sheetViews>
  <sheetFormatPr defaultColWidth="9" defaultRowHeight="14.25" x14ac:dyDescent="0.15"/>
  <cols>
    <col min="1" max="1" width="8.25" style="1" customWidth="1"/>
    <col min="2" max="2" width="12.125" style="1" customWidth="1"/>
    <col min="3" max="3" width="50.875" style="1" customWidth="1"/>
    <col min="4" max="4" width="6" style="2" customWidth="1"/>
    <col min="5" max="5" width="10.375" style="1" customWidth="1"/>
    <col min="6" max="6" width="11.75" style="1" customWidth="1"/>
    <col min="7" max="7" width="12.75" style="1" customWidth="1"/>
    <col min="8" max="8" width="12" style="1" customWidth="1"/>
    <col min="9" max="9" width="10.75" style="1" customWidth="1"/>
    <col min="10" max="10" width="8.625" style="1" customWidth="1"/>
    <col min="11" max="11" width="19.375" style="1" hidden="1" customWidth="1"/>
    <col min="12" max="14" width="9" style="1" hidden="1" customWidth="1"/>
    <col min="15" max="15" width="0.25" style="1" hidden="1" customWidth="1"/>
    <col min="16" max="16" width="34.75" style="1" customWidth="1"/>
    <col min="17" max="17" width="43" style="3" customWidth="1"/>
    <col min="18" max="16384" width="9" style="4"/>
  </cols>
  <sheetData>
    <row r="1" spans="1:246" ht="41.25" customHeight="1" x14ac:dyDescent="0.15">
      <c r="A1" s="214" t="s">
        <v>512</v>
      </c>
      <c r="B1" s="214"/>
      <c r="C1" s="214"/>
      <c r="D1" s="214"/>
      <c r="E1" s="214"/>
      <c r="F1" s="214"/>
      <c r="G1" s="214"/>
      <c r="H1" s="214"/>
      <c r="I1" s="214"/>
      <c r="J1" s="214"/>
      <c r="K1" s="214"/>
      <c r="L1" s="214"/>
      <c r="M1" s="214"/>
      <c r="N1" s="214"/>
      <c r="O1" s="214"/>
      <c r="P1" s="214"/>
      <c r="Q1" s="21"/>
      <c r="R1" s="22"/>
      <c r="S1" s="22"/>
      <c r="T1" s="22"/>
      <c r="U1" s="22"/>
      <c r="V1" s="22"/>
      <c r="W1" s="22"/>
      <c r="X1" s="22"/>
      <c r="Y1" s="22"/>
      <c r="Z1" s="22"/>
      <c r="AA1" s="22"/>
      <c r="AB1" s="22"/>
      <c r="AC1" s="22"/>
      <c r="AD1" s="22"/>
      <c r="AE1" s="22"/>
      <c r="AF1" s="22"/>
      <c r="AG1" s="22"/>
      <c r="AH1" s="22"/>
      <c r="AI1" s="22"/>
      <c r="AJ1" s="22"/>
      <c r="AK1" s="22"/>
      <c r="AL1" s="22"/>
      <c r="AM1" s="22"/>
      <c r="AN1" s="22"/>
      <c r="AO1" s="22"/>
      <c r="AP1" s="22"/>
      <c r="AQ1" s="22"/>
      <c r="AR1" s="22"/>
      <c r="AS1" s="22"/>
      <c r="AT1" s="22"/>
      <c r="AU1" s="22"/>
      <c r="AV1" s="22"/>
      <c r="AW1" s="22"/>
      <c r="AX1" s="22"/>
      <c r="AY1" s="22"/>
      <c r="AZ1" s="22"/>
      <c r="BA1" s="22"/>
      <c r="BB1" s="22"/>
      <c r="BC1" s="22"/>
      <c r="BD1" s="22"/>
      <c r="BE1" s="22"/>
      <c r="BF1" s="22"/>
      <c r="BG1" s="22"/>
      <c r="BH1" s="22"/>
      <c r="BI1" s="22"/>
      <c r="BJ1" s="22"/>
      <c r="BK1" s="22"/>
      <c r="BL1" s="22"/>
      <c r="BM1" s="22"/>
      <c r="BN1" s="22"/>
      <c r="BO1" s="22"/>
      <c r="BP1" s="22"/>
      <c r="BQ1" s="22"/>
      <c r="BR1" s="22"/>
      <c r="BS1" s="22"/>
      <c r="BT1" s="22"/>
      <c r="BU1" s="22"/>
      <c r="BV1" s="22"/>
      <c r="BW1" s="22"/>
      <c r="BX1" s="22"/>
      <c r="BY1" s="22"/>
      <c r="BZ1" s="22"/>
      <c r="CA1" s="22"/>
      <c r="CB1" s="22"/>
      <c r="CC1" s="22"/>
      <c r="CD1" s="22"/>
      <c r="CE1" s="22"/>
      <c r="CF1" s="22"/>
      <c r="CG1" s="22"/>
      <c r="CH1" s="22"/>
      <c r="CI1" s="22"/>
      <c r="CJ1" s="22"/>
      <c r="CK1" s="22"/>
      <c r="CL1" s="22"/>
      <c r="CM1" s="22"/>
      <c r="CN1" s="22"/>
      <c r="CO1" s="22"/>
      <c r="CP1" s="22"/>
      <c r="CQ1" s="22"/>
      <c r="CR1" s="22"/>
      <c r="CS1" s="22"/>
      <c r="CT1" s="22"/>
      <c r="CU1" s="22"/>
      <c r="CV1" s="22"/>
      <c r="CW1" s="22"/>
      <c r="CX1" s="22"/>
      <c r="CY1" s="22"/>
      <c r="CZ1" s="22"/>
      <c r="DA1" s="22"/>
      <c r="DB1" s="22"/>
      <c r="DC1" s="22"/>
      <c r="DD1" s="22"/>
      <c r="DE1" s="22"/>
      <c r="DF1" s="22"/>
      <c r="DG1" s="22"/>
      <c r="DH1" s="22"/>
      <c r="DI1" s="22"/>
      <c r="DJ1" s="22"/>
      <c r="DK1" s="22"/>
      <c r="DL1" s="22"/>
      <c r="DM1" s="22"/>
      <c r="DN1" s="22"/>
      <c r="DO1" s="22"/>
      <c r="DP1" s="22"/>
      <c r="DQ1" s="22"/>
      <c r="DR1" s="22"/>
      <c r="DS1" s="22"/>
      <c r="DT1" s="22"/>
      <c r="DU1" s="22"/>
      <c r="DV1" s="22"/>
      <c r="DW1" s="22"/>
      <c r="DX1" s="22"/>
      <c r="DY1" s="22"/>
      <c r="DZ1" s="22"/>
      <c r="EA1" s="22"/>
      <c r="EB1" s="22"/>
      <c r="EC1" s="22"/>
      <c r="ED1" s="22"/>
      <c r="EE1" s="22"/>
      <c r="EF1" s="22"/>
      <c r="EG1" s="22"/>
      <c r="EH1" s="22"/>
      <c r="EI1" s="22"/>
      <c r="EJ1" s="22"/>
      <c r="EK1" s="22"/>
      <c r="EL1" s="22"/>
      <c r="EM1" s="22"/>
      <c r="EN1" s="22"/>
      <c r="EO1" s="22"/>
      <c r="EP1" s="22"/>
      <c r="EQ1" s="22"/>
      <c r="ER1" s="22"/>
      <c r="ES1" s="22"/>
      <c r="ET1" s="22"/>
      <c r="EU1" s="22"/>
      <c r="EV1" s="22"/>
      <c r="EW1" s="22"/>
      <c r="EX1" s="22"/>
      <c r="EY1" s="22"/>
      <c r="EZ1" s="22"/>
      <c r="FA1" s="22"/>
      <c r="FB1" s="22"/>
      <c r="FC1" s="22"/>
      <c r="FD1" s="22"/>
      <c r="FE1" s="22"/>
      <c r="FF1" s="22"/>
      <c r="FG1" s="22"/>
      <c r="FH1" s="22"/>
      <c r="FI1" s="22"/>
      <c r="FJ1" s="22"/>
      <c r="FK1" s="22"/>
      <c r="FL1" s="22"/>
      <c r="FM1" s="22"/>
      <c r="FN1" s="22"/>
      <c r="FO1" s="22"/>
      <c r="FP1" s="22"/>
      <c r="FQ1" s="22"/>
      <c r="FR1" s="22"/>
      <c r="FS1" s="22"/>
      <c r="FT1" s="22"/>
      <c r="FU1" s="22"/>
      <c r="FV1" s="22"/>
      <c r="FW1" s="22"/>
      <c r="FX1" s="22"/>
      <c r="FY1" s="22"/>
      <c r="FZ1" s="22"/>
      <c r="GA1" s="22"/>
      <c r="GB1" s="22"/>
      <c r="GC1" s="22"/>
      <c r="GD1" s="22"/>
      <c r="GE1" s="22"/>
      <c r="GF1" s="22"/>
      <c r="GG1" s="22"/>
      <c r="GH1" s="22"/>
      <c r="GI1" s="22"/>
      <c r="GJ1" s="22"/>
      <c r="GK1" s="22"/>
      <c r="GL1" s="22"/>
      <c r="GM1" s="22"/>
      <c r="GN1" s="22"/>
      <c r="GO1" s="22"/>
      <c r="GP1" s="22"/>
      <c r="GQ1" s="22"/>
      <c r="GR1" s="22"/>
      <c r="GS1" s="22"/>
      <c r="GT1" s="22"/>
      <c r="GU1" s="22"/>
      <c r="GV1" s="22"/>
      <c r="GW1" s="22"/>
      <c r="GX1" s="22"/>
      <c r="GY1" s="22"/>
      <c r="GZ1" s="22"/>
      <c r="HA1" s="22"/>
      <c r="HB1" s="22"/>
      <c r="HC1" s="22"/>
      <c r="HD1" s="22"/>
      <c r="HE1" s="22"/>
      <c r="HF1" s="22"/>
      <c r="HG1" s="22"/>
      <c r="HH1" s="22"/>
      <c r="HI1" s="22"/>
      <c r="HJ1" s="22"/>
      <c r="HK1" s="22"/>
      <c r="HL1" s="22"/>
      <c r="HM1" s="22"/>
      <c r="HN1" s="22"/>
      <c r="HO1" s="22"/>
      <c r="HP1" s="22"/>
      <c r="HQ1" s="22"/>
      <c r="HR1" s="22"/>
      <c r="HS1" s="22"/>
      <c r="HT1" s="22"/>
      <c r="HU1" s="22"/>
      <c r="HV1" s="22"/>
      <c r="HW1" s="22"/>
      <c r="HX1" s="22"/>
      <c r="HY1" s="22"/>
      <c r="HZ1" s="22"/>
      <c r="IA1" s="22"/>
      <c r="IB1" s="22"/>
      <c r="IC1" s="22"/>
      <c r="ID1" s="22"/>
      <c r="IE1" s="22"/>
      <c r="IF1" s="22"/>
      <c r="IG1" s="22"/>
      <c r="IH1" s="22"/>
      <c r="II1" s="22"/>
      <c r="IJ1" s="22"/>
      <c r="IK1" s="22"/>
      <c r="IL1" s="22"/>
    </row>
    <row r="2" spans="1:246" ht="18.75" customHeight="1" x14ac:dyDescent="0.2">
      <c r="A2" s="215" t="s">
        <v>1</v>
      </c>
      <c r="B2" s="215"/>
      <c r="C2" s="5">
        <f ca="1">TODAY()</f>
        <v>44477</v>
      </c>
      <c r="D2" s="6" t="s">
        <v>2</v>
      </c>
      <c r="E2" s="7"/>
      <c r="F2" s="8"/>
      <c r="G2" s="8"/>
      <c r="H2" s="8"/>
      <c r="I2" s="8"/>
      <c r="J2" s="8"/>
      <c r="K2" s="17"/>
      <c r="L2" s="17"/>
      <c r="M2" s="17"/>
      <c r="N2" s="17"/>
      <c r="O2" s="17"/>
      <c r="P2" s="18"/>
      <c r="Q2" s="23"/>
      <c r="R2" s="24"/>
      <c r="S2" s="24"/>
      <c r="T2" s="24"/>
      <c r="U2" s="24"/>
      <c r="V2" s="24"/>
      <c r="W2" s="24"/>
      <c r="X2" s="24"/>
      <c r="Y2" s="24"/>
      <c r="Z2" s="24"/>
      <c r="AA2" s="24"/>
      <c r="AB2" s="24"/>
      <c r="AC2" s="24"/>
      <c r="AD2" s="24"/>
      <c r="AE2" s="24"/>
      <c r="AF2" s="24"/>
      <c r="AG2" s="24"/>
      <c r="AH2" s="24"/>
      <c r="AI2" s="24"/>
      <c r="AJ2" s="24"/>
      <c r="AK2" s="24"/>
      <c r="AL2" s="24"/>
      <c r="AM2" s="24"/>
      <c r="AN2" s="24"/>
      <c r="AO2" s="24"/>
      <c r="AP2" s="24"/>
      <c r="AQ2" s="24"/>
      <c r="AR2" s="24"/>
      <c r="AS2" s="24"/>
      <c r="AT2" s="24"/>
      <c r="AU2" s="24"/>
      <c r="AV2" s="24"/>
      <c r="AW2" s="24"/>
      <c r="AX2" s="24"/>
      <c r="AY2" s="24"/>
      <c r="AZ2" s="24"/>
      <c r="BA2" s="24"/>
      <c r="BB2" s="24"/>
      <c r="BC2" s="24"/>
      <c r="BD2" s="24"/>
      <c r="BE2" s="24"/>
      <c r="BF2" s="24"/>
      <c r="BG2" s="24"/>
      <c r="BH2" s="24"/>
      <c r="BI2" s="24"/>
      <c r="BJ2" s="24"/>
      <c r="BK2" s="24"/>
      <c r="BL2" s="24"/>
      <c r="BM2" s="24"/>
      <c r="BN2" s="24"/>
      <c r="BO2" s="24"/>
      <c r="BP2" s="24"/>
      <c r="BQ2" s="24"/>
      <c r="BR2" s="24"/>
      <c r="BS2" s="24"/>
      <c r="BT2" s="24"/>
      <c r="BU2" s="24"/>
      <c r="BV2" s="24"/>
      <c r="BW2" s="24"/>
      <c r="BX2" s="24"/>
      <c r="BY2" s="24"/>
      <c r="BZ2" s="24"/>
      <c r="CA2" s="24"/>
      <c r="CB2" s="24"/>
      <c r="CC2" s="24"/>
      <c r="CD2" s="24"/>
      <c r="CE2" s="24"/>
      <c r="CF2" s="24"/>
      <c r="CG2" s="24"/>
      <c r="CH2" s="24"/>
      <c r="CI2" s="24"/>
      <c r="CJ2" s="24"/>
      <c r="CK2" s="24"/>
      <c r="CL2" s="24"/>
      <c r="CM2" s="24"/>
      <c r="CN2" s="24"/>
      <c r="CO2" s="24"/>
      <c r="CP2" s="24"/>
      <c r="CQ2" s="24"/>
      <c r="CR2" s="24"/>
      <c r="CS2" s="24"/>
      <c r="CT2" s="24"/>
      <c r="CU2" s="24"/>
      <c r="CV2" s="24"/>
      <c r="CW2" s="24"/>
      <c r="CX2" s="24"/>
      <c r="CY2" s="24"/>
      <c r="CZ2" s="24"/>
      <c r="DA2" s="24"/>
      <c r="DB2" s="24"/>
      <c r="DC2" s="24"/>
      <c r="DD2" s="24"/>
      <c r="DE2" s="24"/>
      <c r="DF2" s="24"/>
      <c r="DG2" s="24"/>
      <c r="DH2" s="24"/>
      <c r="DI2" s="24"/>
      <c r="DJ2" s="24"/>
      <c r="DK2" s="24"/>
      <c r="DL2" s="24"/>
      <c r="DM2" s="24"/>
      <c r="DN2" s="24"/>
      <c r="DO2" s="24"/>
      <c r="DP2" s="24"/>
      <c r="DQ2" s="24"/>
      <c r="DR2" s="24"/>
      <c r="DS2" s="24"/>
      <c r="DT2" s="24"/>
      <c r="DU2" s="24"/>
      <c r="DV2" s="24"/>
      <c r="DW2" s="24"/>
      <c r="DX2" s="24"/>
      <c r="DY2" s="24"/>
      <c r="DZ2" s="24"/>
      <c r="EA2" s="24"/>
      <c r="EB2" s="24"/>
      <c r="EC2" s="24"/>
      <c r="ED2" s="24"/>
      <c r="EE2" s="24"/>
      <c r="EF2" s="24"/>
      <c r="EG2" s="24"/>
      <c r="EH2" s="24"/>
      <c r="EI2" s="24"/>
      <c r="EJ2" s="24"/>
      <c r="EK2" s="24"/>
      <c r="EL2" s="24"/>
      <c r="EM2" s="24"/>
      <c r="EN2" s="24"/>
      <c r="EO2" s="24"/>
      <c r="EP2" s="24"/>
      <c r="EQ2" s="24"/>
      <c r="ER2" s="24"/>
      <c r="ES2" s="24"/>
      <c r="ET2" s="24"/>
      <c r="EU2" s="24"/>
      <c r="EV2" s="24"/>
      <c r="EW2" s="24"/>
      <c r="EX2" s="24"/>
      <c r="EY2" s="24"/>
      <c r="EZ2" s="24"/>
      <c r="FA2" s="24"/>
      <c r="FB2" s="24"/>
      <c r="FC2" s="24"/>
      <c r="FD2" s="24"/>
      <c r="FE2" s="24"/>
      <c r="FF2" s="24"/>
      <c r="FG2" s="24"/>
      <c r="FH2" s="24"/>
      <c r="FI2" s="24"/>
      <c r="FJ2" s="24"/>
      <c r="FK2" s="24"/>
      <c r="FL2" s="24"/>
      <c r="FM2" s="24"/>
      <c r="FN2" s="24"/>
      <c r="FO2" s="24"/>
      <c r="FP2" s="24"/>
      <c r="FQ2" s="24"/>
      <c r="FR2" s="24"/>
      <c r="FS2" s="24"/>
      <c r="FT2" s="24"/>
      <c r="FU2" s="24"/>
      <c r="FV2" s="24"/>
      <c r="FW2" s="24"/>
      <c r="FX2" s="24"/>
      <c r="FY2" s="24"/>
      <c r="FZ2" s="24"/>
      <c r="GA2" s="24"/>
      <c r="GB2" s="24"/>
      <c r="GC2" s="24"/>
      <c r="GD2" s="24"/>
      <c r="GE2" s="24"/>
      <c r="GF2" s="24"/>
      <c r="GG2" s="24"/>
      <c r="GH2" s="24"/>
      <c r="GI2" s="24"/>
      <c r="GJ2" s="24"/>
      <c r="GK2" s="24"/>
      <c r="GL2" s="24"/>
      <c r="GM2" s="24"/>
      <c r="GN2" s="24"/>
      <c r="GO2" s="24"/>
      <c r="GP2" s="24"/>
      <c r="GQ2" s="24"/>
      <c r="GR2" s="24"/>
      <c r="GS2" s="24"/>
      <c r="GT2" s="24"/>
      <c r="GU2" s="24"/>
      <c r="GV2" s="24"/>
      <c r="GW2" s="24"/>
      <c r="GX2" s="24"/>
      <c r="GY2" s="24"/>
      <c r="GZ2" s="24"/>
      <c r="HA2" s="24"/>
      <c r="HB2" s="24"/>
      <c r="HC2" s="24"/>
      <c r="HD2" s="24"/>
      <c r="HE2" s="24"/>
      <c r="HF2" s="24"/>
      <c r="HG2" s="24"/>
      <c r="HH2" s="24"/>
      <c r="HI2" s="24"/>
      <c r="HJ2" s="24"/>
      <c r="HK2" s="24"/>
      <c r="HL2" s="24"/>
      <c r="HM2" s="24"/>
      <c r="HN2" s="24"/>
      <c r="HO2" s="24"/>
      <c r="HP2" s="24"/>
      <c r="HQ2" s="24"/>
      <c r="HR2" s="24"/>
      <c r="HS2" s="24"/>
      <c r="HT2" s="24"/>
      <c r="HU2" s="24"/>
      <c r="HV2" s="24"/>
      <c r="HW2" s="24"/>
      <c r="HX2" s="24"/>
      <c r="HY2" s="24"/>
      <c r="HZ2" s="24"/>
      <c r="IA2" s="24"/>
      <c r="IB2" s="24"/>
      <c r="IC2" s="24"/>
      <c r="ID2" s="24"/>
      <c r="IE2" s="24"/>
      <c r="IF2" s="24"/>
      <c r="IG2" s="24"/>
      <c r="IH2" s="24"/>
      <c r="II2" s="24"/>
      <c r="IJ2" s="24"/>
      <c r="IK2" s="24"/>
      <c r="IL2" s="24"/>
    </row>
    <row r="3" spans="1:246" ht="39" customHeight="1" x14ac:dyDescent="0.15">
      <c r="A3" s="9" t="s">
        <v>3</v>
      </c>
      <c r="B3" s="9" t="s">
        <v>4</v>
      </c>
      <c r="C3" s="9" t="s">
        <v>5</v>
      </c>
      <c r="D3" s="9" t="s">
        <v>6</v>
      </c>
      <c r="E3" s="9" t="s">
        <v>7</v>
      </c>
      <c r="F3" s="9" t="s">
        <v>8</v>
      </c>
      <c r="G3" s="9" t="s">
        <v>9</v>
      </c>
      <c r="H3" s="9" t="s">
        <v>10</v>
      </c>
      <c r="I3" s="9" t="s">
        <v>11</v>
      </c>
      <c r="J3" s="9" t="s">
        <v>12</v>
      </c>
      <c r="K3" s="9" t="s">
        <v>13</v>
      </c>
      <c r="L3" s="9" t="s">
        <v>14</v>
      </c>
      <c r="M3" s="9" t="s">
        <v>15</v>
      </c>
      <c r="N3" s="9" t="s">
        <v>16</v>
      </c>
      <c r="O3" s="9" t="s">
        <v>17</v>
      </c>
      <c r="P3" s="19" t="s">
        <v>18</v>
      </c>
      <c r="Q3" s="216"/>
      <c r="R3" s="217"/>
      <c r="S3" s="217"/>
      <c r="T3" s="217"/>
      <c r="U3" s="217"/>
      <c r="V3" s="217"/>
      <c r="W3" s="217"/>
      <c r="X3" s="217"/>
      <c r="Y3" s="217"/>
      <c r="Z3" s="217"/>
      <c r="AA3" s="217"/>
      <c r="AB3" s="217"/>
      <c r="AC3" s="152"/>
      <c r="AD3" s="152"/>
      <c r="AE3" s="152"/>
      <c r="AF3" s="152"/>
      <c r="AG3" s="152"/>
      <c r="AH3" s="152"/>
      <c r="AI3" s="152"/>
      <c r="AJ3" s="152"/>
      <c r="AK3" s="152"/>
      <c r="AL3" s="152"/>
      <c r="AM3" s="152"/>
      <c r="AN3" s="152"/>
      <c r="AO3" s="152"/>
      <c r="AP3" s="152"/>
      <c r="AQ3" s="152"/>
      <c r="AR3" s="152"/>
      <c r="AS3" s="152"/>
      <c r="AT3" s="152"/>
      <c r="AU3" s="152"/>
      <c r="AV3" s="152"/>
      <c r="AW3" s="152"/>
      <c r="AX3" s="152"/>
      <c r="AY3" s="152"/>
      <c r="AZ3" s="152"/>
      <c r="BA3" s="152"/>
      <c r="BB3" s="152"/>
      <c r="BC3" s="152"/>
      <c r="BD3" s="152"/>
      <c r="BE3" s="152"/>
      <c r="BF3" s="152"/>
      <c r="BG3" s="152"/>
      <c r="BH3" s="152"/>
      <c r="BI3" s="152"/>
      <c r="BJ3" s="152"/>
      <c r="BK3" s="152"/>
      <c r="BL3" s="152"/>
      <c r="BM3" s="152"/>
      <c r="BN3" s="152"/>
      <c r="BO3" s="152"/>
      <c r="BP3" s="152"/>
      <c r="BQ3" s="152"/>
      <c r="BR3" s="152"/>
      <c r="BS3" s="152"/>
      <c r="BT3" s="152"/>
      <c r="BU3" s="152"/>
      <c r="BV3" s="152"/>
      <c r="BW3" s="152"/>
      <c r="BX3" s="152"/>
      <c r="BY3" s="152"/>
      <c r="BZ3" s="152"/>
      <c r="CA3" s="152"/>
      <c r="CB3" s="152"/>
      <c r="CC3" s="152"/>
      <c r="CD3" s="152"/>
      <c r="CE3" s="152"/>
      <c r="CF3" s="152"/>
      <c r="CG3" s="152"/>
      <c r="CH3" s="152"/>
      <c r="CI3" s="152"/>
      <c r="CJ3" s="152"/>
      <c r="CK3" s="152"/>
      <c r="CL3" s="152"/>
      <c r="CM3" s="152"/>
      <c r="CN3" s="152"/>
      <c r="CO3" s="152"/>
      <c r="CP3" s="152"/>
      <c r="CQ3" s="152"/>
      <c r="CR3" s="152"/>
      <c r="CS3" s="152"/>
      <c r="CT3" s="152"/>
      <c r="CU3" s="152"/>
      <c r="CV3" s="152"/>
      <c r="CW3" s="152"/>
      <c r="CX3" s="152"/>
      <c r="CY3" s="152"/>
      <c r="CZ3" s="152"/>
      <c r="DA3" s="152"/>
      <c r="DB3" s="152"/>
      <c r="DC3" s="152"/>
      <c r="DD3" s="152"/>
      <c r="DE3" s="152"/>
      <c r="DF3" s="152"/>
      <c r="DG3" s="152"/>
      <c r="DH3" s="152"/>
      <c r="DI3" s="152"/>
      <c r="DJ3" s="152"/>
      <c r="DK3" s="152"/>
      <c r="DL3" s="152"/>
      <c r="DM3" s="152"/>
      <c r="DN3" s="152"/>
      <c r="DO3" s="152"/>
      <c r="DP3" s="152"/>
      <c r="DQ3" s="152"/>
      <c r="DR3" s="152"/>
      <c r="DS3" s="152"/>
      <c r="DT3" s="152"/>
      <c r="DU3" s="152"/>
      <c r="DV3" s="152"/>
      <c r="DW3" s="152"/>
      <c r="DX3" s="152"/>
      <c r="DY3" s="152"/>
      <c r="DZ3" s="152"/>
      <c r="EA3" s="152"/>
      <c r="EB3" s="152"/>
      <c r="EC3" s="152"/>
      <c r="ED3" s="152"/>
      <c r="EE3" s="152"/>
      <c r="EF3" s="152"/>
      <c r="EG3" s="152"/>
      <c r="EH3" s="152"/>
      <c r="EI3" s="152"/>
      <c r="EJ3" s="152"/>
      <c r="EK3" s="152"/>
      <c r="EL3" s="152"/>
      <c r="EM3" s="152"/>
      <c r="EN3" s="152"/>
      <c r="EO3" s="152"/>
      <c r="EP3" s="152"/>
      <c r="EQ3" s="152"/>
      <c r="ER3" s="152"/>
      <c r="ES3" s="152"/>
      <c r="ET3" s="152"/>
      <c r="EU3" s="152"/>
      <c r="EV3" s="152"/>
      <c r="EW3" s="152"/>
      <c r="EX3" s="152"/>
      <c r="EY3" s="152"/>
      <c r="EZ3" s="152"/>
      <c r="FA3" s="152"/>
      <c r="FB3" s="152"/>
      <c r="FC3" s="152"/>
      <c r="FD3" s="152"/>
      <c r="FE3" s="152"/>
      <c r="FF3" s="152"/>
      <c r="FG3" s="152"/>
      <c r="FH3" s="152"/>
      <c r="FI3" s="152"/>
      <c r="FJ3" s="152"/>
      <c r="FK3" s="152"/>
      <c r="FL3" s="152"/>
      <c r="FM3" s="152"/>
      <c r="FN3" s="152"/>
      <c r="FO3" s="152"/>
      <c r="FP3" s="152"/>
      <c r="FQ3" s="152"/>
      <c r="FR3" s="152"/>
      <c r="FS3" s="152"/>
      <c r="FT3" s="152"/>
      <c r="FU3" s="152"/>
      <c r="FV3" s="152"/>
      <c r="FW3" s="152"/>
      <c r="FX3" s="152"/>
      <c r="FY3" s="152"/>
      <c r="FZ3" s="152"/>
      <c r="GA3" s="152"/>
      <c r="GB3" s="152"/>
      <c r="GC3" s="152"/>
      <c r="GD3" s="152"/>
      <c r="GE3" s="152"/>
      <c r="GF3" s="152"/>
      <c r="GG3" s="152"/>
      <c r="GH3" s="152"/>
      <c r="GI3" s="152"/>
      <c r="GJ3" s="152"/>
      <c r="GK3" s="152"/>
      <c r="GL3" s="152"/>
      <c r="GM3" s="152"/>
      <c r="GN3" s="152"/>
      <c r="GO3" s="152"/>
      <c r="GP3" s="152"/>
      <c r="GQ3" s="152"/>
      <c r="GR3" s="152"/>
      <c r="GS3" s="152"/>
      <c r="GT3" s="152"/>
      <c r="GU3" s="152"/>
      <c r="GV3" s="152"/>
      <c r="GW3" s="152"/>
      <c r="GX3" s="152"/>
      <c r="GY3" s="152"/>
      <c r="GZ3" s="152"/>
      <c r="HA3" s="152"/>
      <c r="HB3" s="152"/>
      <c r="HC3" s="152"/>
      <c r="HD3" s="152"/>
      <c r="HE3" s="152"/>
      <c r="HF3" s="152"/>
      <c r="HG3" s="152"/>
      <c r="HH3" s="152"/>
      <c r="HI3" s="152"/>
      <c r="HJ3" s="152"/>
      <c r="HK3" s="152"/>
      <c r="HL3" s="152"/>
      <c r="HM3" s="152"/>
      <c r="HN3" s="152"/>
      <c r="HO3" s="152"/>
      <c r="HP3" s="152"/>
      <c r="HQ3" s="152"/>
      <c r="HR3" s="152"/>
      <c r="HS3" s="152"/>
      <c r="HT3" s="152"/>
      <c r="HU3" s="152"/>
      <c r="HV3" s="152"/>
      <c r="HW3" s="152"/>
      <c r="HX3" s="152"/>
      <c r="HY3" s="152"/>
      <c r="HZ3" s="152"/>
      <c r="IA3" s="152"/>
      <c r="IB3" s="152"/>
      <c r="IC3" s="152"/>
      <c r="ID3" s="152"/>
      <c r="IE3" s="152"/>
      <c r="IF3" s="152"/>
      <c r="IG3" s="152"/>
      <c r="IH3" s="152"/>
      <c r="II3" s="152"/>
      <c r="IJ3" s="152"/>
      <c r="IK3" s="152"/>
      <c r="IL3" s="152"/>
    </row>
    <row r="4" spans="1:246" ht="170.25" customHeight="1" x14ac:dyDescent="0.15">
      <c r="A4" s="15">
        <v>243</v>
      </c>
      <c r="B4" s="13"/>
      <c r="C4" s="16" t="s">
        <v>501</v>
      </c>
      <c r="D4" s="13" t="s">
        <v>37</v>
      </c>
      <c r="E4" s="13" t="s">
        <v>400</v>
      </c>
      <c r="F4" s="14">
        <v>44011</v>
      </c>
      <c r="G4" s="14">
        <v>44044</v>
      </c>
      <c r="H4" s="14"/>
      <c r="I4" s="14">
        <v>44158</v>
      </c>
      <c r="J4" s="13" t="str">
        <f ca="1">IF(AND(I4&lt;=$C$2,I4&lt;&gt;0),"DONE",IF(K4&lt;0,"OVERDUE",IF(AND(K4="",O4&lt;0),"OVERDUE","IN TIME")))</f>
        <v>DONE</v>
      </c>
      <c r="K4" s="13" t="str">
        <f t="shared" ref="K4:K27" si="0">IF(H4&gt;0,H4-$C$2,"")</f>
        <v/>
      </c>
      <c r="L4" s="13">
        <f t="shared" ref="L4:L27" ca="1" si="1">IF(J4="OVERDUE",1,0)</f>
        <v>0</v>
      </c>
      <c r="M4" s="13">
        <f t="shared" ref="M4:M27" ca="1" si="2">IF(J4="IN TIME",1,0)</f>
        <v>0</v>
      </c>
      <c r="N4" s="13">
        <f t="shared" ref="N4:N27" ca="1" si="3">IF(J4="DONE",1,0)</f>
        <v>1</v>
      </c>
      <c r="O4" s="13">
        <f t="shared" ref="O4:O27" ca="1" si="4">IF(G4&gt;0,G4-$C$2,"")</f>
        <v>-433</v>
      </c>
      <c r="P4" s="20" t="s">
        <v>577</v>
      </c>
      <c r="Q4" s="216"/>
      <c r="R4" s="217"/>
      <c r="S4" s="217"/>
      <c r="T4" s="217"/>
      <c r="U4" s="217"/>
      <c r="V4" s="217"/>
      <c r="W4" s="217"/>
      <c r="X4" s="217"/>
      <c r="Y4" s="217"/>
      <c r="Z4" s="217"/>
      <c r="AA4" s="217"/>
      <c r="AB4" s="217"/>
      <c r="AC4" s="27"/>
      <c r="AD4" s="27"/>
    </row>
    <row r="5" spans="1:246" ht="106.5" customHeight="1" x14ac:dyDescent="0.15">
      <c r="A5" s="10" t="s">
        <v>93</v>
      </c>
      <c r="B5" s="11"/>
      <c r="C5" s="16" t="s">
        <v>502</v>
      </c>
      <c r="D5" s="13" t="s">
        <v>24</v>
      </c>
      <c r="E5" s="13" t="s">
        <v>503</v>
      </c>
      <c r="F5" s="14">
        <v>44011</v>
      </c>
      <c r="G5" s="14">
        <v>44044</v>
      </c>
      <c r="H5" s="14"/>
      <c r="I5" s="14">
        <v>44165</v>
      </c>
      <c r="J5" s="13" t="str">
        <f t="shared" ref="J5:J27" ca="1" si="5">IF(AND(I5&lt;=$C$2,I5&lt;&gt;0),"DONE",IF(K5&lt;0,"OVERDUE",IF(AND(K5="",O5&lt;0),"OVERDUE","IN TIME")))</f>
        <v>DONE</v>
      </c>
      <c r="K5" s="13" t="str">
        <f t="shared" si="0"/>
        <v/>
      </c>
      <c r="L5" s="13">
        <f t="shared" ca="1" si="1"/>
        <v>0</v>
      </c>
      <c r="M5" s="13">
        <f t="shared" ca="1" si="2"/>
        <v>0</v>
      </c>
      <c r="N5" s="13">
        <f t="shared" ca="1" si="3"/>
        <v>1</v>
      </c>
      <c r="O5" s="13">
        <f t="shared" ca="1" si="4"/>
        <v>-433</v>
      </c>
      <c r="P5" s="20" t="s">
        <v>581</v>
      </c>
      <c r="Q5" s="216"/>
      <c r="R5" s="217"/>
      <c r="S5" s="217"/>
      <c r="T5" s="217"/>
      <c r="U5" s="217"/>
      <c r="V5" s="217"/>
      <c r="W5" s="217"/>
      <c r="X5" s="217"/>
      <c r="Y5" s="217"/>
      <c r="Z5" s="217"/>
      <c r="AA5" s="217"/>
      <c r="AB5" s="217"/>
      <c r="AC5" s="27"/>
      <c r="AD5" s="27"/>
    </row>
    <row r="6" spans="1:246" ht="95.25" customHeight="1" x14ac:dyDescent="0.15">
      <c r="A6" s="10" t="s">
        <v>97</v>
      </c>
      <c r="B6" s="11"/>
      <c r="C6" s="16" t="s">
        <v>560</v>
      </c>
      <c r="D6" s="13" t="s">
        <v>24</v>
      </c>
      <c r="E6" s="13" t="s">
        <v>365</v>
      </c>
      <c r="F6" s="14">
        <v>44136</v>
      </c>
      <c r="G6" s="14"/>
      <c r="H6" s="14"/>
      <c r="I6" s="14">
        <v>44186</v>
      </c>
      <c r="J6" s="13" t="str">
        <f t="shared" ca="1" si="5"/>
        <v>DONE</v>
      </c>
      <c r="K6" s="13" t="str">
        <f t="shared" si="0"/>
        <v/>
      </c>
      <c r="L6" s="13">
        <f t="shared" ca="1" si="1"/>
        <v>0</v>
      </c>
      <c r="M6" s="13">
        <f t="shared" ca="1" si="2"/>
        <v>0</v>
      </c>
      <c r="N6" s="13">
        <f t="shared" ca="1" si="3"/>
        <v>1</v>
      </c>
      <c r="O6" s="13" t="str">
        <f t="shared" si="4"/>
        <v/>
      </c>
      <c r="P6" s="20" t="s">
        <v>602</v>
      </c>
      <c r="Q6" s="216"/>
      <c r="R6" s="217"/>
      <c r="S6" s="217"/>
      <c r="T6" s="217"/>
      <c r="U6" s="217"/>
      <c r="V6" s="217"/>
      <c r="W6" s="217"/>
      <c r="X6" s="217"/>
      <c r="Y6" s="217"/>
      <c r="Z6" s="217"/>
      <c r="AA6" s="217"/>
      <c r="AB6" s="217"/>
      <c r="AC6" s="27"/>
      <c r="AD6" s="27"/>
    </row>
    <row r="7" spans="1:246" ht="24.6" customHeight="1" x14ac:dyDescent="0.15">
      <c r="A7" s="15">
        <v>246</v>
      </c>
      <c r="B7" s="11"/>
      <c r="C7" s="16" t="s">
        <v>576</v>
      </c>
      <c r="D7" s="13" t="s">
        <v>24</v>
      </c>
      <c r="E7" s="13" t="s">
        <v>365</v>
      </c>
      <c r="F7" s="14">
        <v>44158</v>
      </c>
      <c r="G7" s="14"/>
      <c r="H7" s="14"/>
      <c r="I7" s="14">
        <v>44155</v>
      </c>
      <c r="J7" s="13" t="str">
        <f t="shared" ca="1" si="5"/>
        <v>DONE</v>
      </c>
      <c r="K7" s="13"/>
      <c r="L7" s="13"/>
      <c r="M7" s="13"/>
      <c r="N7" s="13"/>
      <c r="O7" s="13"/>
      <c r="P7" s="20" t="s">
        <v>582</v>
      </c>
      <c r="Q7" s="216"/>
      <c r="R7" s="217"/>
      <c r="S7" s="217"/>
      <c r="T7" s="217"/>
      <c r="U7" s="217"/>
      <c r="V7" s="217"/>
      <c r="W7" s="217"/>
      <c r="X7" s="217"/>
      <c r="Y7" s="217"/>
      <c r="Z7" s="217"/>
      <c r="AA7" s="217"/>
      <c r="AB7" s="217"/>
      <c r="AC7" s="27"/>
      <c r="AD7" s="27"/>
    </row>
    <row r="8" spans="1:246" ht="57" customHeight="1" x14ac:dyDescent="0.15">
      <c r="A8" s="15">
        <v>247</v>
      </c>
      <c r="B8" s="11"/>
      <c r="C8" s="16" t="s">
        <v>620</v>
      </c>
      <c r="D8" s="13" t="s">
        <v>24</v>
      </c>
      <c r="E8" s="13" t="s">
        <v>358</v>
      </c>
      <c r="F8" s="14">
        <v>44200</v>
      </c>
      <c r="G8" s="14"/>
      <c r="H8" s="14"/>
      <c r="I8" s="14">
        <v>44228</v>
      </c>
      <c r="J8" s="13" t="str">
        <f t="shared" ca="1" si="5"/>
        <v>DONE</v>
      </c>
      <c r="K8" s="13"/>
      <c r="L8" s="13"/>
      <c r="M8" s="13"/>
      <c r="N8" s="13"/>
      <c r="O8" s="13"/>
      <c r="P8" s="20" t="s">
        <v>637</v>
      </c>
      <c r="Q8" s="216"/>
      <c r="R8" s="217"/>
      <c r="S8" s="217"/>
      <c r="T8" s="217"/>
      <c r="U8" s="217"/>
      <c r="V8" s="217"/>
      <c r="W8" s="217"/>
      <c r="X8" s="217"/>
      <c r="Y8" s="217"/>
      <c r="Z8" s="217"/>
      <c r="AA8" s="217"/>
      <c r="AB8" s="217"/>
      <c r="AC8" s="27"/>
      <c r="AD8" s="27"/>
    </row>
    <row r="9" spans="1:246" ht="70.5" customHeight="1" x14ac:dyDescent="0.15">
      <c r="A9" s="15">
        <v>248</v>
      </c>
      <c r="B9" s="11"/>
      <c r="C9" s="16" t="s">
        <v>639</v>
      </c>
      <c r="D9" s="13" t="s">
        <v>24</v>
      </c>
      <c r="E9" s="13" t="s">
        <v>365</v>
      </c>
      <c r="F9" s="14">
        <v>44235</v>
      </c>
      <c r="G9" s="14"/>
      <c r="H9" s="14"/>
      <c r="I9" s="14">
        <v>44333</v>
      </c>
      <c r="J9" s="13" t="str">
        <f t="shared" ca="1" si="5"/>
        <v>DONE</v>
      </c>
      <c r="K9" s="13" t="str">
        <f t="shared" si="0"/>
        <v/>
      </c>
      <c r="L9" s="13">
        <f t="shared" ca="1" si="1"/>
        <v>0</v>
      </c>
      <c r="M9" s="13">
        <f t="shared" ca="1" si="2"/>
        <v>0</v>
      </c>
      <c r="N9" s="13">
        <f t="shared" ca="1" si="3"/>
        <v>1</v>
      </c>
      <c r="O9" s="13" t="str">
        <f t="shared" si="4"/>
        <v/>
      </c>
      <c r="P9" s="20" t="s">
        <v>658</v>
      </c>
      <c r="Q9" s="216"/>
      <c r="R9" s="217"/>
      <c r="S9" s="217"/>
      <c r="T9" s="217"/>
      <c r="U9" s="217"/>
      <c r="V9" s="217"/>
      <c r="W9" s="217"/>
      <c r="X9" s="217"/>
      <c r="Y9" s="217"/>
      <c r="Z9" s="217"/>
      <c r="AA9" s="217"/>
      <c r="AB9" s="217"/>
      <c r="AC9" s="27"/>
      <c r="AD9" s="27"/>
    </row>
    <row r="10" spans="1:246" ht="24.6" customHeight="1" x14ac:dyDescent="0.15">
      <c r="A10" s="15">
        <v>249</v>
      </c>
      <c r="B10" s="13"/>
      <c r="C10" s="12" t="s">
        <v>653</v>
      </c>
      <c r="D10" s="13"/>
      <c r="E10" s="13"/>
      <c r="F10" s="14"/>
      <c r="G10" s="14"/>
      <c r="H10" s="14"/>
      <c r="I10" s="14">
        <v>44333</v>
      </c>
      <c r="J10" s="13" t="str">
        <f t="shared" ca="1" si="5"/>
        <v>DONE</v>
      </c>
      <c r="K10" s="13" t="str">
        <f t="shared" si="0"/>
        <v/>
      </c>
      <c r="L10" s="13">
        <f t="shared" ca="1" si="1"/>
        <v>0</v>
      </c>
      <c r="M10" s="13">
        <f t="shared" ca="1" si="2"/>
        <v>0</v>
      </c>
      <c r="N10" s="13">
        <f t="shared" ca="1" si="3"/>
        <v>1</v>
      </c>
      <c r="O10" s="13" t="str">
        <f t="shared" si="4"/>
        <v/>
      </c>
      <c r="P10" s="20" t="s">
        <v>659</v>
      </c>
      <c r="Q10" s="216"/>
      <c r="R10" s="217"/>
      <c r="S10" s="217"/>
      <c r="T10" s="217"/>
      <c r="U10" s="217"/>
      <c r="V10" s="217"/>
      <c r="W10" s="217"/>
      <c r="X10" s="217"/>
      <c r="Y10" s="217"/>
      <c r="Z10" s="217"/>
      <c r="AA10" s="217"/>
      <c r="AB10" s="217"/>
      <c r="AC10" s="27"/>
      <c r="AD10" s="27"/>
    </row>
    <row r="11" spans="1:246" ht="24.6" customHeight="1" x14ac:dyDescent="0.15">
      <c r="A11" s="15"/>
      <c r="B11" s="11"/>
      <c r="C11" s="16"/>
      <c r="D11" s="13" t="s">
        <v>24</v>
      </c>
      <c r="E11" s="13"/>
      <c r="F11" s="14"/>
      <c r="G11" s="14"/>
      <c r="H11" s="14"/>
      <c r="I11" s="14"/>
      <c r="J11" s="13" t="str">
        <f t="shared" ca="1" si="5"/>
        <v>IN TIME</v>
      </c>
      <c r="K11" s="13" t="str">
        <f t="shared" si="0"/>
        <v/>
      </c>
      <c r="L11" s="13">
        <f t="shared" ca="1" si="1"/>
        <v>0</v>
      </c>
      <c r="M11" s="13">
        <f t="shared" ca="1" si="2"/>
        <v>1</v>
      </c>
      <c r="N11" s="13">
        <f t="shared" ca="1" si="3"/>
        <v>0</v>
      </c>
      <c r="O11" s="13" t="str">
        <f t="shared" si="4"/>
        <v/>
      </c>
      <c r="P11" s="20"/>
      <c r="Q11" s="216"/>
      <c r="R11" s="217"/>
      <c r="S11" s="217"/>
      <c r="T11" s="217"/>
      <c r="U11" s="217"/>
      <c r="V11" s="217"/>
      <c r="W11" s="217"/>
      <c r="X11" s="217"/>
      <c r="Y11" s="217"/>
      <c r="Z11" s="217"/>
      <c r="AA11" s="217"/>
      <c r="AB11" s="217"/>
      <c r="AC11" s="27"/>
      <c r="AD11" s="27"/>
    </row>
    <row r="12" spans="1:246" ht="24.6" customHeight="1" x14ac:dyDescent="0.15">
      <c r="A12" s="15">
        <v>251</v>
      </c>
      <c r="B12" s="11"/>
      <c r="C12" s="16"/>
      <c r="D12" s="13" t="s">
        <v>24</v>
      </c>
      <c r="E12" s="13"/>
      <c r="F12" s="14"/>
      <c r="G12" s="14"/>
      <c r="H12" s="14"/>
      <c r="I12" s="14"/>
      <c r="J12" s="13" t="str">
        <f t="shared" ca="1" si="5"/>
        <v>IN TIME</v>
      </c>
      <c r="K12" s="13" t="str">
        <f t="shared" si="0"/>
        <v/>
      </c>
      <c r="L12" s="13">
        <f t="shared" ca="1" si="1"/>
        <v>0</v>
      </c>
      <c r="M12" s="13">
        <f t="shared" ca="1" si="2"/>
        <v>1</v>
      </c>
      <c r="N12" s="13">
        <f t="shared" ca="1" si="3"/>
        <v>0</v>
      </c>
      <c r="O12" s="13" t="str">
        <f t="shared" si="4"/>
        <v/>
      </c>
      <c r="P12" s="20"/>
      <c r="Q12" s="151"/>
      <c r="R12" s="152"/>
      <c r="S12" s="152"/>
      <c r="T12" s="152"/>
      <c r="U12" s="152"/>
      <c r="V12" s="152"/>
      <c r="W12" s="152"/>
      <c r="X12" s="152"/>
      <c r="Y12" s="152"/>
      <c r="Z12" s="152"/>
      <c r="AA12" s="152"/>
      <c r="AB12" s="152"/>
      <c r="AC12" s="27"/>
      <c r="AD12" s="27"/>
    </row>
    <row r="13" spans="1:246" ht="93" customHeight="1" x14ac:dyDescent="0.15">
      <c r="A13" s="15">
        <v>252</v>
      </c>
      <c r="B13" s="11"/>
      <c r="C13" s="16"/>
      <c r="D13" s="13" t="s">
        <v>24</v>
      </c>
      <c r="E13" s="13"/>
      <c r="F13" s="14"/>
      <c r="G13" s="14"/>
      <c r="H13" s="14"/>
      <c r="I13" s="14"/>
      <c r="J13" s="13" t="str">
        <f t="shared" ca="1" si="5"/>
        <v>IN TIME</v>
      </c>
      <c r="K13" s="13" t="str">
        <f t="shared" si="0"/>
        <v/>
      </c>
      <c r="L13" s="13">
        <f t="shared" ca="1" si="1"/>
        <v>0</v>
      </c>
      <c r="M13" s="13">
        <f t="shared" ca="1" si="2"/>
        <v>1</v>
      </c>
      <c r="N13" s="13">
        <f t="shared" ca="1" si="3"/>
        <v>0</v>
      </c>
      <c r="O13" s="13" t="str">
        <f t="shared" si="4"/>
        <v/>
      </c>
      <c r="P13" s="20"/>
      <c r="Q13" s="151"/>
      <c r="R13" s="152"/>
      <c r="S13" s="152"/>
      <c r="T13" s="152"/>
      <c r="U13" s="152"/>
      <c r="V13" s="152"/>
      <c r="W13" s="152"/>
      <c r="X13" s="152"/>
      <c r="Y13" s="152"/>
      <c r="Z13" s="152"/>
      <c r="AA13" s="152"/>
      <c r="AB13" s="152"/>
      <c r="AC13" s="27"/>
      <c r="AD13" s="27"/>
    </row>
    <row r="14" spans="1:246" ht="24.6" customHeight="1" x14ac:dyDescent="0.15">
      <c r="A14" s="15">
        <v>253</v>
      </c>
      <c r="B14" s="13"/>
      <c r="C14" s="12"/>
      <c r="D14" s="13"/>
      <c r="E14" s="13"/>
      <c r="F14" s="14"/>
      <c r="G14" s="14"/>
      <c r="H14" s="14"/>
      <c r="I14" s="14"/>
      <c r="J14" s="13" t="str">
        <f t="shared" ca="1" si="5"/>
        <v>IN TIME</v>
      </c>
      <c r="K14" s="13" t="str">
        <f t="shared" si="0"/>
        <v/>
      </c>
      <c r="L14" s="13">
        <f t="shared" ca="1" si="1"/>
        <v>0</v>
      </c>
      <c r="M14" s="13">
        <f t="shared" ca="1" si="2"/>
        <v>1</v>
      </c>
      <c r="N14" s="13">
        <f t="shared" ca="1" si="3"/>
        <v>0</v>
      </c>
      <c r="O14" s="13" t="str">
        <f t="shared" si="4"/>
        <v/>
      </c>
      <c r="P14" s="20"/>
      <c r="Q14" s="151"/>
      <c r="R14" s="152"/>
      <c r="S14" s="152"/>
      <c r="T14" s="152"/>
      <c r="U14" s="152"/>
      <c r="V14" s="152"/>
      <c r="W14" s="152"/>
      <c r="X14" s="152"/>
      <c r="Y14" s="152"/>
      <c r="Z14" s="152"/>
      <c r="AA14" s="152"/>
      <c r="AB14" s="152"/>
      <c r="AC14" s="27"/>
      <c r="AD14" s="27"/>
    </row>
    <row r="15" spans="1:246" ht="24.6" customHeight="1" x14ac:dyDescent="0.15">
      <c r="A15" s="15">
        <v>254</v>
      </c>
      <c r="B15" s="13"/>
      <c r="C15" s="12"/>
      <c r="D15" s="13"/>
      <c r="E15" s="13"/>
      <c r="F15" s="14"/>
      <c r="G15" s="14"/>
      <c r="H15" s="14"/>
      <c r="I15" s="14"/>
      <c r="J15" s="13" t="str">
        <f t="shared" ca="1" si="5"/>
        <v>IN TIME</v>
      </c>
      <c r="K15" s="13" t="str">
        <f t="shared" si="0"/>
        <v/>
      </c>
      <c r="L15" s="13">
        <f t="shared" ca="1" si="1"/>
        <v>0</v>
      </c>
      <c r="M15" s="13">
        <f t="shared" ca="1" si="2"/>
        <v>1</v>
      </c>
      <c r="N15" s="13">
        <f t="shared" ca="1" si="3"/>
        <v>0</v>
      </c>
      <c r="O15" s="13" t="str">
        <f t="shared" si="4"/>
        <v/>
      </c>
      <c r="P15" s="20"/>
      <c r="Q15" s="151"/>
      <c r="R15" s="152"/>
      <c r="S15" s="152"/>
      <c r="T15" s="152"/>
      <c r="U15" s="152"/>
      <c r="V15" s="152"/>
      <c r="W15" s="152"/>
      <c r="X15" s="152"/>
      <c r="Y15" s="152"/>
      <c r="Z15" s="152"/>
      <c r="AA15" s="152"/>
      <c r="AB15" s="152"/>
      <c r="AC15" s="27"/>
      <c r="AD15" s="27"/>
    </row>
    <row r="16" spans="1:246" ht="24.6" customHeight="1" x14ac:dyDescent="0.15">
      <c r="A16" s="15">
        <v>255</v>
      </c>
      <c r="B16" s="13"/>
      <c r="C16" s="12"/>
      <c r="D16" s="13"/>
      <c r="E16" s="13"/>
      <c r="F16" s="14"/>
      <c r="G16" s="14"/>
      <c r="H16" s="14"/>
      <c r="I16" s="14"/>
      <c r="J16" s="13" t="str">
        <f t="shared" ca="1" si="5"/>
        <v>IN TIME</v>
      </c>
      <c r="K16" s="13" t="str">
        <f t="shared" si="0"/>
        <v/>
      </c>
      <c r="L16" s="13">
        <f t="shared" ca="1" si="1"/>
        <v>0</v>
      </c>
      <c r="M16" s="13">
        <f t="shared" ca="1" si="2"/>
        <v>1</v>
      </c>
      <c r="N16" s="13">
        <f t="shared" ca="1" si="3"/>
        <v>0</v>
      </c>
      <c r="O16" s="13" t="str">
        <f t="shared" si="4"/>
        <v/>
      </c>
      <c r="P16" s="20"/>
      <c r="Q16" s="151"/>
      <c r="R16" s="152"/>
      <c r="S16" s="152"/>
      <c r="T16" s="152"/>
      <c r="U16" s="152"/>
      <c r="V16" s="152"/>
      <c r="W16" s="152"/>
      <c r="X16" s="152"/>
      <c r="Y16" s="152"/>
      <c r="Z16" s="152"/>
      <c r="AA16" s="152"/>
      <c r="AB16" s="152"/>
      <c r="AC16" s="27"/>
      <c r="AD16" s="27"/>
    </row>
    <row r="17" spans="1:30" ht="24.6" customHeight="1" x14ac:dyDescent="0.15">
      <c r="A17" s="15">
        <v>256</v>
      </c>
      <c r="B17" s="13"/>
      <c r="C17" s="12"/>
      <c r="D17" s="13"/>
      <c r="E17" s="13"/>
      <c r="F17" s="14"/>
      <c r="G17" s="14"/>
      <c r="H17" s="14"/>
      <c r="I17" s="14"/>
      <c r="J17" s="13" t="str">
        <f t="shared" ca="1" si="5"/>
        <v>IN TIME</v>
      </c>
      <c r="K17" s="13" t="str">
        <f t="shared" si="0"/>
        <v/>
      </c>
      <c r="L17" s="13">
        <f t="shared" ca="1" si="1"/>
        <v>0</v>
      </c>
      <c r="M17" s="13">
        <f t="shared" ca="1" si="2"/>
        <v>1</v>
      </c>
      <c r="N17" s="13">
        <f t="shared" ca="1" si="3"/>
        <v>0</v>
      </c>
      <c r="O17" s="13" t="str">
        <f t="shared" si="4"/>
        <v/>
      </c>
      <c r="P17" s="20"/>
      <c r="Q17" s="151"/>
      <c r="R17" s="152"/>
      <c r="S17" s="152"/>
      <c r="T17" s="152"/>
      <c r="U17" s="152"/>
      <c r="V17" s="152"/>
      <c r="W17" s="152"/>
      <c r="X17" s="152"/>
      <c r="Y17" s="152"/>
      <c r="Z17" s="152"/>
      <c r="AA17" s="152"/>
      <c r="AB17" s="152"/>
      <c r="AC17" s="27"/>
      <c r="AD17" s="27"/>
    </row>
    <row r="18" spans="1:30" ht="24.6" customHeight="1" x14ac:dyDescent="0.15">
      <c r="A18" s="15">
        <v>257</v>
      </c>
      <c r="B18" s="13"/>
      <c r="C18" s="12"/>
      <c r="D18" s="13"/>
      <c r="E18" s="13"/>
      <c r="F18" s="14"/>
      <c r="G18" s="14"/>
      <c r="H18" s="14"/>
      <c r="I18" s="14"/>
      <c r="J18" s="13" t="str">
        <f t="shared" ca="1" si="5"/>
        <v>IN TIME</v>
      </c>
      <c r="K18" s="13" t="str">
        <f t="shared" si="0"/>
        <v/>
      </c>
      <c r="L18" s="13">
        <f t="shared" ca="1" si="1"/>
        <v>0</v>
      </c>
      <c r="M18" s="13">
        <f t="shared" ca="1" si="2"/>
        <v>1</v>
      </c>
      <c r="N18" s="13">
        <f t="shared" ca="1" si="3"/>
        <v>0</v>
      </c>
      <c r="O18" s="13" t="str">
        <f t="shared" si="4"/>
        <v/>
      </c>
      <c r="P18" s="20"/>
      <c r="Q18" s="151"/>
      <c r="R18" s="152"/>
      <c r="S18" s="152"/>
      <c r="T18" s="152"/>
      <c r="U18" s="152"/>
      <c r="V18" s="152"/>
      <c r="W18" s="152"/>
      <c r="X18" s="152"/>
      <c r="Y18" s="152"/>
      <c r="Z18" s="152"/>
      <c r="AA18" s="152"/>
      <c r="AB18" s="152"/>
      <c r="AC18" s="27"/>
      <c r="AD18" s="27"/>
    </row>
    <row r="19" spans="1:30" ht="24.6" customHeight="1" x14ac:dyDescent="0.15">
      <c r="A19" s="15">
        <v>258</v>
      </c>
      <c r="B19" s="13"/>
      <c r="C19" s="12"/>
      <c r="D19" s="13"/>
      <c r="E19" s="13"/>
      <c r="F19" s="14"/>
      <c r="G19" s="14"/>
      <c r="H19" s="14"/>
      <c r="I19" s="14"/>
      <c r="J19" s="13" t="str">
        <f t="shared" ca="1" si="5"/>
        <v>IN TIME</v>
      </c>
      <c r="K19" s="13" t="str">
        <f t="shared" si="0"/>
        <v/>
      </c>
      <c r="L19" s="13">
        <f t="shared" ca="1" si="1"/>
        <v>0</v>
      </c>
      <c r="M19" s="13">
        <f t="shared" ca="1" si="2"/>
        <v>1</v>
      </c>
      <c r="N19" s="13">
        <f t="shared" ca="1" si="3"/>
        <v>0</v>
      </c>
      <c r="O19" s="13" t="str">
        <f t="shared" si="4"/>
        <v/>
      </c>
      <c r="P19" s="20"/>
      <c r="Q19" s="151"/>
      <c r="R19" s="152"/>
      <c r="S19" s="152"/>
      <c r="T19" s="152"/>
      <c r="U19" s="152"/>
      <c r="V19" s="152"/>
      <c r="W19" s="152"/>
      <c r="X19" s="152"/>
      <c r="Y19" s="152"/>
      <c r="Z19" s="152"/>
      <c r="AA19" s="152"/>
      <c r="AB19" s="152"/>
      <c r="AC19" s="27"/>
      <c r="AD19" s="27"/>
    </row>
    <row r="20" spans="1:30" ht="24.6" customHeight="1" x14ac:dyDescent="0.15">
      <c r="A20" s="15">
        <v>259</v>
      </c>
      <c r="B20" s="13"/>
      <c r="C20" s="12"/>
      <c r="D20" s="13"/>
      <c r="E20" s="13"/>
      <c r="F20" s="14"/>
      <c r="G20" s="14"/>
      <c r="H20" s="14"/>
      <c r="I20" s="14"/>
      <c r="J20" s="13" t="str">
        <f t="shared" ca="1" si="5"/>
        <v>IN TIME</v>
      </c>
      <c r="K20" s="13" t="str">
        <f t="shared" si="0"/>
        <v/>
      </c>
      <c r="L20" s="13">
        <f t="shared" ca="1" si="1"/>
        <v>0</v>
      </c>
      <c r="M20" s="13">
        <f t="shared" ca="1" si="2"/>
        <v>1</v>
      </c>
      <c r="N20" s="13">
        <f t="shared" ca="1" si="3"/>
        <v>0</v>
      </c>
      <c r="O20" s="13" t="str">
        <f t="shared" si="4"/>
        <v/>
      </c>
      <c r="P20" s="20"/>
      <c r="Q20" s="151"/>
      <c r="R20" s="152"/>
      <c r="S20" s="152"/>
      <c r="T20" s="152"/>
      <c r="U20" s="152"/>
      <c r="V20" s="152"/>
      <c r="W20" s="152"/>
      <c r="X20" s="152"/>
      <c r="Y20" s="152"/>
      <c r="Z20" s="152"/>
      <c r="AA20" s="152"/>
      <c r="AB20" s="152"/>
      <c r="AC20" s="27"/>
      <c r="AD20" s="27"/>
    </row>
    <row r="21" spans="1:30" ht="24.6" customHeight="1" x14ac:dyDescent="0.15">
      <c r="A21" s="15">
        <v>260</v>
      </c>
      <c r="B21" s="13"/>
      <c r="C21" s="12"/>
      <c r="D21" s="13"/>
      <c r="E21" s="13"/>
      <c r="F21" s="14"/>
      <c r="G21" s="14"/>
      <c r="H21" s="14"/>
      <c r="I21" s="14"/>
      <c r="J21" s="13" t="str">
        <f t="shared" ca="1" si="5"/>
        <v>IN TIME</v>
      </c>
      <c r="K21" s="13" t="str">
        <f t="shared" si="0"/>
        <v/>
      </c>
      <c r="L21" s="13">
        <f t="shared" ca="1" si="1"/>
        <v>0</v>
      </c>
      <c r="M21" s="13">
        <f t="shared" ca="1" si="2"/>
        <v>1</v>
      </c>
      <c r="N21" s="13">
        <f t="shared" ca="1" si="3"/>
        <v>0</v>
      </c>
      <c r="O21" s="13" t="str">
        <f t="shared" si="4"/>
        <v/>
      </c>
      <c r="P21" s="20"/>
      <c r="Q21" s="151"/>
      <c r="R21" s="152"/>
      <c r="S21" s="152"/>
      <c r="T21" s="152"/>
      <c r="U21" s="152"/>
      <c r="V21" s="152"/>
      <c r="W21" s="152"/>
      <c r="X21" s="152"/>
      <c r="Y21" s="152"/>
      <c r="Z21" s="152"/>
      <c r="AA21" s="152"/>
      <c r="AB21" s="152"/>
      <c r="AC21" s="27"/>
      <c r="AD21" s="27"/>
    </row>
    <row r="22" spans="1:30" ht="24.6" customHeight="1" x14ac:dyDescent="0.15">
      <c r="A22" s="15">
        <v>261</v>
      </c>
      <c r="B22" s="13"/>
      <c r="C22" s="12"/>
      <c r="D22" s="13"/>
      <c r="E22" s="13"/>
      <c r="F22" s="14"/>
      <c r="G22" s="14"/>
      <c r="H22" s="14"/>
      <c r="I22" s="14"/>
      <c r="J22" s="13" t="str">
        <f t="shared" ca="1" si="5"/>
        <v>IN TIME</v>
      </c>
      <c r="K22" s="13" t="str">
        <f t="shared" si="0"/>
        <v/>
      </c>
      <c r="L22" s="13">
        <f t="shared" ca="1" si="1"/>
        <v>0</v>
      </c>
      <c r="M22" s="13">
        <f t="shared" ca="1" si="2"/>
        <v>1</v>
      </c>
      <c r="N22" s="13">
        <f t="shared" ca="1" si="3"/>
        <v>0</v>
      </c>
      <c r="O22" s="13" t="str">
        <f t="shared" si="4"/>
        <v/>
      </c>
      <c r="P22" s="20"/>
      <c r="Q22" s="151"/>
      <c r="R22" s="152"/>
      <c r="S22" s="152"/>
      <c r="T22" s="152"/>
      <c r="U22" s="152"/>
      <c r="V22" s="152"/>
      <c r="W22" s="152"/>
      <c r="X22" s="152"/>
      <c r="Y22" s="152"/>
      <c r="Z22" s="152"/>
      <c r="AA22" s="152"/>
      <c r="AB22" s="152"/>
      <c r="AC22" s="27"/>
      <c r="AD22" s="27"/>
    </row>
    <row r="23" spans="1:30" ht="24.6" customHeight="1" x14ac:dyDescent="0.15">
      <c r="A23" s="15">
        <v>262</v>
      </c>
      <c r="B23" s="13"/>
      <c r="C23" s="12"/>
      <c r="D23" s="13"/>
      <c r="E23" s="13"/>
      <c r="F23" s="14"/>
      <c r="G23" s="14"/>
      <c r="H23" s="14"/>
      <c r="I23" s="14"/>
      <c r="J23" s="13" t="str">
        <f t="shared" ca="1" si="5"/>
        <v>IN TIME</v>
      </c>
      <c r="K23" s="13" t="str">
        <f t="shared" si="0"/>
        <v/>
      </c>
      <c r="L23" s="13">
        <f t="shared" ca="1" si="1"/>
        <v>0</v>
      </c>
      <c r="M23" s="13">
        <f t="shared" ca="1" si="2"/>
        <v>1</v>
      </c>
      <c r="N23" s="13">
        <f t="shared" ca="1" si="3"/>
        <v>0</v>
      </c>
      <c r="O23" s="13" t="str">
        <f t="shared" si="4"/>
        <v/>
      </c>
      <c r="P23" s="20"/>
      <c r="Q23" s="151"/>
      <c r="R23" s="152"/>
      <c r="S23" s="152"/>
      <c r="T23" s="152"/>
      <c r="U23" s="152"/>
      <c r="V23" s="152"/>
      <c r="W23" s="152"/>
      <c r="X23" s="152"/>
      <c r="Y23" s="152"/>
      <c r="Z23" s="152"/>
      <c r="AA23" s="152"/>
      <c r="AB23" s="152"/>
      <c r="AC23" s="27"/>
      <c r="AD23" s="27"/>
    </row>
    <row r="24" spans="1:30" ht="24.6" customHeight="1" x14ac:dyDescent="0.15">
      <c r="A24" s="15">
        <v>263</v>
      </c>
      <c r="B24" s="13"/>
      <c r="C24" s="12"/>
      <c r="D24" s="13"/>
      <c r="E24" s="13"/>
      <c r="F24" s="14"/>
      <c r="G24" s="14"/>
      <c r="H24" s="14"/>
      <c r="I24" s="14"/>
      <c r="J24" s="13" t="str">
        <f t="shared" ca="1" si="5"/>
        <v>IN TIME</v>
      </c>
      <c r="K24" s="13" t="str">
        <f t="shared" si="0"/>
        <v/>
      </c>
      <c r="L24" s="13">
        <f t="shared" ca="1" si="1"/>
        <v>0</v>
      </c>
      <c r="M24" s="13">
        <f t="shared" ca="1" si="2"/>
        <v>1</v>
      </c>
      <c r="N24" s="13">
        <f t="shared" ca="1" si="3"/>
        <v>0</v>
      </c>
      <c r="O24" s="13" t="str">
        <f t="shared" si="4"/>
        <v/>
      </c>
      <c r="P24" s="20"/>
      <c r="Q24" s="151"/>
      <c r="R24" s="152"/>
      <c r="S24" s="152"/>
      <c r="T24" s="152"/>
      <c r="U24" s="152"/>
      <c r="V24" s="152"/>
      <c r="W24" s="152"/>
      <c r="X24" s="152"/>
      <c r="Y24" s="152"/>
      <c r="Z24" s="152"/>
      <c r="AA24" s="152"/>
      <c r="AB24" s="152"/>
      <c r="AC24" s="27"/>
      <c r="AD24" s="27"/>
    </row>
    <row r="25" spans="1:30" ht="24.6" customHeight="1" x14ac:dyDescent="0.15">
      <c r="A25" s="15">
        <v>264</v>
      </c>
      <c r="B25" s="13"/>
      <c r="C25" s="12"/>
      <c r="D25" s="13"/>
      <c r="E25" s="13"/>
      <c r="F25" s="14"/>
      <c r="G25" s="14"/>
      <c r="H25" s="14"/>
      <c r="I25" s="14"/>
      <c r="J25" s="13" t="str">
        <f t="shared" ca="1" si="5"/>
        <v>IN TIME</v>
      </c>
      <c r="K25" s="13" t="str">
        <f t="shared" si="0"/>
        <v/>
      </c>
      <c r="L25" s="13">
        <f t="shared" ca="1" si="1"/>
        <v>0</v>
      </c>
      <c r="M25" s="13">
        <f t="shared" ca="1" si="2"/>
        <v>1</v>
      </c>
      <c r="N25" s="13">
        <f t="shared" ca="1" si="3"/>
        <v>0</v>
      </c>
      <c r="O25" s="13" t="str">
        <f t="shared" si="4"/>
        <v/>
      </c>
      <c r="P25" s="20"/>
      <c r="Q25" s="151"/>
      <c r="R25" s="152"/>
      <c r="S25" s="152"/>
      <c r="T25" s="152"/>
      <c r="U25" s="152"/>
      <c r="V25" s="152"/>
      <c r="W25" s="152"/>
      <c r="X25" s="152"/>
      <c r="Y25" s="152"/>
      <c r="Z25" s="152"/>
      <c r="AA25" s="152"/>
      <c r="AB25" s="152"/>
      <c r="AC25" s="27"/>
      <c r="AD25" s="27"/>
    </row>
    <row r="26" spans="1:30" ht="24.6" customHeight="1" x14ac:dyDescent="0.15">
      <c r="A26" s="15">
        <v>265</v>
      </c>
      <c r="B26" s="13"/>
      <c r="C26" s="12"/>
      <c r="D26" s="13"/>
      <c r="E26" s="13"/>
      <c r="F26" s="14"/>
      <c r="G26" s="14"/>
      <c r="H26" s="14"/>
      <c r="I26" s="14"/>
      <c r="J26" s="13" t="str">
        <f t="shared" ca="1" si="5"/>
        <v>IN TIME</v>
      </c>
      <c r="K26" s="13" t="str">
        <f t="shared" si="0"/>
        <v/>
      </c>
      <c r="L26" s="13">
        <f t="shared" ca="1" si="1"/>
        <v>0</v>
      </c>
      <c r="M26" s="13">
        <f t="shared" ca="1" si="2"/>
        <v>1</v>
      </c>
      <c r="N26" s="13">
        <f t="shared" ca="1" si="3"/>
        <v>0</v>
      </c>
      <c r="O26" s="13" t="str">
        <f t="shared" si="4"/>
        <v/>
      </c>
      <c r="P26" s="20"/>
      <c r="Q26" s="151"/>
      <c r="R26" s="152"/>
      <c r="S26" s="152"/>
      <c r="T26" s="152"/>
      <c r="U26" s="152"/>
      <c r="V26" s="152"/>
      <c r="W26" s="152"/>
      <c r="X26" s="152"/>
      <c r="Y26" s="152"/>
      <c r="Z26" s="152"/>
      <c r="AA26" s="152"/>
      <c r="AB26" s="152"/>
      <c r="AC26" s="27"/>
      <c r="AD26" s="27"/>
    </row>
    <row r="27" spans="1:30" ht="24.6" customHeight="1" x14ac:dyDescent="0.15">
      <c r="A27" s="15">
        <v>266</v>
      </c>
      <c r="B27" s="13"/>
      <c r="C27" s="12"/>
      <c r="D27" s="13"/>
      <c r="E27" s="13"/>
      <c r="F27" s="14"/>
      <c r="G27" s="14"/>
      <c r="H27" s="14"/>
      <c r="I27" s="14"/>
      <c r="J27" s="13" t="str">
        <f t="shared" ca="1" si="5"/>
        <v>IN TIME</v>
      </c>
      <c r="K27" s="13" t="str">
        <f t="shared" si="0"/>
        <v/>
      </c>
      <c r="L27" s="13">
        <f t="shared" ca="1" si="1"/>
        <v>0</v>
      </c>
      <c r="M27" s="13">
        <f t="shared" ca="1" si="2"/>
        <v>1</v>
      </c>
      <c r="N27" s="13">
        <f t="shared" ca="1" si="3"/>
        <v>0</v>
      </c>
      <c r="O27" s="13" t="str">
        <f t="shared" si="4"/>
        <v/>
      </c>
      <c r="P27" s="20"/>
      <c r="Q27" s="151"/>
      <c r="R27" s="152"/>
      <c r="S27" s="152"/>
      <c r="T27" s="152"/>
      <c r="U27" s="152"/>
      <c r="V27" s="152"/>
      <c r="W27" s="152"/>
      <c r="X27" s="152"/>
      <c r="Y27" s="152"/>
      <c r="Z27" s="152"/>
      <c r="AA27" s="152"/>
      <c r="AB27" s="152"/>
      <c r="AC27" s="27"/>
      <c r="AD27" s="27"/>
    </row>
  </sheetData>
  <autoFilter ref="A3:P27"/>
  <mergeCells count="3">
    <mergeCell ref="A1:P1"/>
    <mergeCell ref="A2:B2"/>
    <mergeCell ref="Q3:AB11"/>
  </mergeCells>
  <phoneticPr fontId="34" type="noConversion"/>
  <conditionalFormatting sqref="J4">
    <cfRule type="cellIs" dxfId="254" priority="70" operator="equal">
      <formula>"OVERDUE"</formula>
    </cfRule>
    <cfRule type="cellIs" dxfId="253" priority="71" operator="equal">
      <formula>"DONE"</formula>
    </cfRule>
    <cfRule type="cellIs" dxfId="252" priority="72" operator="equal">
      <formula>"DONE"</formula>
    </cfRule>
  </conditionalFormatting>
  <conditionalFormatting sqref="J5">
    <cfRule type="cellIs" dxfId="251" priority="67" operator="equal">
      <formula>"OVERDUE"</formula>
    </cfRule>
    <cfRule type="cellIs" dxfId="250" priority="68" operator="equal">
      <formula>"DONE"</formula>
    </cfRule>
    <cfRule type="cellIs" dxfId="249" priority="69" operator="equal">
      <formula>"DONE"</formula>
    </cfRule>
  </conditionalFormatting>
  <conditionalFormatting sqref="J6:J8">
    <cfRule type="cellIs" dxfId="248" priority="64" operator="equal">
      <formula>"OVERDUE"</formula>
    </cfRule>
    <cfRule type="cellIs" dxfId="247" priority="65" operator="equal">
      <formula>"DONE"</formula>
    </cfRule>
    <cfRule type="cellIs" dxfId="246" priority="66" operator="equal">
      <formula>"DONE"</formula>
    </cfRule>
  </conditionalFormatting>
  <conditionalFormatting sqref="J9">
    <cfRule type="cellIs" dxfId="245" priority="55" operator="equal">
      <formula>"OVERDUE"</formula>
    </cfRule>
    <cfRule type="cellIs" dxfId="244" priority="56" operator="equal">
      <formula>"DONE"</formula>
    </cfRule>
    <cfRule type="cellIs" dxfId="243" priority="57" operator="equal">
      <formula>"DONE"</formula>
    </cfRule>
  </conditionalFormatting>
  <conditionalFormatting sqref="J10">
    <cfRule type="cellIs" dxfId="242" priority="52" operator="equal">
      <formula>"OVERDUE"</formula>
    </cfRule>
    <cfRule type="cellIs" dxfId="241" priority="53" operator="equal">
      <formula>"DONE"</formula>
    </cfRule>
    <cfRule type="cellIs" dxfId="240" priority="54" operator="equal">
      <formula>"DONE"</formula>
    </cfRule>
  </conditionalFormatting>
  <conditionalFormatting sqref="J11">
    <cfRule type="cellIs" dxfId="239" priority="49" operator="equal">
      <formula>"OVERDUE"</formula>
    </cfRule>
    <cfRule type="cellIs" dxfId="238" priority="50" operator="equal">
      <formula>"DONE"</formula>
    </cfRule>
    <cfRule type="cellIs" dxfId="237" priority="51" operator="equal">
      <formula>"DONE"</formula>
    </cfRule>
  </conditionalFormatting>
  <conditionalFormatting sqref="J12">
    <cfRule type="cellIs" dxfId="236" priority="46" operator="equal">
      <formula>"OVERDUE"</formula>
    </cfRule>
    <cfRule type="cellIs" dxfId="235" priority="47" operator="equal">
      <formula>"DONE"</formula>
    </cfRule>
    <cfRule type="cellIs" dxfId="234" priority="48" operator="equal">
      <formula>"DONE"</formula>
    </cfRule>
  </conditionalFormatting>
  <conditionalFormatting sqref="J13">
    <cfRule type="cellIs" dxfId="233" priority="43" operator="equal">
      <formula>"OVERDUE"</formula>
    </cfRule>
    <cfRule type="cellIs" dxfId="232" priority="44" operator="equal">
      <formula>"DONE"</formula>
    </cfRule>
    <cfRule type="cellIs" dxfId="231" priority="45" operator="equal">
      <formula>"DONE"</formula>
    </cfRule>
  </conditionalFormatting>
  <conditionalFormatting sqref="J14">
    <cfRule type="cellIs" dxfId="230" priority="40" operator="equal">
      <formula>"OVERDUE"</formula>
    </cfRule>
    <cfRule type="cellIs" dxfId="229" priority="41" operator="equal">
      <formula>"DONE"</formula>
    </cfRule>
    <cfRule type="cellIs" dxfId="228" priority="42" operator="equal">
      <formula>"DONE"</formula>
    </cfRule>
  </conditionalFormatting>
  <conditionalFormatting sqref="J15">
    <cfRule type="cellIs" dxfId="227" priority="37" operator="equal">
      <formula>"OVERDUE"</formula>
    </cfRule>
    <cfRule type="cellIs" dxfId="226" priority="38" operator="equal">
      <formula>"DONE"</formula>
    </cfRule>
    <cfRule type="cellIs" dxfId="225" priority="39" operator="equal">
      <formula>"DONE"</formula>
    </cfRule>
  </conditionalFormatting>
  <conditionalFormatting sqref="J16">
    <cfRule type="cellIs" dxfId="224" priority="34" operator="equal">
      <formula>"OVERDUE"</formula>
    </cfRule>
    <cfRule type="cellIs" dxfId="223" priority="35" operator="equal">
      <formula>"DONE"</formula>
    </cfRule>
    <cfRule type="cellIs" dxfId="222" priority="36" operator="equal">
      <formula>"DONE"</formula>
    </cfRule>
  </conditionalFormatting>
  <conditionalFormatting sqref="J17">
    <cfRule type="cellIs" dxfId="221" priority="31" operator="equal">
      <formula>"OVERDUE"</formula>
    </cfRule>
    <cfRule type="cellIs" dxfId="220" priority="32" operator="equal">
      <formula>"DONE"</formula>
    </cfRule>
    <cfRule type="cellIs" dxfId="219" priority="33" operator="equal">
      <formula>"DONE"</formula>
    </cfRule>
  </conditionalFormatting>
  <conditionalFormatting sqref="J18">
    <cfRule type="cellIs" dxfId="218" priority="28" operator="equal">
      <formula>"OVERDUE"</formula>
    </cfRule>
    <cfRule type="cellIs" dxfId="217" priority="29" operator="equal">
      <formula>"DONE"</formula>
    </cfRule>
    <cfRule type="cellIs" dxfId="216" priority="30" operator="equal">
      <formula>"DONE"</formula>
    </cfRule>
  </conditionalFormatting>
  <conditionalFormatting sqref="J19">
    <cfRule type="cellIs" dxfId="215" priority="25" operator="equal">
      <formula>"OVERDUE"</formula>
    </cfRule>
    <cfRule type="cellIs" dxfId="214" priority="26" operator="equal">
      <formula>"DONE"</formula>
    </cfRule>
    <cfRule type="cellIs" dxfId="213" priority="27" operator="equal">
      <formula>"DONE"</formula>
    </cfRule>
  </conditionalFormatting>
  <conditionalFormatting sqref="J20">
    <cfRule type="cellIs" dxfId="212" priority="22" operator="equal">
      <formula>"OVERDUE"</formula>
    </cfRule>
    <cfRule type="cellIs" dxfId="211" priority="23" operator="equal">
      <formula>"DONE"</formula>
    </cfRule>
    <cfRule type="cellIs" dxfId="210" priority="24" operator="equal">
      <formula>"DONE"</formula>
    </cfRule>
  </conditionalFormatting>
  <conditionalFormatting sqref="J21">
    <cfRule type="cellIs" dxfId="209" priority="19" operator="equal">
      <formula>"OVERDUE"</formula>
    </cfRule>
    <cfRule type="cellIs" dxfId="208" priority="20" operator="equal">
      <formula>"DONE"</formula>
    </cfRule>
    <cfRule type="cellIs" dxfId="207" priority="21" operator="equal">
      <formula>"DONE"</formula>
    </cfRule>
  </conditionalFormatting>
  <conditionalFormatting sqref="J22">
    <cfRule type="cellIs" dxfId="206" priority="16" operator="equal">
      <formula>"OVERDUE"</formula>
    </cfRule>
    <cfRule type="cellIs" dxfId="205" priority="17" operator="equal">
      <formula>"DONE"</formula>
    </cfRule>
    <cfRule type="cellIs" dxfId="204" priority="18" operator="equal">
      <formula>"DONE"</formula>
    </cfRule>
  </conditionalFormatting>
  <conditionalFormatting sqref="J23">
    <cfRule type="cellIs" dxfId="203" priority="13" operator="equal">
      <formula>"OVERDUE"</formula>
    </cfRule>
    <cfRule type="cellIs" dxfId="202" priority="14" operator="equal">
      <formula>"DONE"</formula>
    </cfRule>
    <cfRule type="cellIs" dxfId="201" priority="15" operator="equal">
      <formula>"DONE"</formula>
    </cfRule>
  </conditionalFormatting>
  <conditionalFormatting sqref="J24">
    <cfRule type="cellIs" dxfId="200" priority="10" operator="equal">
      <formula>"OVERDUE"</formula>
    </cfRule>
    <cfRule type="cellIs" dxfId="199" priority="11" operator="equal">
      <formula>"DONE"</formula>
    </cfRule>
    <cfRule type="cellIs" dxfId="198" priority="12" operator="equal">
      <formula>"DONE"</formula>
    </cfRule>
  </conditionalFormatting>
  <conditionalFormatting sqref="J25">
    <cfRule type="cellIs" dxfId="197" priority="7" operator="equal">
      <formula>"OVERDUE"</formula>
    </cfRule>
    <cfRule type="cellIs" dxfId="196" priority="8" operator="equal">
      <formula>"DONE"</formula>
    </cfRule>
    <cfRule type="cellIs" dxfId="195" priority="9" operator="equal">
      <formula>"DONE"</formula>
    </cfRule>
  </conditionalFormatting>
  <conditionalFormatting sqref="J26">
    <cfRule type="cellIs" dxfId="194" priority="4" operator="equal">
      <formula>"OVERDUE"</formula>
    </cfRule>
    <cfRule type="cellIs" dxfId="193" priority="5" operator="equal">
      <formula>"DONE"</formula>
    </cfRule>
    <cfRule type="cellIs" dxfId="192" priority="6" operator="equal">
      <formula>"DONE"</formula>
    </cfRule>
  </conditionalFormatting>
  <conditionalFormatting sqref="J27">
    <cfRule type="cellIs" dxfId="191" priority="1" operator="equal">
      <formula>"OVERDUE"</formula>
    </cfRule>
    <cfRule type="cellIs" dxfId="190" priority="2" operator="equal">
      <formula>"DONE"</formula>
    </cfRule>
    <cfRule type="cellIs" dxfId="189" priority="3" operator="equal">
      <formula>"DONE"</formula>
    </cfRule>
  </conditionalFormatting>
  <conditionalFormatting sqref="J2:J3 J28:J1048576">
    <cfRule type="cellIs" dxfId="188" priority="82" operator="equal">
      <formula>"OVERDUE"</formula>
    </cfRule>
    <cfRule type="cellIs" dxfId="187" priority="83" operator="equal">
      <formula>"DONE"</formula>
    </cfRule>
    <cfRule type="cellIs" dxfId="186" priority="84" operator="equal">
      <formula>"DONE"</formula>
    </cfRule>
  </conditionalFormatting>
  <dataValidations count="1">
    <dataValidation type="list" allowBlank="1" showInputMessage="1" showErrorMessage="1" sqref="D1:D1048576">
      <formula1>"高,中,低"</formula1>
    </dataValidation>
  </dataValidations>
  <pageMargins left="0.51180555555555596" right="0" top="0.35416666666666702" bottom="0.39305555555555599" header="0.31388888888888899" footer="0.31388888888888899"/>
  <pageSetup paperSize="9" orientation="landscape"/>
  <drawing r:id="rId1"/>
  <legacyDrawing r:id="rId2"/>
  <mc:AlternateContent xmlns:mc="http://schemas.openxmlformats.org/markup-compatibility/2006">
    <mc:Choice Requires="x14">
      <controls>
        <mc:AlternateContent xmlns:mc="http://schemas.openxmlformats.org/markup-compatibility/2006">
          <mc:Choice Requires="x14">
            <control shapeId="16385" r:id="rId3" name="Button 1">
              <controlPr defaultSize="0" print="0" autoPict="0" macro="[0]!Insert_Line_moban">
                <anchor moveWithCells="1">
                  <from>
                    <xdr:col>0</xdr:col>
                    <xdr:colOff>104775</xdr:colOff>
                    <xdr:row>27</xdr:row>
                    <xdr:rowOff>85725</xdr:rowOff>
                  </from>
                  <to>
                    <xdr:col>1</xdr:col>
                    <xdr:colOff>800100</xdr:colOff>
                    <xdr:row>28</xdr:row>
                    <xdr:rowOff>161925</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tabColor rgb="FF92D050"/>
  </sheetPr>
  <dimension ref="A1:IL13"/>
  <sheetViews>
    <sheetView workbookViewId="0">
      <pane ySplit="3" topLeftCell="A4" activePane="bottomLeft" state="frozen"/>
      <selection activeCell="C76" sqref="C76"/>
      <selection pane="bottomLeft" activeCell="P8" sqref="P8"/>
    </sheetView>
  </sheetViews>
  <sheetFormatPr defaultColWidth="9" defaultRowHeight="14.25" x14ac:dyDescent="0.15"/>
  <cols>
    <col min="1" max="1" width="5.375" style="1" customWidth="1"/>
    <col min="2" max="2" width="4.25" style="1" customWidth="1"/>
    <col min="3" max="3" width="33.625" style="1" customWidth="1"/>
    <col min="4" max="4" width="6" style="2" customWidth="1"/>
    <col min="5" max="5" width="10.375" style="1" customWidth="1"/>
    <col min="6" max="6" width="11.75" style="1" customWidth="1"/>
    <col min="7" max="7" width="12.75" style="1" customWidth="1"/>
    <col min="8" max="8" width="12" style="1" customWidth="1"/>
    <col min="9" max="9" width="10.75" style="1" customWidth="1"/>
    <col min="10" max="10" width="8.625" style="1" customWidth="1"/>
    <col min="11" max="11" width="19.375" style="1" hidden="1" customWidth="1"/>
    <col min="12" max="14" width="9" style="1" hidden="1" customWidth="1"/>
    <col min="15" max="15" width="0.25" style="1" hidden="1" customWidth="1"/>
    <col min="16" max="16" width="34.75" style="1" customWidth="1"/>
    <col min="17" max="17" width="43" style="3" customWidth="1"/>
    <col min="18" max="16384" width="9" style="4"/>
  </cols>
  <sheetData>
    <row r="1" spans="1:246" ht="41.25" customHeight="1" x14ac:dyDescent="0.15">
      <c r="A1" s="214" t="s">
        <v>0</v>
      </c>
      <c r="B1" s="214"/>
      <c r="C1" s="214"/>
      <c r="D1" s="214"/>
      <c r="E1" s="214"/>
      <c r="F1" s="214"/>
      <c r="G1" s="214"/>
      <c r="H1" s="214"/>
      <c r="I1" s="214"/>
      <c r="J1" s="214"/>
      <c r="K1" s="214"/>
      <c r="L1" s="214"/>
      <c r="M1" s="214"/>
      <c r="N1" s="214"/>
      <c r="O1" s="214"/>
      <c r="P1" s="214"/>
      <c r="Q1" s="21"/>
      <c r="R1" s="22"/>
      <c r="S1" s="22"/>
      <c r="T1" s="22"/>
      <c r="U1" s="22"/>
      <c r="V1" s="22"/>
      <c r="W1" s="22"/>
      <c r="X1" s="22"/>
      <c r="Y1" s="22"/>
      <c r="Z1" s="22"/>
      <c r="AA1" s="22"/>
      <c r="AB1" s="22"/>
      <c r="AC1" s="22"/>
      <c r="AD1" s="22"/>
      <c r="AE1" s="22"/>
      <c r="AF1" s="22"/>
      <c r="AG1" s="22"/>
      <c r="AH1" s="22"/>
      <c r="AI1" s="22"/>
      <c r="AJ1" s="22"/>
      <c r="AK1" s="22"/>
      <c r="AL1" s="22"/>
      <c r="AM1" s="22"/>
      <c r="AN1" s="22"/>
      <c r="AO1" s="22"/>
      <c r="AP1" s="22"/>
      <c r="AQ1" s="22"/>
      <c r="AR1" s="22"/>
      <c r="AS1" s="22"/>
      <c r="AT1" s="22"/>
      <c r="AU1" s="22"/>
      <c r="AV1" s="22"/>
      <c r="AW1" s="22"/>
      <c r="AX1" s="22"/>
      <c r="AY1" s="22"/>
      <c r="AZ1" s="22"/>
      <c r="BA1" s="22"/>
      <c r="BB1" s="22"/>
      <c r="BC1" s="22"/>
      <c r="BD1" s="22"/>
      <c r="BE1" s="22"/>
      <c r="BF1" s="22"/>
      <c r="BG1" s="22"/>
      <c r="BH1" s="22"/>
      <c r="BI1" s="22"/>
      <c r="BJ1" s="22"/>
      <c r="BK1" s="22"/>
      <c r="BL1" s="22"/>
      <c r="BM1" s="22"/>
      <c r="BN1" s="22"/>
      <c r="BO1" s="22"/>
      <c r="BP1" s="22"/>
      <c r="BQ1" s="22"/>
      <c r="BR1" s="22"/>
      <c r="BS1" s="22"/>
      <c r="BT1" s="22"/>
      <c r="BU1" s="22"/>
      <c r="BV1" s="22"/>
      <c r="BW1" s="22"/>
      <c r="BX1" s="22"/>
      <c r="BY1" s="22"/>
      <c r="BZ1" s="22"/>
      <c r="CA1" s="22"/>
      <c r="CB1" s="22"/>
      <c r="CC1" s="22"/>
      <c r="CD1" s="22"/>
      <c r="CE1" s="22"/>
      <c r="CF1" s="22"/>
      <c r="CG1" s="22"/>
      <c r="CH1" s="22"/>
      <c r="CI1" s="22"/>
      <c r="CJ1" s="22"/>
      <c r="CK1" s="22"/>
      <c r="CL1" s="22"/>
      <c r="CM1" s="22"/>
      <c r="CN1" s="22"/>
      <c r="CO1" s="22"/>
      <c r="CP1" s="22"/>
      <c r="CQ1" s="22"/>
      <c r="CR1" s="22"/>
      <c r="CS1" s="22"/>
      <c r="CT1" s="22"/>
      <c r="CU1" s="22"/>
      <c r="CV1" s="22"/>
      <c r="CW1" s="22"/>
      <c r="CX1" s="22"/>
      <c r="CY1" s="22"/>
      <c r="CZ1" s="22"/>
      <c r="DA1" s="22"/>
      <c r="DB1" s="22"/>
      <c r="DC1" s="22"/>
      <c r="DD1" s="22"/>
      <c r="DE1" s="22"/>
      <c r="DF1" s="22"/>
      <c r="DG1" s="22"/>
      <c r="DH1" s="22"/>
      <c r="DI1" s="22"/>
      <c r="DJ1" s="22"/>
      <c r="DK1" s="22"/>
      <c r="DL1" s="22"/>
      <c r="DM1" s="22"/>
      <c r="DN1" s="22"/>
      <c r="DO1" s="22"/>
      <c r="DP1" s="22"/>
      <c r="DQ1" s="22"/>
      <c r="DR1" s="22"/>
      <c r="DS1" s="22"/>
      <c r="DT1" s="22"/>
      <c r="DU1" s="22"/>
      <c r="DV1" s="22"/>
      <c r="DW1" s="22"/>
      <c r="DX1" s="22"/>
      <c r="DY1" s="22"/>
      <c r="DZ1" s="22"/>
      <c r="EA1" s="22"/>
      <c r="EB1" s="22"/>
      <c r="EC1" s="22"/>
      <c r="ED1" s="22"/>
      <c r="EE1" s="22"/>
      <c r="EF1" s="22"/>
      <c r="EG1" s="22"/>
      <c r="EH1" s="22"/>
      <c r="EI1" s="22"/>
      <c r="EJ1" s="22"/>
      <c r="EK1" s="22"/>
      <c r="EL1" s="22"/>
      <c r="EM1" s="22"/>
      <c r="EN1" s="22"/>
      <c r="EO1" s="22"/>
      <c r="EP1" s="22"/>
      <c r="EQ1" s="22"/>
      <c r="ER1" s="22"/>
      <c r="ES1" s="22"/>
      <c r="ET1" s="22"/>
      <c r="EU1" s="22"/>
      <c r="EV1" s="22"/>
      <c r="EW1" s="22"/>
      <c r="EX1" s="22"/>
      <c r="EY1" s="22"/>
      <c r="EZ1" s="22"/>
      <c r="FA1" s="22"/>
      <c r="FB1" s="22"/>
      <c r="FC1" s="22"/>
      <c r="FD1" s="22"/>
      <c r="FE1" s="22"/>
      <c r="FF1" s="22"/>
      <c r="FG1" s="22"/>
      <c r="FH1" s="22"/>
      <c r="FI1" s="22"/>
      <c r="FJ1" s="22"/>
      <c r="FK1" s="22"/>
      <c r="FL1" s="22"/>
      <c r="FM1" s="22"/>
      <c r="FN1" s="22"/>
      <c r="FO1" s="22"/>
      <c r="FP1" s="22"/>
      <c r="FQ1" s="22"/>
      <c r="FR1" s="22"/>
      <c r="FS1" s="22"/>
      <c r="FT1" s="22"/>
      <c r="FU1" s="22"/>
      <c r="FV1" s="22"/>
      <c r="FW1" s="22"/>
      <c r="FX1" s="22"/>
      <c r="FY1" s="22"/>
      <c r="FZ1" s="22"/>
      <c r="GA1" s="22"/>
      <c r="GB1" s="22"/>
      <c r="GC1" s="22"/>
      <c r="GD1" s="22"/>
      <c r="GE1" s="22"/>
      <c r="GF1" s="22"/>
      <c r="GG1" s="22"/>
      <c r="GH1" s="22"/>
      <c r="GI1" s="22"/>
      <c r="GJ1" s="22"/>
      <c r="GK1" s="22"/>
      <c r="GL1" s="22"/>
      <c r="GM1" s="22"/>
      <c r="GN1" s="22"/>
      <c r="GO1" s="22"/>
      <c r="GP1" s="22"/>
      <c r="GQ1" s="22"/>
      <c r="GR1" s="22"/>
      <c r="GS1" s="22"/>
      <c r="GT1" s="22"/>
      <c r="GU1" s="22"/>
      <c r="GV1" s="22"/>
      <c r="GW1" s="22"/>
      <c r="GX1" s="22"/>
      <c r="GY1" s="22"/>
      <c r="GZ1" s="22"/>
      <c r="HA1" s="22"/>
      <c r="HB1" s="22"/>
      <c r="HC1" s="22"/>
      <c r="HD1" s="22"/>
      <c r="HE1" s="22"/>
      <c r="HF1" s="22"/>
      <c r="HG1" s="22"/>
      <c r="HH1" s="22"/>
      <c r="HI1" s="22"/>
      <c r="HJ1" s="22"/>
      <c r="HK1" s="22"/>
      <c r="HL1" s="22"/>
      <c r="HM1" s="22"/>
      <c r="HN1" s="22"/>
      <c r="HO1" s="22"/>
      <c r="HP1" s="22"/>
      <c r="HQ1" s="22"/>
      <c r="HR1" s="22"/>
      <c r="HS1" s="22"/>
      <c r="HT1" s="22"/>
      <c r="HU1" s="22"/>
      <c r="HV1" s="22"/>
      <c r="HW1" s="22"/>
      <c r="HX1" s="22"/>
      <c r="HY1" s="22"/>
      <c r="HZ1" s="22"/>
      <c r="IA1" s="22"/>
      <c r="IB1" s="22"/>
      <c r="IC1" s="22"/>
      <c r="ID1" s="22"/>
      <c r="IE1" s="22"/>
      <c r="IF1" s="22"/>
      <c r="IG1" s="22"/>
      <c r="IH1" s="22"/>
      <c r="II1" s="22"/>
      <c r="IJ1" s="22"/>
      <c r="IK1" s="22"/>
      <c r="IL1" s="22"/>
    </row>
    <row r="2" spans="1:246" ht="18.75" customHeight="1" x14ac:dyDescent="0.2">
      <c r="A2" s="215" t="s">
        <v>1</v>
      </c>
      <c r="B2" s="215"/>
      <c r="C2" s="5">
        <f ca="1">TODAY()</f>
        <v>44477</v>
      </c>
      <c r="D2" s="6" t="s">
        <v>2</v>
      </c>
      <c r="E2" s="7"/>
      <c r="F2" s="8"/>
      <c r="G2" s="8"/>
      <c r="H2" s="8"/>
      <c r="I2" s="8"/>
      <c r="J2" s="8"/>
      <c r="K2" s="17"/>
      <c r="L2" s="17"/>
      <c r="M2" s="17"/>
      <c r="N2" s="17"/>
      <c r="O2" s="17"/>
      <c r="P2" s="18"/>
      <c r="Q2" s="23"/>
      <c r="R2" s="24"/>
      <c r="S2" s="24"/>
      <c r="T2" s="24"/>
      <c r="U2" s="24"/>
      <c r="V2" s="24"/>
      <c r="W2" s="24"/>
      <c r="X2" s="24"/>
      <c r="Y2" s="24"/>
      <c r="Z2" s="24"/>
      <c r="AA2" s="24"/>
      <c r="AB2" s="24"/>
      <c r="AC2" s="24"/>
      <c r="AD2" s="24"/>
      <c r="AE2" s="24"/>
      <c r="AF2" s="24"/>
      <c r="AG2" s="24"/>
      <c r="AH2" s="24"/>
      <c r="AI2" s="24"/>
      <c r="AJ2" s="24"/>
      <c r="AK2" s="24"/>
      <c r="AL2" s="24"/>
      <c r="AM2" s="24"/>
      <c r="AN2" s="24"/>
      <c r="AO2" s="24"/>
      <c r="AP2" s="24"/>
      <c r="AQ2" s="24"/>
      <c r="AR2" s="24"/>
      <c r="AS2" s="24"/>
      <c r="AT2" s="24"/>
      <c r="AU2" s="24"/>
      <c r="AV2" s="24"/>
      <c r="AW2" s="24"/>
      <c r="AX2" s="24"/>
      <c r="AY2" s="24"/>
      <c r="AZ2" s="24"/>
      <c r="BA2" s="24"/>
      <c r="BB2" s="24"/>
      <c r="BC2" s="24"/>
      <c r="BD2" s="24"/>
      <c r="BE2" s="24"/>
      <c r="BF2" s="24"/>
      <c r="BG2" s="24"/>
      <c r="BH2" s="24"/>
      <c r="BI2" s="24"/>
      <c r="BJ2" s="24"/>
      <c r="BK2" s="24"/>
      <c r="BL2" s="24"/>
      <c r="BM2" s="24"/>
      <c r="BN2" s="24"/>
      <c r="BO2" s="24"/>
      <c r="BP2" s="24"/>
      <c r="BQ2" s="24"/>
      <c r="BR2" s="24"/>
      <c r="BS2" s="24"/>
      <c r="BT2" s="24"/>
      <c r="BU2" s="24"/>
      <c r="BV2" s="24"/>
      <c r="BW2" s="24"/>
      <c r="BX2" s="24"/>
      <c r="BY2" s="24"/>
      <c r="BZ2" s="24"/>
      <c r="CA2" s="24"/>
      <c r="CB2" s="24"/>
      <c r="CC2" s="24"/>
      <c r="CD2" s="24"/>
      <c r="CE2" s="24"/>
      <c r="CF2" s="24"/>
      <c r="CG2" s="24"/>
      <c r="CH2" s="24"/>
      <c r="CI2" s="24"/>
      <c r="CJ2" s="24"/>
      <c r="CK2" s="24"/>
      <c r="CL2" s="24"/>
      <c r="CM2" s="24"/>
      <c r="CN2" s="24"/>
      <c r="CO2" s="24"/>
      <c r="CP2" s="24"/>
      <c r="CQ2" s="24"/>
      <c r="CR2" s="24"/>
      <c r="CS2" s="24"/>
      <c r="CT2" s="24"/>
      <c r="CU2" s="24"/>
      <c r="CV2" s="24"/>
      <c r="CW2" s="24"/>
      <c r="CX2" s="24"/>
      <c r="CY2" s="24"/>
      <c r="CZ2" s="24"/>
      <c r="DA2" s="24"/>
      <c r="DB2" s="24"/>
      <c r="DC2" s="24"/>
      <c r="DD2" s="24"/>
      <c r="DE2" s="24"/>
      <c r="DF2" s="24"/>
      <c r="DG2" s="24"/>
      <c r="DH2" s="24"/>
      <c r="DI2" s="24"/>
      <c r="DJ2" s="24"/>
      <c r="DK2" s="24"/>
      <c r="DL2" s="24"/>
      <c r="DM2" s="24"/>
      <c r="DN2" s="24"/>
      <c r="DO2" s="24"/>
      <c r="DP2" s="24"/>
      <c r="DQ2" s="24"/>
      <c r="DR2" s="24"/>
      <c r="DS2" s="24"/>
      <c r="DT2" s="24"/>
      <c r="DU2" s="24"/>
      <c r="DV2" s="24"/>
      <c r="DW2" s="24"/>
      <c r="DX2" s="24"/>
      <c r="DY2" s="24"/>
      <c r="DZ2" s="24"/>
      <c r="EA2" s="24"/>
      <c r="EB2" s="24"/>
      <c r="EC2" s="24"/>
      <c r="ED2" s="24"/>
      <c r="EE2" s="24"/>
      <c r="EF2" s="24"/>
      <c r="EG2" s="24"/>
      <c r="EH2" s="24"/>
      <c r="EI2" s="24"/>
      <c r="EJ2" s="24"/>
      <c r="EK2" s="24"/>
      <c r="EL2" s="24"/>
      <c r="EM2" s="24"/>
      <c r="EN2" s="24"/>
      <c r="EO2" s="24"/>
      <c r="EP2" s="24"/>
      <c r="EQ2" s="24"/>
      <c r="ER2" s="24"/>
      <c r="ES2" s="24"/>
      <c r="ET2" s="24"/>
      <c r="EU2" s="24"/>
      <c r="EV2" s="24"/>
      <c r="EW2" s="24"/>
      <c r="EX2" s="24"/>
      <c r="EY2" s="24"/>
      <c r="EZ2" s="24"/>
      <c r="FA2" s="24"/>
      <c r="FB2" s="24"/>
      <c r="FC2" s="24"/>
      <c r="FD2" s="24"/>
      <c r="FE2" s="24"/>
      <c r="FF2" s="24"/>
      <c r="FG2" s="24"/>
      <c r="FH2" s="24"/>
      <c r="FI2" s="24"/>
      <c r="FJ2" s="24"/>
      <c r="FK2" s="24"/>
      <c r="FL2" s="24"/>
      <c r="FM2" s="24"/>
      <c r="FN2" s="24"/>
      <c r="FO2" s="24"/>
      <c r="FP2" s="24"/>
      <c r="FQ2" s="24"/>
      <c r="FR2" s="24"/>
      <c r="FS2" s="24"/>
      <c r="FT2" s="24"/>
      <c r="FU2" s="24"/>
      <c r="FV2" s="24"/>
      <c r="FW2" s="24"/>
      <c r="FX2" s="24"/>
      <c r="FY2" s="24"/>
      <c r="FZ2" s="24"/>
      <c r="GA2" s="24"/>
      <c r="GB2" s="24"/>
      <c r="GC2" s="24"/>
      <c r="GD2" s="24"/>
      <c r="GE2" s="24"/>
      <c r="GF2" s="24"/>
      <c r="GG2" s="24"/>
      <c r="GH2" s="24"/>
      <c r="GI2" s="24"/>
      <c r="GJ2" s="24"/>
      <c r="GK2" s="24"/>
      <c r="GL2" s="24"/>
      <c r="GM2" s="24"/>
      <c r="GN2" s="24"/>
      <c r="GO2" s="24"/>
      <c r="GP2" s="24"/>
      <c r="GQ2" s="24"/>
      <c r="GR2" s="24"/>
      <c r="GS2" s="24"/>
      <c r="GT2" s="24"/>
      <c r="GU2" s="24"/>
      <c r="GV2" s="24"/>
      <c r="GW2" s="24"/>
      <c r="GX2" s="24"/>
      <c r="GY2" s="24"/>
      <c r="GZ2" s="24"/>
      <c r="HA2" s="24"/>
      <c r="HB2" s="24"/>
      <c r="HC2" s="24"/>
      <c r="HD2" s="24"/>
      <c r="HE2" s="24"/>
      <c r="HF2" s="24"/>
      <c r="HG2" s="24"/>
      <c r="HH2" s="24"/>
      <c r="HI2" s="24"/>
      <c r="HJ2" s="24"/>
      <c r="HK2" s="24"/>
      <c r="HL2" s="24"/>
      <c r="HM2" s="24"/>
      <c r="HN2" s="24"/>
      <c r="HO2" s="24"/>
      <c r="HP2" s="24"/>
      <c r="HQ2" s="24"/>
      <c r="HR2" s="24"/>
      <c r="HS2" s="24"/>
      <c r="HT2" s="24"/>
      <c r="HU2" s="24"/>
      <c r="HV2" s="24"/>
      <c r="HW2" s="24"/>
      <c r="HX2" s="24"/>
      <c r="HY2" s="24"/>
      <c r="HZ2" s="24"/>
      <c r="IA2" s="24"/>
      <c r="IB2" s="24"/>
      <c r="IC2" s="24"/>
      <c r="ID2" s="24"/>
      <c r="IE2" s="24"/>
      <c r="IF2" s="24"/>
      <c r="IG2" s="24"/>
      <c r="IH2" s="24"/>
      <c r="II2" s="24"/>
      <c r="IJ2" s="24"/>
      <c r="IK2" s="24"/>
      <c r="IL2" s="24"/>
    </row>
    <row r="3" spans="1:246" ht="39" customHeight="1" x14ac:dyDescent="0.15">
      <c r="A3" s="9" t="s">
        <v>3</v>
      </c>
      <c r="B3" s="9" t="s">
        <v>4</v>
      </c>
      <c r="C3" s="9" t="s">
        <v>5</v>
      </c>
      <c r="D3" s="9" t="s">
        <v>6</v>
      </c>
      <c r="E3" s="9" t="s">
        <v>7</v>
      </c>
      <c r="F3" s="9" t="s">
        <v>8</v>
      </c>
      <c r="G3" s="9" t="s">
        <v>9</v>
      </c>
      <c r="H3" s="9" t="s">
        <v>10</v>
      </c>
      <c r="I3" s="9" t="s">
        <v>11</v>
      </c>
      <c r="J3" s="9" t="s">
        <v>12</v>
      </c>
      <c r="K3" s="9" t="s">
        <v>13</v>
      </c>
      <c r="L3" s="9" t="s">
        <v>14</v>
      </c>
      <c r="M3" s="9" t="s">
        <v>15</v>
      </c>
      <c r="N3" s="9" t="s">
        <v>16</v>
      </c>
      <c r="O3" s="9" t="s">
        <v>17</v>
      </c>
      <c r="P3" s="19" t="s">
        <v>18</v>
      </c>
      <c r="Q3" s="37"/>
      <c r="R3" s="195"/>
      <c r="S3" s="195"/>
      <c r="T3" s="195"/>
      <c r="U3" s="195"/>
      <c r="V3" s="195"/>
      <c r="W3" s="195"/>
      <c r="X3" s="195"/>
      <c r="Y3" s="195"/>
      <c r="Z3" s="195"/>
      <c r="AA3" s="195"/>
      <c r="AB3" s="195"/>
      <c r="AC3" s="195"/>
      <c r="AD3" s="195"/>
      <c r="AE3" s="195"/>
      <c r="AF3" s="195"/>
      <c r="AG3" s="195"/>
      <c r="AH3" s="195"/>
      <c r="AI3" s="195"/>
      <c r="AJ3" s="195"/>
      <c r="AK3" s="195"/>
      <c r="AL3" s="195"/>
      <c r="AM3" s="195"/>
      <c r="AN3" s="195"/>
      <c r="AO3" s="195"/>
      <c r="AP3" s="195"/>
      <c r="AQ3" s="195"/>
      <c r="AR3" s="195"/>
      <c r="AS3" s="195"/>
      <c r="AT3" s="195"/>
      <c r="AU3" s="195"/>
      <c r="AV3" s="195"/>
      <c r="AW3" s="195"/>
      <c r="AX3" s="195"/>
      <c r="AY3" s="195"/>
      <c r="AZ3" s="195"/>
      <c r="BA3" s="195"/>
      <c r="BB3" s="195"/>
      <c r="BC3" s="195"/>
      <c r="BD3" s="195"/>
      <c r="BE3" s="195"/>
      <c r="BF3" s="195"/>
      <c r="BG3" s="195"/>
      <c r="BH3" s="195"/>
      <c r="BI3" s="195"/>
      <c r="BJ3" s="195"/>
      <c r="BK3" s="195"/>
      <c r="BL3" s="195"/>
      <c r="BM3" s="195"/>
      <c r="BN3" s="195"/>
      <c r="BO3" s="195"/>
      <c r="BP3" s="195"/>
      <c r="BQ3" s="195"/>
      <c r="BR3" s="195"/>
      <c r="BS3" s="195"/>
      <c r="BT3" s="195"/>
      <c r="BU3" s="195"/>
      <c r="BV3" s="195"/>
      <c r="BW3" s="195"/>
      <c r="BX3" s="195"/>
      <c r="BY3" s="195"/>
      <c r="BZ3" s="195"/>
      <c r="CA3" s="195"/>
      <c r="CB3" s="195"/>
      <c r="CC3" s="195"/>
      <c r="CD3" s="195"/>
      <c r="CE3" s="195"/>
      <c r="CF3" s="195"/>
      <c r="CG3" s="195"/>
      <c r="CH3" s="195"/>
      <c r="CI3" s="195"/>
      <c r="CJ3" s="195"/>
      <c r="CK3" s="195"/>
      <c r="CL3" s="195"/>
      <c r="CM3" s="195"/>
      <c r="CN3" s="195"/>
      <c r="CO3" s="195"/>
      <c r="CP3" s="195"/>
      <c r="CQ3" s="195"/>
      <c r="CR3" s="195"/>
      <c r="CS3" s="195"/>
      <c r="CT3" s="195"/>
      <c r="CU3" s="195"/>
      <c r="CV3" s="195"/>
      <c r="CW3" s="195"/>
      <c r="CX3" s="195"/>
      <c r="CY3" s="195"/>
      <c r="CZ3" s="195"/>
      <c r="DA3" s="195"/>
      <c r="DB3" s="195"/>
      <c r="DC3" s="195"/>
      <c r="DD3" s="195"/>
      <c r="DE3" s="195"/>
      <c r="DF3" s="195"/>
      <c r="DG3" s="195"/>
      <c r="DH3" s="195"/>
      <c r="DI3" s="195"/>
      <c r="DJ3" s="195"/>
      <c r="DK3" s="195"/>
      <c r="DL3" s="195"/>
      <c r="DM3" s="195"/>
      <c r="DN3" s="195"/>
      <c r="DO3" s="195"/>
      <c r="DP3" s="195"/>
      <c r="DQ3" s="195"/>
      <c r="DR3" s="195"/>
      <c r="DS3" s="195"/>
      <c r="DT3" s="195"/>
      <c r="DU3" s="195"/>
      <c r="DV3" s="195"/>
      <c r="DW3" s="195"/>
      <c r="DX3" s="195"/>
      <c r="DY3" s="195"/>
      <c r="DZ3" s="195"/>
      <c r="EA3" s="195"/>
      <c r="EB3" s="195"/>
      <c r="EC3" s="195"/>
      <c r="ED3" s="195"/>
      <c r="EE3" s="195"/>
      <c r="EF3" s="195"/>
      <c r="EG3" s="195"/>
      <c r="EH3" s="195"/>
      <c r="EI3" s="195"/>
      <c r="EJ3" s="195"/>
      <c r="EK3" s="195"/>
      <c r="EL3" s="195"/>
      <c r="EM3" s="195"/>
      <c r="EN3" s="195"/>
      <c r="EO3" s="195"/>
      <c r="EP3" s="195"/>
      <c r="EQ3" s="195"/>
      <c r="ER3" s="195"/>
      <c r="ES3" s="195"/>
      <c r="ET3" s="195"/>
      <c r="EU3" s="195"/>
      <c r="EV3" s="195"/>
      <c r="EW3" s="195"/>
      <c r="EX3" s="195"/>
      <c r="EY3" s="195"/>
      <c r="EZ3" s="195"/>
      <c r="FA3" s="195"/>
      <c r="FB3" s="195"/>
      <c r="FC3" s="195"/>
      <c r="FD3" s="195"/>
      <c r="FE3" s="195"/>
      <c r="FF3" s="195"/>
      <c r="FG3" s="195"/>
      <c r="FH3" s="195"/>
      <c r="FI3" s="195"/>
      <c r="FJ3" s="195"/>
      <c r="FK3" s="195"/>
      <c r="FL3" s="195"/>
      <c r="FM3" s="195"/>
      <c r="FN3" s="195"/>
      <c r="FO3" s="195"/>
      <c r="FP3" s="195"/>
      <c r="FQ3" s="195"/>
      <c r="FR3" s="195"/>
      <c r="FS3" s="195"/>
      <c r="FT3" s="195"/>
      <c r="FU3" s="195"/>
      <c r="FV3" s="195"/>
      <c r="FW3" s="195"/>
      <c r="FX3" s="195"/>
      <c r="FY3" s="195"/>
      <c r="FZ3" s="195"/>
      <c r="GA3" s="195"/>
      <c r="GB3" s="195"/>
      <c r="GC3" s="195"/>
      <c r="GD3" s="195"/>
      <c r="GE3" s="195"/>
      <c r="GF3" s="195"/>
      <c r="GG3" s="195"/>
      <c r="GH3" s="195"/>
      <c r="GI3" s="195"/>
      <c r="GJ3" s="195"/>
      <c r="GK3" s="195"/>
      <c r="GL3" s="195"/>
      <c r="GM3" s="195"/>
      <c r="GN3" s="195"/>
      <c r="GO3" s="195"/>
      <c r="GP3" s="195"/>
      <c r="GQ3" s="195"/>
      <c r="GR3" s="195"/>
      <c r="GS3" s="195"/>
      <c r="GT3" s="195"/>
      <c r="GU3" s="195"/>
      <c r="GV3" s="195"/>
      <c r="GW3" s="195"/>
      <c r="GX3" s="195"/>
      <c r="GY3" s="195"/>
      <c r="GZ3" s="195"/>
      <c r="HA3" s="195"/>
      <c r="HB3" s="195"/>
      <c r="HC3" s="195"/>
      <c r="HD3" s="195"/>
      <c r="HE3" s="195"/>
      <c r="HF3" s="195"/>
      <c r="HG3" s="195"/>
      <c r="HH3" s="195"/>
      <c r="HI3" s="195"/>
      <c r="HJ3" s="195"/>
      <c r="HK3" s="195"/>
      <c r="HL3" s="195"/>
      <c r="HM3" s="195"/>
      <c r="HN3" s="195"/>
      <c r="HO3" s="195"/>
      <c r="HP3" s="195"/>
      <c r="HQ3" s="195"/>
      <c r="HR3" s="195"/>
      <c r="HS3" s="195"/>
      <c r="HT3" s="195"/>
      <c r="HU3" s="195"/>
      <c r="HV3" s="195"/>
      <c r="HW3" s="195"/>
      <c r="HX3" s="195"/>
      <c r="HY3" s="195"/>
      <c r="HZ3" s="195"/>
      <c r="IA3" s="195"/>
      <c r="IB3" s="195"/>
      <c r="IC3" s="195"/>
      <c r="ID3" s="195"/>
      <c r="IE3" s="195"/>
      <c r="IF3" s="195"/>
      <c r="IG3" s="195"/>
      <c r="IH3" s="195"/>
      <c r="II3" s="195"/>
      <c r="IJ3" s="195"/>
      <c r="IK3" s="195"/>
      <c r="IL3" s="195"/>
    </row>
    <row r="4" spans="1:246" ht="152.25" customHeight="1" x14ac:dyDescent="0.15">
      <c r="A4" s="15">
        <v>236</v>
      </c>
      <c r="B4" s="13"/>
      <c r="C4" s="16" t="s">
        <v>640</v>
      </c>
      <c r="D4" s="13" t="s">
        <v>24</v>
      </c>
      <c r="E4" s="13" t="s">
        <v>641</v>
      </c>
      <c r="F4" s="30">
        <v>44228</v>
      </c>
      <c r="G4" s="30">
        <v>44233</v>
      </c>
      <c r="H4" s="31">
        <v>44233</v>
      </c>
      <c r="I4" s="31">
        <v>44233</v>
      </c>
      <c r="J4" s="13" t="str">
        <f t="shared" ref="J4:J13" ca="1" si="0">IF(AND(I4&lt;=$C$2,I4&lt;&gt;0),"DONE",IF(K4&lt;0,"OVERDUE",IF(AND(K4="",O4&lt;0),"OVERDUE","IN TIME")))</f>
        <v>DONE</v>
      </c>
      <c r="K4" s="13">
        <f t="shared" ref="K4:K13" ca="1" si="1">IF(H4&gt;0,H4-$C$2,"")</f>
        <v>-244</v>
      </c>
      <c r="L4" s="13">
        <f t="shared" ref="L4:L13" ca="1" si="2">IF(J4="OVERDUE",1,0)</f>
        <v>0</v>
      </c>
      <c r="M4" s="13">
        <f t="shared" ref="M4:M13" ca="1" si="3">IF(J4="IN TIME",1,0)</f>
        <v>0</v>
      </c>
      <c r="N4" s="13">
        <f t="shared" ref="N4:N13" ca="1" si="4">IF(J4="DONE",1,0)</f>
        <v>1</v>
      </c>
      <c r="O4" s="13">
        <f t="shared" ref="O4:O13" ca="1" si="5">IF(G4&gt;0,G4-$C$2,"")</f>
        <v>-244</v>
      </c>
      <c r="P4" s="20" t="s">
        <v>642</v>
      </c>
      <c r="Q4" s="27"/>
      <c r="R4" s="27"/>
      <c r="S4" s="27"/>
      <c r="T4" s="27"/>
      <c r="U4" s="27"/>
      <c r="V4" s="27"/>
      <c r="W4" s="27"/>
      <c r="X4" s="27"/>
      <c r="Y4" s="27"/>
      <c r="Z4" s="27"/>
      <c r="AA4" s="27"/>
      <c r="AB4" s="27"/>
      <c r="AC4" s="27"/>
      <c r="AD4" s="27"/>
    </row>
    <row r="5" spans="1:246" ht="63.75" customHeight="1" x14ac:dyDescent="0.15">
      <c r="A5" s="15">
        <v>237</v>
      </c>
      <c r="B5" s="13"/>
      <c r="C5" s="16" t="s">
        <v>643</v>
      </c>
      <c r="D5" s="13" t="s">
        <v>24</v>
      </c>
      <c r="E5" s="13" t="s">
        <v>25</v>
      </c>
      <c r="F5" s="14">
        <v>44245</v>
      </c>
      <c r="G5" s="14"/>
      <c r="H5" s="14">
        <v>44251</v>
      </c>
      <c r="I5" s="14">
        <v>44264</v>
      </c>
      <c r="J5" s="13" t="str">
        <f t="shared" ca="1" si="0"/>
        <v>DONE</v>
      </c>
      <c r="K5" s="13">
        <f t="shared" ca="1" si="1"/>
        <v>-226</v>
      </c>
      <c r="L5" s="13">
        <f t="shared" ca="1" si="2"/>
        <v>0</v>
      </c>
      <c r="M5" s="13">
        <f t="shared" ca="1" si="3"/>
        <v>0</v>
      </c>
      <c r="N5" s="13">
        <f t="shared" ca="1" si="4"/>
        <v>1</v>
      </c>
      <c r="O5" s="13" t="str">
        <f t="shared" si="5"/>
        <v/>
      </c>
      <c r="P5" s="20" t="s">
        <v>651</v>
      </c>
      <c r="Q5" s="27"/>
      <c r="R5" s="27"/>
      <c r="S5" s="27"/>
      <c r="T5" s="27"/>
      <c r="U5" s="27"/>
      <c r="V5" s="27"/>
      <c r="W5" s="27"/>
      <c r="X5" s="27"/>
      <c r="Y5" s="27"/>
      <c r="Z5" s="27"/>
      <c r="AA5" s="27"/>
      <c r="AB5" s="27"/>
      <c r="AC5" s="27"/>
      <c r="AD5" s="27"/>
    </row>
    <row r="6" spans="1:246" ht="63.75" customHeight="1" x14ac:dyDescent="0.15">
      <c r="A6" s="15">
        <v>238</v>
      </c>
      <c r="B6" s="13"/>
      <c r="C6" s="16" t="s">
        <v>644</v>
      </c>
      <c r="D6" s="13" t="s">
        <v>24</v>
      </c>
      <c r="E6" s="13" t="s">
        <v>25</v>
      </c>
      <c r="F6" s="14">
        <v>44252</v>
      </c>
      <c r="G6" s="14"/>
      <c r="H6" s="14">
        <v>44251</v>
      </c>
      <c r="I6" s="14">
        <v>44264</v>
      </c>
      <c r="J6" s="13" t="str">
        <f t="shared" ca="1" si="0"/>
        <v>DONE</v>
      </c>
      <c r="K6" s="13">
        <f t="shared" ca="1" si="1"/>
        <v>-226</v>
      </c>
      <c r="L6" s="13">
        <f t="shared" ca="1" si="2"/>
        <v>0</v>
      </c>
      <c r="M6" s="13">
        <f t="shared" ca="1" si="3"/>
        <v>0</v>
      </c>
      <c r="N6" s="13">
        <f t="shared" ca="1" si="4"/>
        <v>1</v>
      </c>
      <c r="O6" s="13" t="str">
        <f t="shared" si="5"/>
        <v/>
      </c>
      <c r="P6" s="20" t="s">
        <v>651</v>
      </c>
      <c r="Q6" s="27"/>
      <c r="R6" s="27"/>
      <c r="S6" s="27"/>
      <c r="T6" s="27"/>
      <c r="U6" s="27"/>
      <c r="V6" s="27"/>
      <c r="W6" s="27"/>
      <c r="X6" s="27"/>
      <c r="Y6" s="27"/>
      <c r="Z6" s="27"/>
      <c r="AA6" s="27"/>
      <c r="AB6" s="27"/>
      <c r="AC6" s="27"/>
      <c r="AD6" s="27"/>
    </row>
    <row r="7" spans="1:246" ht="78.75" customHeight="1" x14ac:dyDescent="0.15">
      <c r="A7" s="15">
        <v>239</v>
      </c>
      <c r="B7" s="13"/>
      <c r="C7" s="16" t="s">
        <v>646</v>
      </c>
      <c r="D7" s="13" t="s">
        <v>24</v>
      </c>
      <c r="E7" s="13" t="s">
        <v>641</v>
      </c>
      <c r="F7" s="14">
        <v>44264</v>
      </c>
      <c r="G7" s="14"/>
      <c r="H7" s="14">
        <v>44274</v>
      </c>
      <c r="I7" s="14">
        <v>44282</v>
      </c>
      <c r="J7" s="13" t="str">
        <f t="shared" ca="1" si="0"/>
        <v>DONE</v>
      </c>
      <c r="K7" s="13"/>
      <c r="L7" s="13"/>
      <c r="M7" s="13"/>
      <c r="N7" s="13"/>
      <c r="O7" s="13"/>
      <c r="P7" s="20" t="s">
        <v>654</v>
      </c>
      <c r="Q7" s="27"/>
      <c r="R7" s="27"/>
      <c r="S7" s="27"/>
      <c r="T7" s="27"/>
      <c r="U7" s="27"/>
      <c r="V7" s="27"/>
      <c r="W7" s="27"/>
      <c r="X7" s="27"/>
      <c r="Y7" s="27"/>
      <c r="Z7" s="27"/>
      <c r="AA7" s="27"/>
      <c r="AB7" s="27"/>
      <c r="AC7" s="27"/>
      <c r="AD7" s="27"/>
    </row>
    <row r="8" spans="1:246" ht="102" customHeight="1" x14ac:dyDescent="0.15">
      <c r="A8" s="15">
        <v>240</v>
      </c>
      <c r="B8" s="13"/>
      <c r="C8" s="12" t="s">
        <v>670</v>
      </c>
      <c r="D8" s="13" t="s">
        <v>37</v>
      </c>
      <c r="E8" s="13" t="s">
        <v>641</v>
      </c>
      <c r="F8" s="14">
        <v>44375</v>
      </c>
      <c r="G8" s="14"/>
      <c r="H8" s="14">
        <v>44396</v>
      </c>
      <c r="I8" s="14"/>
      <c r="J8" s="13"/>
      <c r="K8" s="13"/>
      <c r="L8" s="13"/>
      <c r="M8" s="13"/>
      <c r="N8" s="13"/>
      <c r="O8" s="13"/>
      <c r="P8" s="20" t="s">
        <v>705</v>
      </c>
      <c r="Q8" s="27"/>
      <c r="R8" s="27"/>
      <c r="S8" s="27"/>
      <c r="T8" s="27"/>
      <c r="U8" s="27"/>
      <c r="V8" s="27"/>
      <c r="W8" s="27"/>
      <c r="X8" s="27"/>
      <c r="Y8" s="27"/>
      <c r="Z8" s="27"/>
      <c r="AA8" s="27"/>
      <c r="AB8" s="27"/>
      <c r="AC8" s="27"/>
      <c r="AD8" s="27"/>
    </row>
    <row r="9" spans="1:246" ht="85.5" customHeight="1" x14ac:dyDescent="0.15">
      <c r="A9" s="15">
        <v>241</v>
      </c>
      <c r="B9" s="13"/>
      <c r="C9" s="16"/>
      <c r="D9" s="13"/>
      <c r="E9" s="13"/>
      <c r="F9" s="14"/>
      <c r="G9" s="14"/>
      <c r="H9" s="14"/>
      <c r="I9" s="14"/>
      <c r="J9" s="13"/>
      <c r="K9" s="13"/>
      <c r="L9" s="13"/>
      <c r="M9" s="13"/>
      <c r="N9" s="13"/>
      <c r="O9" s="13"/>
      <c r="P9" s="20"/>
      <c r="Q9" s="27"/>
      <c r="R9" s="27"/>
      <c r="S9" s="27"/>
      <c r="T9" s="27"/>
      <c r="U9" s="27"/>
      <c r="V9" s="27"/>
      <c r="W9" s="27"/>
      <c r="X9" s="27"/>
      <c r="Y9" s="27"/>
      <c r="Z9" s="27"/>
      <c r="AA9" s="27"/>
      <c r="AB9" s="27"/>
      <c r="AC9" s="27"/>
      <c r="AD9" s="27"/>
    </row>
    <row r="10" spans="1:246" s="162" customFormat="1" ht="51" customHeight="1" x14ac:dyDescent="0.15">
      <c r="A10" s="156">
        <v>242</v>
      </c>
      <c r="B10" s="157"/>
      <c r="C10" s="158"/>
      <c r="D10" s="157"/>
      <c r="E10" s="157"/>
      <c r="F10" s="159"/>
      <c r="G10" s="159"/>
      <c r="H10" s="159"/>
      <c r="I10" s="159"/>
      <c r="J10" s="157"/>
      <c r="K10" s="157"/>
      <c r="L10" s="157"/>
      <c r="M10" s="157"/>
      <c r="N10" s="157"/>
      <c r="O10" s="157"/>
      <c r="P10" s="160"/>
      <c r="Q10" s="161"/>
      <c r="R10" s="161"/>
      <c r="S10" s="161"/>
      <c r="T10" s="161"/>
      <c r="U10" s="161"/>
      <c r="V10" s="161"/>
      <c r="W10" s="161"/>
      <c r="X10" s="161"/>
      <c r="Y10" s="161"/>
      <c r="Z10" s="161"/>
      <c r="AA10" s="161"/>
      <c r="AB10" s="161"/>
      <c r="AC10" s="161"/>
      <c r="AD10" s="161"/>
    </row>
    <row r="11" spans="1:246" ht="24.6" customHeight="1" x14ac:dyDescent="0.15">
      <c r="A11" s="15">
        <v>243</v>
      </c>
      <c r="B11" s="13"/>
      <c r="C11" s="12"/>
      <c r="D11" s="13"/>
      <c r="E11" s="13"/>
      <c r="F11" s="14"/>
      <c r="G11" s="14"/>
      <c r="H11" s="14"/>
      <c r="I11" s="14"/>
      <c r="J11" s="13"/>
      <c r="K11" s="13"/>
      <c r="L11" s="13"/>
      <c r="M11" s="13"/>
      <c r="N11" s="13"/>
      <c r="O11" s="13"/>
      <c r="P11" s="20"/>
      <c r="Q11" s="27"/>
      <c r="R11" s="27"/>
      <c r="S11" s="27"/>
      <c r="T11" s="27"/>
      <c r="U11" s="27"/>
      <c r="V11" s="27"/>
      <c r="W11" s="27"/>
      <c r="X11" s="27"/>
      <c r="Y11" s="27"/>
      <c r="Z11" s="27"/>
      <c r="AA11" s="27"/>
      <c r="AB11" s="27"/>
      <c r="AC11" s="27"/>
      <c r="AD11" s="27"/>
    </row>
    <row r="12" spans="1:246" ht="24.6" customHeight="1" x14ac:dyDescent="0.15">
      <c r="A12" s="15">
        <v>244</v>
      </c>
      <c r="B12" s="13"/>
      <c r="C12" s="12"/>
      <c r="D12" s="13"/>
      <c r="E12" s="13"/>
      <c r="F12" s="14"/>
      <c r="G12" s="14"/>
      <c r="H12" s="14"/>
      <c r="I12" s="14"/>
      <c r="J12" s="13" t="str">
        <f t="shared" ca="1" si="0"/>
        <v>IN TIME</v>
      </c>
      <c r="K12" s="13" t="str">
        <f t="shared" si="1"/>
        <v/>
      </c>
      <c r="L12" s="13">
        <f t="shared" ca="1" si="2"/>
        <v>0</v>
      </c>
      <c r="M12" s="13">
        <f t="shared" ca="1" si="3"/>
        <v>1</v>
      </c>
      <c r="N12" s="13">
        <f t="shared" ca="1" si="4"/>
        <v>0</v>
      </c>
      <c r="O12" s="13" t="str">
        <f t="shared" si="5"/>
        <v/>
      </c>
      <c r="P12" s="20"/>
      <c r="Q12" s="27"/>
      <c r="R12" s="27"/>
      <c r="S12" s="27"/>
      <c r="T12" s="27"/>
      <c r="U12" s="27"/>
      <c r="V12" s="27"/>
      <c r="W12" s="27"/>
      <c r="X12" s="27"/>
      <c r="Y12" s="27"/>
      <c r="Z12" s="27"/>
      <c r="AA12" s="27"/>
      <c r="AB12" s="27"/>
      <c r="AC12" s="27"/>
      <c r="AD12" s="27"/>
    </row>
    <row r="13" spans="1:246" ht="24.6" customHeight="1" x14ac:dyDescent="0.15">
      <c r="A13" s="15">
        <v>245</v>
      </c>
      <c r="B13" s="13"/>
      <c r="C13" s="12"/>
      <c r="D13" s="13"/>
      <c r="E13" s="13"/>
      <c r="F13" s="14"/>
      <c r="G13" s="14"/>
      <c r="H13" s="14"/>
      <c r="I13" s="14"/>
      <c r="J13" s="13" t="str">
        <f t="shared" ca="1" si="0"/>
        <v>IN TIME</v>
      </c>
      <c r="K13" s="13" t="str">
        <f t="shared" si="1"/>
        <v/>
      </c>
      <c r="L13" s="13">
        <f t="shared" ca="1" si="2"/>
        <v>0</v>
      </c>
      <c r="M13" s="13">
        <f t="shared" ca="1" si="3"/>
        <v>1</v>
      </c>
      <c r="N13" s="13">
        <f t="shared" ca="1" si="4"/>
        <v>0</v>
      </c>
      <c r="O13" s="13" t="str">
        <f t="shared" si="5"/>
        <v/>
      </c>
      <c r="P13" s="20"/>
      <c r="Q13" s="27"/>
      <c r="R13" s="27"/>
      <c r="S13" s="27"/>
      <c r="T13" s="27"/>
      <c r="U13" s="27"/>
      <c r="V13" s="27"/>
      <c r="W13" s="27"/>
      <c r="X13" s="27"/>
      <c r="Y13" s="27"/>
      <c r="Z13" s="27"/>
      <c r="AA13" s="27"/>
      <c r="AB13" s="27"/>
      <c r="AC13" s="27"/>
      <c r="AD13" s="27"/>
    </row>
  </sheetData>
  <autoFilter ref="A3:P13"/>
  <mergeCells count="2">
    <mergeCell ref="A1:P1"/>
    <mergeCell ref="A2:B2"/>
  </mergeCells>
  <phoneticPr fontId="34" type="noConversion"/>
  <conditionalFormatting sqref="J4">
    <cfRule type="cellIs" dxfId="185" priority="28" operator="equal">
      <formula>"OVERDUE"</formula>
    </cfRule>
    <cfRule type="cellIs" dxfId="184" priority="29" operator="equal">
      <formula>"DONE"</formula>
    </cfRule>
    <cfRule type="cellIs" dxfId="183" priority="30" operator="equal">
      <formula>"DONE"</formula>
    </cfRule>
  </conditionalFormatting>
  <conditionalFormatting sqref="J5">
    <cfRule type="cellIs" dxfId="182" priority="25" operator="equal">
      <formula>"OVERDUE"</formula>
    </cfRule>
    <cfRule type="cellIs" dxfId="181" priority="26" operator="equal">
      <formula>"DONE"</formula>
    </cfRule>
    <cfRule type="cellIs" dxfId="180" priority="27" operator="equal">
      <formula>"DONE"</formula>
    </cfRule>
  </conditionalFormatting>
  <conditionalFormatting sqref="J6:J7">
    <cfRule type="cellIs" dxfId="179" priority="22" operator="equal">
      <formula>"OVERDUE"</formula>
    </cfRule>
    <cfRule type="cellIs" dxfId="178" priority="23" operator="equal">
      <formula>"DONE"</formula>
    </cfRule>
    <cfRule type="cellIs" dxfId="177" priority="24" operator="equal">
      <formula>"DONE"</formula>
    </cfRule>
  </conditionalFormatting>
  <conditionalFormatting sqref="J8">
    <cfRule type="cellIs" dxfId="176" priority="16" operator="equal">
      <formula>"OVERDUE"</formula>
    </cfRule>
    <cfRule type="cellIs" dxfId="175" priority="17" operator="equal">
      <formula>"DONE"</formula>
    </cfRule>
    <cfRule type="cellIs" dxfId="174" priority="18" operator="equal">
      <formula>"DONE"</formula>
    </cfRule>
  </conditionalFormatting>
  <conditionalFormatting sqref="J9">
    <cfRule type="cellIs" dxfId="173" priority="13" operator="equal">
      <formula>"OVERDUE"</formula>
    </cfRule>
    <cfRule type="cellIs" dxfId="172" priority="14" operator="equal">
      <formula>"DONE"</formula>
    </cfRule>
    <cfRule type="cellIs" dxfId="171" priority="15" operator="equal">
      <formula>"DONE"</formula>
    </cfRule>
  </conditionalFormatting>
  <conditionalFormatting sqref="J10">
    <cfRule type="cellIs" dxfId="170" priority="10" operator="equal">
      <formula>"OVERDUE"</formula>
    </cfRule>
    <cfRule type="cellIs" dxfId="169" priority="11" operator="equal">
      <formula>"DONE"</formula>
    </cfRule>
    <cfRule type="cellIs" dxfId="168" priority="12" operator="equal">
      <formula>"DONE"</formula>
    </cfRule>
  </conditionalFormatting>
  <conditionalFormatting sqref="J11">
    <cfRule type="cellIs" dxfId="167" priority="7" operator="equal">
      <formula>"OVERDUE"</formula>
    </cfRule>
    <cfRule type="cellIs" dxfId="166" priority="8" operator="equal">
      <formula>"DONE"</formula>
    </cfRule>
    <cfRule type="cellIs" dxfId="165" priority="9" operator="equal">
      <formula>"DONE"</formula>
    </cfRule>
  </conditionalFormatting>
  <conditionalFormatting sqref="J12">
    <cfRule type="cellIs" dxfId="164" priority="4" operator="equal">
      <formula>"OVERDUE"</formula>
    </cfRule>
    <cfRule type="cellIs" dxfId="163" priority="5" operator="equal">
      <formula>"DONE"</formula>
    </cfRule>
    <cfRule type="cellIs" dxfId="162" priority="6" operator="equal">
      <formula>"DONE"</formula>
    </cfRule>
  </conditionalFormatting>
  <conditionalFormatting sqref="J13">
    <cfRule type="cellIs" dxfId="161" priority="1" operator="equal">
      <formula>"OVERDUE"</formula>
    </cfRule>
    <cfRule type="cellIs" dxfId="160" priority="2" operator="equal">
      <formula>"DONE"</formula>
    </cfRule>
    <cfRule type="cellIs" dxfId="159" priority="3" operator="equal">
      <formula>"DONE"</formula>
    </cfRule>
  </conditionalFormatting>
  <conditionalFormatting sqref="J2:J3 J14:J1048576">
    <cfRule type="cellIs" dxfId="158" priority="37" operator="equal">
      <formula>"OVERDUE"</formula>
    </cfRule>
    <cfRule type="cellIs" dxfId="157" priority="38" operator="equal">
      <formula>"DONE"</formula>
    </cfRule>
    <cfRule type="cellIs" dxfId="156" priority="39" operator="equal">
      <formula>"DONE"</formula>
    </cfRule>
  </conditionalFormatting>
  <dataValidations count="1">
    <dataValidation type="list" allowBlank="1" showInputMessage="1" showErrorMessage="1" sqref="D1:D1048576">
      <formula1>"高,中,低"</formula1>
    </dataValidation>
  </dataValidations>
  <pageMargins left="0.51180555555555596" right="0" top="0.35416666666666702" bottom="0.39305555555555599" header="0.31388888888888899" footer="0.31388888888888899"/>
  <pageSetup paperSize="9"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0481" r:id="rId4" name="Button 1">
              <controlPr defaultSize="0" print="0" autoPict="0" macro="[0]!Insert_Line_moban">
                <anchor moveWithCells="1">
                  <from>
                    <xdr:col>0</xdr:col>
                    <xdr:colOff>104775</xdr:colOff>
                    <xdr:row>13</xdr:row>
                    <xdr:rowOff>85725</xdr:rowOff>
                  </from>
                  <to>
                    <xdr:col>2</xdr:col>
                    <xdr:colOff>695325</xdr:colOff>
                    <xdr:row>14</xdr:row>
                    <xdr:rowOff>161925</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tabColor rgb="FF92D050"/>
  </sheetPr>
  <dimension ref="A1:IL21"/>
  <sheetViews>
    <sheetView topLeftCell="C1" zoomScale="115" zoomScaleNormal="115" workbookViewId="0">
      <pane ySplit="3" topLeftCell="A4" activePane="bottomLeft" state="frozen"/>
      <selection pane="bottomLeft" activeCell="P6" sqref="P6"/>
    </sheetView>
  </sheetViews>
  <sheetFormatPr defaultColWidth="9" defaultRowHeight="14.25" x14ac:dyDescent="0.15"/>
  <cols>
    <col min="1" max="1" width="5.375" style="1" customWidth="1"/>
    <col min="2" max="2" width="4.25" style="1" customWidth="1"/>
    <col min="3" max="3" width="33.625" style="1" customWidth="1"/>
    <col min="4" max="4" width="6" style="2" customWidth="1"/>
    <col min="5" max="5" width="10.375" style="1" customWidth="1"/>
    <col min="6" max="6" width="11.75" style="1" customWidth="1"/>
    <col min="7" max="7" width="12.75" style="1" customWidth="1"/>
    <col min="8" max="8" width="12" style="1" customWidth="1"/>
    <col min="9" max="9" width="10.75" style="1" customWidth="1"/>
    <col min="10" max="10" width="8.625" style="1" customWidth="1"/>
    <col min="11" max="11" width="19.375" style="1" hidden="1" customWidth="1"/>
    <col min="12" max="14" width="9" style="1" hidden="1" customWidth="1"/>
    <col min="15" max="15" width="0.25" style="1" hidden="1" customWidth="1"/>
    <col min="16" max="16" width="34.75" style="1" customWidth="1"/>
    <col min="17" max="17" width="43" style="3" customWidth="1"/>
    <col min="18" max="16384" width="9" style="4"/>
  </cols>
  <sheetData>
    <row r="1" spans="1:246" ht="41.25" customHeight="1" x14ac:dyDescent="0.15">
      <c r="A1" s="214" t="s">
        <v>0</v>
      </c>
      <c r="B1" s="214"/>
      <c r="C1" s="214"/>
      <c r="D1" s="214"/>
      <c r="E1" s="214"/>
      <c r="F1" s="214"/>
      <c r="G1" s="214"/>
      <c r="H1" s="214"/>
      <c r="I1" s="214"/>
      <c r="J1" s="214"/>
      <c r="K1" s="214"/>
      <c r="L1" s="214"/>
      <c r="M1" s="214"/>
      <c r="N1" s="214"/>
      <c r="O1" s="214"/>
      <c r="P1" s="214"/>
      <c r="Q1" s="21"/>
      <c r="R1" s="22"/>
      <c r="S1" s="22"/>
      <c r="T1" s="22"/>
      <c r="U1" s="22"/>
      <c r="V1" s="22"/>
      <c r="W1" s="22"/>
      <c r="X1" s="22"/>
      <c r="Y1" s="22"/>
      <c r="Z1" s="22"/>
      <c r="AA1" s="22"/>
      <c r="AB1" s="22"/>
      <c r="AC1" s="22"/>
      <c r="AD1" s="22"/>
      <c r="AE1" s="22"/>
      <c r="AF1" s="22"/>
      <c r="AG1" s="22"/>
      <c r="AH1" s="22"/>
      <c r="AI1" s="22"/>
      <c r="AJ1" s="22"/>
      <c r="AK1" s="22"/>
      <c r="AL1" s="22"/>
      <c r="AM1" s="22"/>
      <c r="AN1" s="22"/>
      <c r="AO1" s="22"/>
      <c r="AP1" s="22"/>
      <c r="AQ1" s="22"/>
      <c r="AR1" s="22"/>
      <c r="AS1" s="22"/>
      <c r="AT1" s="22"/>
      <c r="AU1" s="22"/>
      <c r="AV1" s="22"/>
      <c r="AW1" s="22"/>
      <c r="AX1" s="22"/>
      <c r="AY1" s="22"/>
      <c r="AZ1" s="22"/>
      <c r="BA1" s="22"/>
      <c r="BB1" s="22"/>
      <c r="BC1" s="22"/>
      <c r="BD1" s="22"/>
      <c r="BE1" s="22"/>
      <c r="BF1" s="22"/>
      <c r="BG1" s="22"/>
      <c r="BH1" s="22"/>
      <c r="BI1" s="22"/>
      <c r="BJ1" s="22"/>
      <c r="BK1" s="22"/>
      <c r="BL1" s="22"/>
      <c r="BM1" s="22"/>
      <c r="BN1" s="22"/>
      <c r="BO1" s="22"/>
      <c r="BP1" s="22"/>
      <c r="BQ1" s="22"/>
      <c r="BR1" s="22"/>
      <c r="BS1" s="22"/>
      <c r="BT1" s="22"/>
      <c r="BU1" s="22"/>
      <c r="BV1" s="22"/>
      <c r="BW1" s="22"/>
      <c r="BX1" s="22"/>
      <c r="BY1" s="22"/>
      <c r="BZ1" s="22"/>
      <c r="CA1" s="22"/>
      <c r="CB1" s="22"/>
      <c r="CC1" s="22"/>
      <c r="CD1" s="22"/>
      <c r="CE1" s="22"/>
      <c r="CF1" s="22"/>
      <c r="CG1" s="22"/>
      <c r="CH1" s="22"/>
      <c r="CI1" s="22"/>
      <c r="CJ1" s="22"/>
      <c r="CK1" s="22"/>
      <c r="CL1" s="22"/>
      <c r="CM1" s="22"/>
      <c r="CN1" s="22"/>
      <c r="CO1" s="22"/>
      <c r="CP1" s="22"/>
      <c r="CQ1" s="22"/>
      <c r="CR1" s="22"/>
      <c r="CS1" s="22"/>
      <c r="CT1" s="22"/>
      <c r="CU1" s="22"/>
      <c r="CV1" s="22"/>
      <c r="CW1" s="22"/>
      <c r="CX1" s="22"/>
      <c r="CY1" s="22"/>
      <c r="CZ1" s="22"/>
      <c r="DA1" s="22"/>
      <c r="DB1" s="22"/>
      <c r="DC1" s="22"/>
      <c r="DD1" s="22"/>
      <c r="DE1" s="22"/>
      <c r="DF1" s="22"/>
      <c r="DG1" s="22"/>
      <c r="DH1" s="22"/>
      <c r="DI1" s="22"/>
      <c r="DJ1" s="22"/>
      <c r="DK1" s="22"/>
      <c r="DL1" s="22"/>
      <c r="DM1" s="22"/>
      <c r="DN1" s="22"/>
      <c r="DO1" s="22"/>
      <c r="DP1" s="22"/>
      <c r="DQ1" s="22"/>
      <c r="DR1" s="22"/>
      <c r="DS1" s="22"/>
      <c r="DT1" s="22"/>
      <c r="DU1" s="22"/>
      <c r="DV1" s="22"/>
      <c r="DW1" s="22"/>
      <c r="DX1" s="22"/>
      <c r="DY1" s="22"/>
      <c r="DZ1" s="22"/>
      <c r="EA1" s="22"/>
      <c r="EB1" s="22"/>
      <c r="EC1" s="22"/>
      <c r="ED1" s="22"/>
      <c r="EE1" s="22"/>
      <c r="EF1" s="22"/>
      <c r="EG1" s="22"/>
      <c r="EH1" s="22"/>
      <c r="EI1" s="22"/>
      <c r="EJ1" s="22"/>
      <c r="EK1" s="22"/>
      <c r="EL1" s="22"/>
      <c r="EM1" s="22"/>
      <c r="EN1" s="22"/>
      <c r="EO1" s="22"/>
      <c r="EP1" s="22"/>
      <c r="EQ1" s="22"/>
      <c r="ER1" s="22"/>
      <c r="ES1" s="22"/>
      <c r="ET1" s="22"/>
      <c r="EU1" s="22"/>
      <c r="EV1" s="22"/>
      <c r="EW1" s="22"/>
      <c r="EX1" s="22"/>
      <c r="EY1" s="22"/>
      <c r="EZ1" s="22"/>
      <c r="FA1" s="22"/>
      <c r="FB1" s="22"/>
      <c r="FC1" s="22"/>
      <c r="FD1" s="22"/>
      <c r="FE1" s="22"/>
      <c r="FF1" s="22"/>
      <c r="FG1" s="22"/>
      <c r="FH1" s="22"/>
      <c r="FI1" s="22"/>
      <c r="FJ1" s="22"/>
      <c r="FK1" s="22"/>
      <c r="FL1" s="22"/>
      <c r="FM1" s="22"/>
      <c r="FN1" s="22"/>
      <c r="FO1" s="22"/>
      <c r="FP1" s="22"/>
      <c r="FQ1" s="22"/>
      <c r="FR1" s="22"/>
      <c r="FS1" s="22"/>
      <c r="FT1" s="22"/>
      <c r="FU1" s="22"/>
      <c r="FV1" s="22"/>
      <c r="FW1" s="22"/>
      <c r="FX1" s="22"/>
      <c r="FY1" s="22"/>
      <c r="FZ1" s="22"/>
      <c r="GA1" s="22"/>
      <c r="GB1" s="22"/>
      <c r="GC1" s="22"/>
      <c r="GD1" s="22"/>
      <c r="GE1" s="22"/>
      <c r="GF1" s="22"/>
      <c r="GG1" s="22"/>
      <c r="GH1" s="22"/>
      <c r="GI1" s="22"/>
      <c r="GJ1" s="22"/>
      <c r="GK1" s="22"/>
      <c r="GL1" s="22"/>
      <c r="GM1" s="22"/>
      <c r="GN1" s="22"/>
      <c r="GO1" s="22"/>
      <c r="GP1" s="22"/>
      <c r="GQ1" s="22"/>
      <c r="GR1" s="22"/>
      <c r="GS1" s="22"/>
      <c r="GT1" s="22"/>
      <c r="GU1" s="22"/>
      <c r="GV1" s="22"/>
      <c r="GW1" s="22"/>
      <c r="GX1" s="22"/>
      <c r="GY1" s="22"/>
      <c r="GZ1" s="22"/>
      <c r="HA1" s="22"/>
      <c r="HB1" s="22"/>
      <c r="HC1" s="22"/>
      <c r="HD1" s="22"/>
      <c r="HE1" s="22"/>
      <c r="HF1" s="22"/>
      <c r="HG1" s="22"/>
      <c r="HH1" s="22"/>
      <c r="HI1" s="22"/>
      <c r="HJ1" s="22"/>
      <c r="HK1" s="22"/>
      <c r="HL1" s="22"/>
      <c r="HM1" s="22"/>
      <c r="HN1" s="22"/>
      <c r="HO1" s="22"/>
      <c r="HP1" s="22"/>
      <c r="HQ1" s="22"/>
      <c r="HR1" s="22"/>
      <c r="HS1" s="22"/>
      <c r="HT1" s="22"/>
      <c r="HU1" s="22"/>
      <c r="HV1" s="22"/>
      <c r="HW1" s="22"/>
      <c r="HX1" s="22"/>
      <c r="HY1" s="22"/>
      <c r="HZ1" s="22"/>
      <c r="IA1" s="22"/>
      <c r="IB1" s="22"/>
      <c r="IC1" s="22"/>
      <c r="ID1" s="22"/>
      <c r="IE1" s="22"/>
      <c r="IF1" s="22"/>
      <c r="IG1" s="22"/>
      <c r="IH1" s="22"/>
      <c r="II1" s="22"/>
      <c r="IJ1" s="22"/>
      <c r="IK1" s="22"/>
      <c r="IL1" s="22"/>
    </row>
    <row r="2" spans="1:246" ht="18.75" customHeight="1" x14ac:dyDescent="0.2">
      <c r="A2" s="215" t="s">
        <v>1</v>
      </c>
      <c r="B2" s="215"/>
      <c r="C2" s="5">
        <f ca="1">TODAY()</f>
        <v>44477</v>
      </c>
      <c r="D2" s="6" t="s">
        <v>2</v>
      </c>
      <c r="E2" s="7"/>
      <c r="F2" s="8"/>
      <c r="G2" s="8"/>
      <c r="H2" s="8"/>
      <c r="I2" s="8"/>
      <c r="J2" s="8"/>
      <c r="K2" s="17"/>
      <c r="L2" s="17"/>
      <c r="M2" s="17"/>
      <c r="N2" s="17"/>
      <c r="O2" s="17"/>
      <c r="P2" s="18"/>
      <c r="Q2" s="23"/>
      <c r="R2" s="24"/>
      <c r="S2" s="24"/>
      <c r="T2" s="24"/>
      <c r="U2" s="24"/>
      <c r="V2" s="24"/>
      <c r="W2" s="24"/>
      <c r="X2" s="24"/>
      <c r="Y2" s="24"/>
      <c r="Z2" s="24"/>
      <c r="AA2" s="24"/>
      <c r="AB2" s="24"/>
      <c r="AC2" s="24"/>
      <c r="AD2" s="24"/>
      <c r="AE2" s="24"/>
      <c r="AF2" s="24"/>
      <c r="AG2" s="24"/>
      <c r="AH2" s="24"/>
      <c r="AI2" s="24"/>
      <c r="AJ2" s="24"/>
      <c r="AK2" s="24"/>
      <c r="AL2" s="24"/>
      <c r="AM2" s="24"/>
      <c r="AN2" s="24"/>
      <c r="AO2" s="24"/>
      <c r="AP2" s="24"/>
      <c r="AQ2" s="24"/>
      <c r="AR2" s="24"/>
      <c r="AS2" s="24"/>
      <c r="AT2" s="24"/>
      <c r="AU2" s="24"/>
      <c r="AV2" s="24"/>
      <c r="AW2" s="24"/>
      <c r="AX2" s="24"/>
      <c r="AY2" s="24"/>
      <c r="AZ2" s="24"/>
      <c r="BA2" s="24"/>
      <c r="BB2" s="24"/>
      <c r="BC2" s="24"/>
      <c r="BD2" s="24"/>
      <c r="BE2" s="24"/>
      <c r="BF2" s="24"/>
      <c r="BG2" s="24"/>
      <c r="BH2" s="24"/>
      <c r="BI2" s="24"/>
      <c r="BJ2" s="24"/>
      <c r="BK2" s="24"/>
      <c r="BL2" s="24"/>
      <c r="BM2" s="24"/>
      <c r="BN2" s="24"/>
      <c r="BO2" s="24"/>
      <c r="BP2" s="24"/>
      <c r="BQ2" s="24"/>
      <c r="BR2" s="24"/>
      <c r="BS2" s="24"/>
      <c r="BT2" s="24"/>
      <c r="BU2" s="24"/>
      <c r="BV2" s="24"/>
      <c r="BW2" s="24"/>
      <c r="BX2" s="24"/>
      <c r="BY2" s="24"/>
      <c r="BZ2" s="24"/>
      <c r="CA2" s="24"/>
      <c r="CB2" s="24"/>
      <c r="CC2" s="24"/>
      <c r="CD2" s="24"/>
      <c r="CE2" s="24"/>
      <c r="CF2" s="24"/>
      <c r="CG2" s="24"/>
      <c r="CH2" s="24"/>
      <c r="CI2" s="24"/>
      <c r="CJ2" s="24"/>
      <c r="CK2" s="24"/>
      <c r="CL2" s="24"/>
      <c r="CM2" s="24"/>
      <c r="CN2" s="24"/>
      <c r="CO2" s="24"/>
      <c r="CP2" s="24"/>
      <c r="CQ2" s="24"/>
      <c r="CR2" s="24"/>
      <c r="CS2" s="24"/>
      <c r="CT2" s="24"/>
      <c r="CU2" s="24"/>
      <c r="CV2" s="24"/>
      <c r="CW2" s="24"/>
      <c r="CX2" s="24"/>
      <c r="CY2" s="24"/>
      <c r="CZ2" s="24"/>
      <c r="DA2" s="24"/>
      <c r="DB2" s="24"/>
      <c r="DC2" s="24"/>
      <c r="DD2" s="24"/>
      <c r="DE2" s="24"/>
      <c r="DF2" s="24"/>
      <c r="DG2" s="24"/>
      <c r="DH2" s="24"/>
      <c r="DI2" s="24"/>
      <c r="DJ2" s="24"/>
      <c r="DK2" s="24"/>
      <c r="DL2" s="24"/>
      <c r="DM2" s="24"/>
      <c r="DN2" s="24"/>
      <c r="DO2" s="24"/>
      <c r="DP2" s="24"/>
      <c r="DQ2" s="24"/>
      <c r="DR2" s="24"/>
      <c r="DS2" s="24"/>
      <c r="DT2" s="24"/>
      <c r="DU2" s="24"/>
      <c r="DV2" s="24"/>
      <c r="DW2" s="24"/>
      <c r="DX2" s="24"/>
      <c r="DY2" s="24"/>
      <c r="DZ2" s="24"/>
      <c r="EA2" s="24"/>
      <c r="EB2" s="24"/>
      <c r="EC2" s="24"/>
      <c r="ED2" s="24"/>
      <c r="EE2" s="24"/>
      <c r="EF2" s="24"/>
      <c r="EG2" s="24"/>
      <c r="EH2" s="24"/>
      <c r="EI2" s="24"/>
      <c r="EJ2" s="24"/>
      <c r="EK2" s="24"/>
      <c r="EL2" s="24"/>
      <c r="EM2" s="24"/>
      <c r="EN2" s="24"/>
      <c r="EO2" s="24"/>
      <c r="EP2" s="24"/>
      <c r="EQ2" s="24"/>
      <c r="ER2" s="24"/>
      <c r="ES2" s="24"/>
      <c r="ET2" s="24"/>
      <c r="EU2" s="24"/>
      <c r="EV2" s="24"/>
      <c r="EW2" s="24"/>
      <c r="EX2" s="24"/>
      <c r="EY2" s="24"/>
      <c r="EZ2" s="24"/>
      <c r="FA2" s="24"/>
      <c r="FB2" s="24"/>
      <c r="FC2" s="24"/>
      <c r="FD2" s="24"/>
      <c r="FE2" s="24"/>
      <c r="FF2" s="24"/>
      <c r="FG2" s="24"/>
      <c r="FH2" s="24"/>
      <c r="FI2" s="24"/>
      <c r="FJ2" s="24"/>
      <c r="FK2" s="24"/>
      <c r="FL2" s="24"/>
      <c r="FM2" s="24"/>
      <c r="FN2" s="24"/>
      <c r="FO2" s="24"/>
      <c r="FP2" s="24"/>
      <c r="FQ2" s="24"/>
      <c r="FR2" s="24"/>
      <c r="FS2" s="24"/>
      <c r="FT2" s="24"/>
      <c r="FU2" s="24"/>
      <c r="FV2" s="24"/>
      <c r="FW2" s="24"/>
      <c r="FX2" s="24"/>
      <c r="FY2" s="24"/>
      <c r="FZ2" s="24"/>
      <c r="GA2" s="24"/>
      <c r="GB2" s="24"/>
      <c r="GC2" s="24"/>
      <c r="GD2" s="24"/>
      <c r="GE2" s="24"/>
      <c r="GF2" s="24"/>
      <c r="GG2" s="24"/>
      <c r="GH2" s="24"/>
      <c r="GI2" s="24"/>
      <c r="GJ2" s="24"/>
      <c r="GK2" s="24"/>
      <c r="GL2" s="24"/>
      <c r="GM2" s="24"/>
      <c r="GN2" s="24"/>
      <c r="GO2" s="24"/>
      <c r="GP2" s="24"/>
      <c r="GQ2" s="24"/>
      <c r="GR2" s="24"/>
      <c r="GS2" s="24"/>
      <c r="GT2" s="24"/>
      <c r="GU2" s="24"/>
      <c r="GV2" s="24"/>
      <c r="GW2" s="24"/>
      <c r="GX2" s="24"/>
      <c r="GY2" s="24"/>
      <c r="GZ2" s="24"/>
      <c r="HA2" s="24"/>
      <c r="HB2" s="24"/>
      <c r="HC2" s="24"/>
      <c r="HD2" s="24"/>
      <c r="HE2" s="24"/>
      <c r="HF2" s="24"/>
      <c r="HG2" s="24"/>
      <c r="HH2" s="24"/>
      <c r="HI2" s="24"/>
      <c r="HJ2" s="24"/>
      <c r="HK2" s="24"/>
      <c r="HL2" s="24"/>
      <c r="HM2" s="24"/>
      <c r="HN2" s="24"/>
      <c r="HO2" s="24"/>
      <c r="HP2" s="24"/>
      <c r="HQ2" s="24"/>
      <c r="HR2" s="24"/>
      <c r="HS2" s="24"/>
      <c r="HT2" s="24"/>
      <c r="HU2" s="24"/>
      <c r="HV2" s="24"/>
      <c r="HW2" s="24"/>
      <c r="HX2" s="24"/>
      <c r="HY2" s="24"/>
      <c r="HZ2" s="24"/>
      <c r="IA2" s="24"/>
      <c r="IB2" s="24"/>
      <c r="IC2" s="24"/>
      <c r="ID2" s="24"/>
      <c r="IE2" s="24"/>
      <c r="IF2" s="24"/>
      <c r="IG2" s="24"/>
      <c r="IH2" s="24"/>
      <c r="II2" s="24"/>
      <c r="IJ2" s="24"/>
      <c r="IK2" s="24"/>
      <c r="IL2" s="24"/>
    </row>
    <row r="3" spans="1:246" ht="39" customHeight="1" x14ac:dyDescent="0.15">
      <c r="A3" s="9" t="s">
        <v>3</v>
      </c>
      <c r="B3" s="9" t="s">
        <v>4</v>
      </c>
      <c r="C3" s="9" t="s">
        <v>5</v>
      </c>
      <c r="D3" s="9" t="s">
        <v>6</v>
      </c>
      <c r="E3" s="9" t="s">
        <v>7</v>
      </c>
      <c r="F3" s="9" t="s">
        <v>8</v>
      </c>
      <c r="G3" s="9" t="s">
        <v>9</v>
      </c>
      <c r="H3" s="9" t="s">
        <v>10</v>
      </c>
      <c r="I3" s="9" t="s">
        <v>11</v>
      </c>
      <c r="J3" s="9" t="s">
        <v>12</v>
      </c>
      <c r="K3" s="9" t="s">
        <v>13</v>
      </c>
      <c r="L3" s="9" t="s">
        <v>14</v>
      </c>
      <c r="M3" s="9" t="s">
        <v>15</v>
      </c>
      <c r="N3" s="9" t="s">
        <v>16</v>
      </c>
      <c r="O3" s="9" t="s">
        <v>17</v>
      </c>
      <c r="P3" s="19" t="s">
        <v>18</v>
      </c>
      <c r="Q3" s="37"/>
      <c r="R3" s="196"/>
      <c r="S3" s="196"/>
      <c r="T3" s="196"/>
      <c r="U3" s="196"/>
      <c r="V3" s="196"/>
      <c r="W3" s="196"/>
      <c r="X3" s="196"/>
      <c r="Y3" s="196"/>
      <c r="Z3" s="196"/>
      <c r="AA3" s="196"/>
      <c r="AB3" s="196"/>
      <c r="AC3" s="196"/>
      <c r="AD3" s="196"/>
      <c r="AE3" s="196"/>
      <c r="AF3" s="196"/>
      <c r="AG3" s="196"/>
      <c r="AH3" s="196"/>
      <c r="AI3" s="196"/>
      <c r="AJ3" s="196"/>
      <c r="AK3" s="196"/>
      <c r="AL3" s="196"/>
      <c r="AM3" s="196"/>
      <c r="AN3" s="196"/>
      <c r="AO3" s="196"/>
      <c r="AP3" s="196"/>
      <c r="AQ3" s="196"/>
      <c r="AR3" s="196"/>
      <c r="AS3" s="196"/>
      <c r="AT3" s="196"/>
      <c r="AU3" s="196"/>
      <c r="AV3" s="196"/>
      <c r="AW3" s="196"/>
      <c r="AX3" s="196"/>
      <c r="AY3" s="196"/>
      <c r="AZ3" s="196"/>
      <c r="BA3" s="196"/>
      <c r="BB3" s="196"/>
      <c r="BC3" s="196"/>
      <c r="BD3" s="196"/>
      <c r="BE3" s="196"/>
      <c r="BF3" s="196"/>
      <c r="BG3" s="196"/>
      <c r="BH3" s="196"/>
      <c r="BI3" s="196"/>
      <c r="BJ3" s="196"/>
      <c r="BK3" s="196"/>
      <c r="BL3" s="196"/>
      <c r="BM3" s="196"/>
      <c r="BN3" s="196"/>
      <c r="BO3" s="196"/>
      <c r="BP3" s="196"/>
      <c r="BQ3" s="196"/>
      <c r="BR3" s="196"/>
      <c r="BS3" s="196"/>
      <c r="BT3" s="196"/>
      <c r="BU3" s="196"/>
      <c r="BV3" s="196"/>
      <c r="BW3" s="196"/>
      <c r="BX3" s="196"/>
      <c r="BY3" s="196"/>
      <c r="BZ3" s="196"/>
      <c r="CA3" s="196"/>
      <c r="CB3" s="196"/>
      <c r="CC3" s="196"/>
      <c r="CD3" s="196"/>
      <c r="CE3" s="196"/>
      <c r="CF3" s="196"/>
      <c r="CG3" s="196"/>
      <c r="CH3" s="196"/>
      <c r="CI3" s="196"/>
      <c r="CJ3" s="196"/>
      <c r="CK3" s="196"/>
      <c r="CL3" s="196"/>
      <c r="CM3" s="196"/>
      <c r="CN3" s="196"/>
      <c r="CO3" s="196"/>
      <c r="CP3" s="196"/>
      <c r="CQ3" s="196"/>
      <c r="CR3" s="196"/>
      <c r="CS3" s="196"/>
      <c r="CT3" s="196"/>
      <c r="CU3" s="196"/>
      <c r="CV3" s="196"/>
      <c r="CW3" s="196"/>
      <c r="CX3" s="196"/>
      <c r="CY3" s="196"/>
      <c r="CZ3" s="196"/>
      <c r="DA3" s="196"/>
      <c r="DB3" s="196"/>
      <c r="DC3" s="196"/>
      <c r="DD3" s="196"/>
      <c r="DE3" s="196"/>
      <c r="DF3" s="196"/>
      <c r="DG3" s="196"/>
      <c r="DH3" s="196"/>
      <c r="DI3" s="196"/>
      <c r="DJ3" s="196"/>
      <c r="DK3" s="196"/>
      <c r="DL3" s="196"/>
      <c r="DM3" s="196"/>
      <c r="DN3" s="196"/>
      <c r="DO3" s="196"/>
      <c r="DP3" s="196"/>
      <c r="DQ3" s="196"/>
      <c r="DR3" s="196"/>
      <c r="DS3" s="196"/>
      <c r="DT3" s="196"/>
      <c r="DU3" s="196"/>
      <c r="DV3" s="196"/>
      <c r="DW3" s="196"/>
      <c r="DX3" s="196"/>
      <c r="DY3" s="196"/>
      <c r="DZ3" s="196"/>
      <c r="EA3" s="196"/>
      <c r="EB3" s="196"/>
      <c r="EC3" s="196"/>
      <c r="ED3" s="196"/>
      <c r="EE3" s="196"/>
      <c r="EF3" s="196"/>
      <c r="EG3" s="196"/>
      <c r="EH3" s="196"/>
      <c r="EI3" s="196"/>
      <c r="EJ3" s="196"/>
      <c r="EK3" s="196"/>
      <c r="EL3" s="196"/>
      <c r="EM3" s="196"/>
      <c r="EN3" s="196"/>
      <c r="EO3" s="196"/>
      <c r="EP3" s="196"/>
      <c r="EQ3" s="196"/>
      <c r="ER3" s="196"/>
      <c r="ES3" s="196"/>
      <c r="ET3" s="196"/>
      <c r="EU3" s="196"/>
      <c r="EV3" s="196"/>
      <c r="EW3" s="196"/>
      <c r="EX3" s="196"/>
      <c r="EY3" s="196"/>
      <c r="EZ3" s="196"/>
      <c r="FA3" s="196"/>
      <c r="FB3" s="196"/>
      <c r="FC3" s="196"/>
      <c r="FD3" s="196"/>
      <c r="FE3" s="196"/>
      <c r="FF3" s="196"/>
      <c r="FG3" s="196"/>
      <c r="FH3" s="196"/>
      <c r="FI3" s="196"/>
      <c r="FJ3" s="196"/>
      <c r="FK3" s="196"/>
      <c r="FL3" s="196"/>
      <c r="FM3" s="196"/>
      <c r="FN3" s="196"/>
      <c r="FO3" s="196"/>
      <c r="FP3" s="196"/>
      <c r="FQ3" s="196"/>
      <c r="FR3" s="196"/>
      <c r="FS3" s="196"/>
      <c r="FT3" s="196"/>
      <c r="FU3" s="196"/>
      <c r="FV3" s="196"/>
      <c r="FW3" s="196"/>
      <c r="FX3" s="196"/>
      <c r="FY3" s="196"/>
      <c r="FZ3" s="196"/>
      <c r="GA3" s="196"/>
      <c r="GB3" s="196"/>
      <c r="GC3" s="196"/>
      <c r="GD3" s="196"/>
      <c r="GE3" s="196"/>
      <c r="GF3" s="196"/>
      <c r="GG3" s="196"/>
      <c r="GH3" s="196"/>
      <c r="GI3" s="196"/>
      <c r="GJ3" s="196"/>
      <c r="GK3" s="196"/>
      <c r="GL3" s="196"/>
      <c r="GM3" s="196"/>
      <c r="GN3" s="196"/>
      <c r="GO3" s="196"/>
      <c r="GP3" s="196"/>
      <c r="GQ3" s="196"/>
      <c r="GR3" s="196"/>
      <c r="GS3" s="196"/>
      <c r="GT3" s="196"/>
      <c r="GU3" s="196"/>
      <c r="GV3" s="196"/>
      <c r="GW3" s="196"/>
      <c r="GX3" s="196"/>
      <c r="GY3" s="196"/>
      <c r="GZ3" s="196"/>
      <c r="HA3" s="196"/>
      <c r="HB3" s="196"/>
      <c r="HC3" s="196"/>
      <c r="HD3" s="196"/>
      <c r="HE3" s="196"/>
      <c r="HF3" s="196"/>
      <c r="HG3" s="196"/>
      <c r="HH3" s="196"/>
      <c r="HI3" s="196"/>
      <c r="HJ3" s="196"/>
      <c r="HK3" s="196"/>
      <c r="HL3" s="196"/>
      <c r="HM3" s="196"/>
      <c r="HN3" s="196"/>
      <c r="HO3" s="196"/>
      <c r="HP3" s="196"/>
      <c r="HQ3" s="196"/>
      <c r="HR3" s="196"/>
      <c r="HS3" s="196"/>
      <c r="HT3" s="196"/>
      <c r="HU3" s="196"/>
      <c r="HV3" s="196"/>
      <c r="HW3" s="196"/>
      <c r="HX3" s="196"/>
      <c r="HY3" s="196"/>
      <c r="HZ3" s="196"/>
      <c r="IA3" s="196"/>
      <c r="IB3" s="196"/>
      <c r="IC3" s="196"/>
      <c r="ID3" s="196"/>
      <c r="IE3" s="196"/>
      <c r="IF3" s="196"/>
      <c r="IG3" s="196"/>
      <c r="IH3" s="196"/>
      <c r="II3" s="196"/>
      <c r="IJ3" s="196"/>
      <c r="IK3" s="196"/>
      <c r="IL3" s="196"/>
    </row>
    <row r="4" spans="1:246" ht="60.75" customHeight="1" x14ac:dyDescent="0.15">
      <c r="A4" s="15">
        <v>234</v>
      </c>
      <c r="B4" s="13"/>
      <c r="C4" s="16" t="s">
        <v>647</v>
      </c>
      <c r="D4" s="13" t="s">
        <v>24</v>
      </c>
      <c r="E4" s="30" t="s">
        <v>21</v>
      </c>
      <c r="F4" s="30">
        <v>44226</v>
      </c>
      <c r="G4" s="30">
        <v>44235</v>
      </c>
      <c r="H4" s="30"/>
      <c r="I4" s="14">
        <v>44235</v>
      </c>
      <c r="J4" s="13" t="str">
        <f t="shared" ref="J4" ca="1" si="0">IF(AND(I4&lt;=$C$2,I4&lt;&gt;0),"DONE",IF(K4&lt;0,"OVERDUE",IF(AND(K4="",O4&lt;0),"OVERDUE","IN TIME")))</f>
        <v>DONE</v>
      </c>
      <c r="K4" s="13" t="str">
        <f t="shared" ref="K4" si="1">IF(H4&gt;0,H4-$C$2,"")</f>
        <v/>
      </c>
      <c r="L4" s="13">
        <f t="shared" ref="L4" ca="1" si="2">IF(J4="OVERDUE",1,0)</f>
        <v>0</v>
      </c>
      <c r="M4" s="13">
        <f t="shared" ref="M4" ca="1" si="3">IF(J4="IN TIME",1,0)</f>
        <v>0</v>
      </c>
      <c r="N4" s="13">
        <f t="shared" ref="N4" ca="1" si="4">IF(J4="DONE",1,0)</f>
        <v>1</v>
      </c>
      <c r="O4" s="13">
        <f t="shared" ref="O4" ca="1" si="5">IF(G4&gt;0,G4-$C$2,"")</f>
        <v>-242</v>
      </c>
      <c r="P4" s="41" t="s">
        <v>645</v>
      </c>
      <c r="Q4" s="27"/>
      <c r="R4" s="27"/>
      <c r="S4" s="27"/>
      <c r="T4" s="27"/>
      <c r="U4" s="27"/>
      <c r="V4" s="27"/>
      <c r="W4" s="27"/>
      <c r="X4" s="27"/>
      <c r="Y4" s="27"/>
      <c r="Z4" s="27"/>
      <c r="AA4" s="27"/>
      <c r="AB4" s="27"/>
      <c r="AC4" s="27"/>
      <c r="AD4" s="27"/>
    </row>
    <row r="5" spans="1:246" ht="131.44999999999999" customHeight="1" x14ac:dyDescent="0.15">
      <c r="A5" s="15">
        <v>235</v>
      </c>
      <c r="B5" s="13"/>
      <c r="C5" s="28" t="s">
        <v>648</v>
      </c>
      <c r="D5" s="29" t="s">
        <v>652</v>
      </c>
      <c r="E5" s="30" t="s">
        <v>21</v>
      </c>
      <c r="F5" s="30">
        <v>44264</v>
      </c>
      <c r="G5" s="30">
        <v>44408</v>
      </c>
      <c r="H5" s="30"/>
      <c r="I5" s="30"/>
      <c r="J5" s="13"/>
      <c r="K5" s="13"/>
      <c r="L5" s="13"/>
      <c r="M5" s="13"/>
      <c r="N5" s="13"/>
      <c r="O5" s="13"/>
      <c r="P5" s="41" t="s">
        <v>703</v>
      </c>
      <c r="Q5" s="27"/>
      <c r="R5" s="27"/>
      <c r="S5" s="27"/>
      <c r="T5" s="27"/>
      <c r="U5" s="27"/>
      <c r="V5" s="27"/>
      <c r="W5" s="27"/>
      <c r="X5" s="27"/>
      <c r="Y5" s="27"/>
      <c r="Z5" s="27"/>
      <c r="AA5" s="27"/>
      <c r="AB5" s="27"/>
      <c r="AC5" s="27"/>
      <c r="AD5" s="27"/>
    </row>
    <row r="6" spans="1:246" ht="77.25" customHeight="1" x14ac:dyDescent="0.15">
      <c r="A6" s="15">
        <v>236</v>
      </c>
      <c r="B6" s="13"/>
      <c r="C6" s="28" t="s">
        <v>649</v>
      </c>
      <c r="D6" s="29" t="s">
        <v>652</v>
      </c>
      <c r="E6" s="30" t="s">
        <v>660</v>
      </c>
      <c r="F6" s="30">
        <v>44347</v>
      </c>
      <c r="G6" s="30">
        <v>44408</v>
      </c>
      <c r="H6" s="30"/>
      <c r="I6" s="30"/>
      <c r="J6" s="13"/>
      <c r="K6" s="13"/>
      <c r="L6" s="13"/>
      <c r="M6" s="13"/>
      <c r="N6" s="13"/>
      <c r="O6" s="13"/>
      <c r="P6" s="41" t="s">
        <v>704</v>
      </c>
      <c r="Q6" s="27"/>
      <c r="R6" s="27"/>
      <c r="S6" s="27"/>
      <c r="T6" s="27"/>
      <c r="U6" s="27"/>
      <c r="V6" s="27"/>
      <c r="W6" s="27"/>
      <c r="X6" s="27"/>
      <c r="Y6" s="27"/>
      <c r="Z6" s="27"/>
      <c r="AA6" s="27"/>
      <c r="AB6" s="27"/>
      <c r="AC6" s="27"/>
      <c r="AD6" s="27"/>
    </row>
    <row r="7" spans="1:246" ht="74.25" customHeight="1" x14ac:dyDescent="0.15">
      <c r="A7" s="15">
        <v>237</v>
      </c>
      <c r="B7" s="13"/>
      <c r="C7" s="28"/>
      <c r="D7" s="30"/>
      <c r="E7" s="30"/>
      <c r="F7" s="30"/>
      <c r="G7" s="30"/>
      <c r="H7" s="30"/>
      <c r="I7" s="30"/>
      <c r="J7" s="13"/>
      <c r="K7" s="13"/>
      <c r="L7" s="13"/>
      <c r="M7" s="13"/>
      <c r="N7" s="13"/>
      <c r="O7" s="13"/>
      <c r="P7" s="41"/>
      <c r="Q7" s="27"/>
      <c r="R7" s="27"/>
      <c r="S7" s="27"/>
      <c r="T7" s="27"/>
      <c r="U7" s="27"/>
      <c r="V7" s="27"/>
      <c r="W7" s="27"/>
      <c r="X7" s="27"/>
      <c r="Y7" s="27"/>
      <c r="Z7" s="27"/>
      <c r="AA7" s="27"/>
      <c r="AB7" s="27"/>
      <c r="AC7" s="27"/>
      <c r="AD7" s="27"/>
    </row>
    <row r="8" spans="1:246" ht="189" customHeight="1" x14ac:dyDescent="0.15">
      <c r="A8" s="15">
        <v>238</v>
      </c>
      <c r="B8" s="13"/>
      <c r="C8" s="28"/>
      <c r="D8" s="30"/>
      <c r="E8" s="30"/>
      <c r="F8" s="30"/>
      <c r="G8" s="30"/>
      <c r="H8" s="30"/>
      <c r="I8" s="30"/>
      <c r="J8" s="13"/>
      <c r="K8" s="13"/>
      <c r="L8" s="13"/>
      <c r="M8" s="13"/>
      <c r="N8" s="13"/>
      <c r="O8" s="13"/>
      <c r="P8" s="41"/>
      <c r="Q8" s="27"/>
      <c r="R8" s="27"/>
      <c r="S8" s="27"/>
      <c r="T8" s="27"/>
      <c r="U8" s="27"/>
      <c r="V8" s="27"/>
      <c r="W8" s="27"/>
      <c r="X8" s="27"/>
      <c r="Y8" s="27"/>
      <c r="Z8" s="27"/>
      <c r="AA8" s="27"/>
      <c r="AB8" s="27"/>
      <c r="AC8" s="27"/>
      <c r="AD8" s="27"/>
    </row>
    <row r="9" spans="1:246" ht="90.75" customHeight="1" x14ac:dyDescent="0.15">
      <c r="A9" s="15">
        <v>239</v>
      </c>
      <c r="B9" s="13"/>
      <c r="C9" s="40"/>
      <c r="D9" s="30"/>
      <c r="E9" s="30"/>
      <c r="F9" s="30"/>
      <c r="G9" s="30"/>
      <c r="H9" s="30"/>
      <c r="I9" s="30"/>
      <c r="J9" s="13"/>
      <c r="K9" s="13"/>
      <c r="L9" s="13"/>
      <c r="M9" s="13"/>
      <c r="N9" s="13"/>
      <c r="O9" s="13"/>
      <c r="P9" s="41"/>
      <c r="Q9" s="27"/>
      <c r="R9" s="27"/>
      <c r="S9" s="27"/>
      <c r="T9" s="27"/>
      <c r="U9" s="27"/>
      <c r="V9" s="27"/>
      <c r="W9" s="27"/>
      <c r="X9" s="27"/>
      <c r="Y9" s="27"/>
      <c r="Z9" s="27"/>
      <c r="AA9" s="27"/>
      <c r="AB9" s="27"/>
      <c r="AC9" s="27"/>
      <c r="AD9" s="27"/>
    </row>
    <row r="10" spans="1:246" ht="93" customHeight="1" x14ac:dyDescent="0.15">
      <c r="A10" s="15">
        <v>240</v>
      </c>
      <c r="B10" s="13"/>
      <c r="C10" s="28"/>
      <c r="D10" s="30"/>
      <c r="E10" s="30"/>
      <c r="F10" s="30"/>
      <c r="G10" s="30"/>
      <c r="H10" s="30"/>
      <c r="I10" s="30"/>
      <c r="J10" s="13"/>
      <c r="K10" s="13"/>
      <c r="L10" s="13"/>
      <c r="M10" s="13"/>
      <c r="N10" s="13"/>
      <c r="O10" s="13"/>
      <c r="P10" s="41"/>
      <c r="Q10" s="27"/>
      <c r="R10" s="27"/>
      <c r="S10" s="27"/>
      <c r="T10" s="27"/>
      <c r="U10" s="27"/>
      <c r="V10" s="27"/>
      <c r="W10" s="27"/>
      <c r="X10" s="27"/>
      <c r="Y10" s="27"/>
      <c r="Z10" s="27"/>
      <c r="AA10" s="27"/>
      <c r="AB10" s="27"/>
      <c r="AC10" s="27"/>
      <c r="AD10" s="27"/>
    </row>
    <row r="11" spans="1:246" ht="68.25" customHeight="1" x14ac:dyDescent="0.15">
      <c r="A11" s="15">
        <v>241</v>
      </c>
      <c r="B11" s="13"/>
      <c r="C11" s="28"/>
      <c r="D11" s="30"/>
      <c r="E11" s="30"/>
      <c r="F11" s="30"/>
      <c r="G11" s="30"/>
      <c r="H11" s="30"/>
      <c r="I11" s="30"/>
      <c r="J11" s="13"/>
      <c r="K11" s="13"/>
      <c r="L11" s="13"/>
      <c r="M11" s="13"/>
      <c r="N11" s="13"/>
      <c r="O11" s="13"/>
      <c r="P11" s="20"/>
      <c r="Q11" s="27"/>
      <c r="R11" s="27"/>
      <c r="S11" s="27"/>
      <c r="T11" s="27"/>
      <c r="U11" s="27"/>
      <c r="V11" s="27"/>
      <c r="W11" s="27"/>
      <c r="X11" s="27"/>
      <c r="Y11" s="27"/>
      <c r="Z11" s="27"/>
      <c r="AA11" s="27"/>
      <c r="AB11" s="27"/>
      <c r="AC11" s="27"/>
      <c r="AD11" s="27"/>
    </row>
    <row r="12" spans="1:246" ht="60" customHeight="1" x14ac:dyDescent="0.15">
      <c r="A12" s="15">
        <v>242</v>
      </c>
      <c r="B12" s="13"/>
      <c r="C12" s="28"/>
      <c r="D12" s="30"/>
      <c r="E12" s="30"/>
      <c r="F12" s="30"/>
      <c r="G12" s="30"/>
      <c r="H12" s="30"/>
      <c r="I12" s="30"/>
      <c r="J12" s="13"/>
      <c r="K12" s="13"/>
      <c r="L12" s="13"/>
      <c r="M12" s="13"/>
      <c r="N12" s="13"/>
      <c r="O12" s="13"/>
      <c r="P12" s="41"/>
      <c r="Q12" s="27"/>
      <c r="R12" s="27"/>
      <c r="S12" s="27"/>
      <c r="T12" s="27"/>
      <c r="U12" s="27"/>
      <c r="V12" s="27"/>
      <c r="W12" s="27"/>
      <c r="X12" s="27"/>
      <c r="Y12" s="27"/>
      <c r="Z12" s="27"/>
      <c r="AA12" s="27"/>
      <c r="AB12" s="27"/>
      <c r="AC12" s="27"/>
      <c r="AD12" s="27"/>
    </row>
    <row r="13" spans="1:246" ht="24.6" customHeight="1" x14ac:dyDescent="0.15">
      <c r="A13" s="15">
        <v>243</v>
      </c>
      <c r="B13" s="13"/>
      <c r="C13" s="28"/>
      <c r="D13" s="30"/>
      <c r="E13" s="30"/>
      <c r="F13" s="30"/>
      <c r="G13" s="30"/>
      <c r="H13" s="30"/>
      <c r="I13" s="14"/>
      <c r="J13" s="13"/>
      <c r="K13" s="13"/>
      <c r="L13" s="13"/>
      <c r="M13" s="13"/>
      <c r="N13" s="13"/>
      <c r="O13" s="13"/>
      <c r="P13" s="20"/>
      <c r="Q13" s="27"/>
      <c r="R13" s="27"/>
      <c r="S13" s="27"/>
      <c r="T13" s="27"/>
      <c r="U13" s="27"/>
      <c r="V13" s="27"/>
      <c r="W13" s="27"/>
      <c r="X13" s="27"/>
      <c r="Y13" s="27"/>
      <c r="Z13" s="27"/>
      <c r="AA13" s="27"/>
      <c r="AB13" s="27"/>
      <c r="AC13" s="27"/>
      <c r="AD13" s="27"/>
    </row>
    <row r="14" spans="1:246" ht="102" customHeight="1" x14ac:dyDescent="0.15">
      <c r="A14" s="15">
        <v>244</v>
      </c>
      <c r="B14" s="13"/>
      <c r="C14" s="28"/>
      <c r="D14" s="30"/>
      <c r="E14" s="30"/>
      <c r="F14" s="30"/>
      <c r="G14" s="30"/>
      <c r="H14" s="30"/>
      <c r="I14" s="31"/>
      <c r="J14" s="13"/>
      <c r="K14" s="13"/>
      <c r="L14" s="13"/>
      <c r="M14" s="13"/>
      <c r="N14" s="13"/>
      <c r="O14" s="13"/>
      <c r="P14" s="20"/>
      <c r="Q14" s="27"/>
      <c r="R14" s="27"/>
      <c r="S14" s="27"/>
      <c r="T14" s="27"/>
      <c r="U14" s="27"/>
      <c r="V14" s="27"/>
      <c r="W14" s="27"/>
      <c r="X14" s="27"/>
      <c r="Y14" s="27"/>
      <c r="Z14" s="27"/>
      <c r="AA14" s="27"/>
      <c r="AB14" s="27"/>
      <c r="AC14" s="27"/>
      <c r="AD14" s="27"/>
    </row>
    <row r="15" spans="1:246" ht="78.75" customHeight="1" x14ac:dyDescent="0.15">
      <c r="A15" s="15">
        <v>245</v>
      </c>
      <c r="B15" s="13"/>
      <c r="C15" s="16"/>
      <c r="D15" s="13"/>
      <c r="E15" s="13"/>
      <c r="F15" s="14"/>
      <c r="G15" s="14"/>
      <c r="H15" s="14"/>
      <c r="I15" s="14"/>
      <c r="J15" s="13"/>
      <c r="K15" s="13"/>
      <c r="L15" s="13"/>
      <c r="M15" s="13"/>
      <c r="N15" s="13"/>
      <c r="O15" s="13"/>
      <c r="P15" s="20"/>
      <c r="Q15" s="27"/>
      <c r="R15" s="27"/>
      <c r="S15" s="27"/>
      <c r="T15" s="27"/>
      <c r="U15" s="27"/>
      <c r="V15" s="27"/>
      <c r="W15" s="27"/>
      <c r="X15" s="27"/>
      <c r="Y15" s="27"/>
      <c r="Z15" s="27"/>
      <c r="AA15" s="27"/>
      <c r="AB15" s="27"/>
      <c r="AC15" s="27"/>
      <c r="AD15" s="27"/>
    </row>
    <row r="16" spans="1:246" ht="45.75" customHeight="1" x14ac:dyDescent="0.15">
      <c r="A16" s="15">
        <v>246</v>
      </c>
      <c r="B16" s="13"/>
      <c r="C16" s="12"/>
      <c r="D16" s="13"/>
      <c r="E16" s="13"/>
      <c r="F16" s="14"/>
      <c r="G16" s="14"/>
      <c r="H16" s="14"/>
      <c r="I16" s="14"/>
      <c r="J16" s="13"/>
      <c r="K16" s="13"/>
      <c r="L16" s="13"/>
      <c r="M16" s="13"/>
      <c r="N16" s="13"/>
      <c r="O16" s="13"/>
      <c r="P16" s="20"/>
      <c r="Q16" s="27"/>
      <c r="R16" s="27"/>
      <c r="S16" s="27"/>
      <c r="T16" s="27"/>
      <c r="U16" s="27"/>
      <c r="V16" s="27"/>
      <c r="W16" s="27"/>
      <c r="X16" s="27"/>
      <c r="Y16" s="27"/>
      <c r="Z16" s="27"/>
      <c r="AA16" s="27"/>
      <c r="AB16" s="27"/>
      <c r="AC16" s="27"/>
      <c r="AD16" s="27"/>
    </row>
    <row r="17" spans="1:30" ht="24.6" customHeight="1" x14ac:dyDescent="0.15">
      <c r="A17" s="15">
        <v>247</v>
      </c>
      <c r="B17" s="13"/>
      <c r="C17" s="12"/>
      <c r="D17" s="13"/>
      <c r="E17" s="13"/>
      <c r="F17" s="14"/>
      <c r="G17" s="14"/>
      <c r="H17" s="14"/>
      <c r="I17" s="14"/>
      <c r="J17" s="13"/>
      <c r="K17" s="13"/>
      <c r="L17" s="13"/>
      <c r="M17" s="13"/>
      <c r="N17" s="13"/>
      <c r="O17" s="13"/>
      <c r="P17" s="20"/>
      <c r="Q17" s="27"/>
      <c r="R17" s="27"/>
      <c r="S17" s="27"/>
      <c r="T17" s="27"/>
      <c r="U17" s="27"/>
      <c r="V17" s="27"/>
      <c r="W17" s="27"/>
      <c r="X17" s="27"/>
      <c r="Y17" s="27"/>
      <c r="Z17" s="27"/>
      <c r="AA17" s="27"/>
      <c r="AB17" s="27"/>
      <c r="AC17" s="27"/>
      <c r="AD17" s="27"/>
    </row>
    <row r="18" spans="1:30" ht="24.6" customHeight="1" x14ac:dyDescent="0.15">
      <c r="A18" s="15">
        <v>248</v>
      </c>
      <c r="B18" s="13"/>
      <c r="C18" s="12"/>
      <c r="D18" s="13"/>
      <c r="E18" s="13"/>
      <c r="F18" s="14"/>
      <c r="G18" s="14"/>
      <c r="H18" s="14"/>
      <c r="I18" s="14"/>
      <c r="J18" s="13"/>
      <c r="K18" s="13"/>
      <c r="L18" s="13"/>
      <c r="M18" s="13"/>
      <c r="N18" s="13"/>
      <c r="O18" s="13"/>
      <c r="P18" s="20"/>
      <c r="Q18" s="27"/>
      <c r="R18" s="27"/>
      <c r="S18" s="27"/>
      <c r="T18" s="27"/>
      <c r="U18" s="27"/>
      <c r="V18" s="27"/>
      <c r="W18" s="27"/>
      <c r="X18" s="27"/>
      <c r="Y18" s="27"/>
      <c r="Z18" s="27"/>
      <c r="AA18" s="27"/>
      <c r="AB18" s="27"/>
      <c r="AC18" s="27"/>
      <c r="AD18" s="27"/>
    </row>
    <row r="19" spans="1:30" ht="24.6" customHeight="1" x14ac:dyDescent="0.15">
      <c r="A19" s="15">
        <v>249</v>
      </c>
      <c r="B19" s="13"/>
      <c r="C19" s="12"/>
      <c r="D19" s="13"/>
      <c r="E19" s="13"/>
      <c r="F19" s="14"/>
      <c r="G19" s="14"/>
      <c r="H19" s="14"/>
      <c r="I19" s="14"/>
      <c r="J19" s="13"/>
      <c r="K19" s="13"/>
      <c r="L19" s="13"/>
      <c r="M19" s="13"/>
      <c r="N19" s="13"/>
      <c r="O19" s="13"/>
      <c r="P19" s="20"/>
      <c r="Q19" s="27"/>
      <c r="R19" s="27"/>
      <c r="S19" s="27"/>
      <c r="T19" s="27"/>
      <c r="U19" s="27"/>
      <c r="V19" s="27"/>
      <c r="W19" s="27"/>
      <c r="X19" s="27"/>
      <c r="Y19" s="27"/>
      <c r="Z19" s="27"/>
      <c r="AA19" s="27"/>
      <c r="AB19" s="27"/>
      <c r="AC19" s="27"/>
      <c r="AD19" s="27"/>
    </row>
    <row r="20" spans="1:30" ht="24.6" customHeight="1" x14ac:dyDescent="0.15">
      <c r="A20" s="15">
        <v>250</v>
      </c>
      <c r="B20" s="13"/>
      <c r="C20" s="12"/>
      <c r="D20" s="13"/>
      <c r="E20" s="13"/>
      <c r="F20" s="14"/>
      <c r="G20" s="14"/>
      <c r="H20" s="14"/>
      <c r="I20" s="14"/>
      <c r="J20" s="13"/>
      <c r="K20" s="13"/>
      <c r="L20" s="13"/>
      <c r="M20" s="13"/>
      <c r="N20" s="13"/>
      <c r="O20" s="13"/>
      <c r="P20" s="20"/>
      <c r="Q20" s="27"/>
      <c r="R20" s="27"/>
      <c r="S20" s="27"/>
      <c r="T20" s="27"/>
      <c r="U20" s="27"/>
      <c r="V20" s="27"/>
      <c r="W20" s="27"/>
      <c r="X20" s="27"/>
      <c r="Y20" s="27"/>
      <c r="Z20" s="27"/>
      <c r="AA20" s="27"/>
      <c r="AB20" s="27"/>
      <c r="AC20" s="27"/>
      <c r="AD20" s="27"/>
    </row>
    <row r="21" spans="1:30" ht="24.6" customHeight="1" x14ac:dyDescent="0.15">
      <c r="A21" s="15">
        <v>251</v>
      </c>
      <c r="B21" s="13"/>
      <c r="C21" s="12"/>
      <c r="D21" s="13"/>
      <c r="E21" s="13"/>
      <c r="F21" s="14"/>
      <c r="G21" s="14"/>
      <c r="H21" s="14"/>
      <c r="I21" s="14"/>
      <c r="J21" s="13"/>
      <c r="K21" s="13"/>
      <c r="L21" s="13"/>
      <c r="M21" s="13"/>
      <c r="N21" s="13"/>
      <c r="O21" s="13"/>
      <c r="P21" s="20"/>
      <c r="Q21" s="27"/>
      <c r="R21" s="27"/>
      <c r="S21" s="27"/>
      <c r="T21" s="27"/>
      <c r="U21" s="27"/>
      <c r="V21" s="27"/>
      <c r="W21" s="27"/>
      <c r="X21" s="27"/>
      <c r="Y21" s="27"/>
      <c r="Z21" s="27"/>
      <c r="AA21" s="27"/>
      <c r="AB21" s="27"/>
      <c r="AC21" s="27"/>
      <c r="AD21" s="27"/>
    </row>
  </sheetData>
  <autoFilter ref="A3:P18"/>
  <mergeCells count="2">
    <mergeCell ref="A1:P1"/>
    <mergeCell ref="A2:B2"/>
  </mergeCells>
  <phoneticPr fontId="34" type="noConversion"/>
  <conditionalFormatting sqref="J4">
    <cfRule type="cellIs" dxfId="155" priority="52" operator="equal">
      <formula>"OVERDUE"</formula>
    </cfRule>
    <cfRule type="cellIs" dxfId="154" priority="53" operator="equal">
      <formula>"DONE"</formula>
    </cfRule>
    <cfRule type="cellIs" dxfId="153" priority="54" operator="equal">
      <formula>"DONE"</formula>
    </cfRule>
  </conditionalFormatting>
  <conditionalFormatting sqref="J5">
    <cfRule type="cellIs" dxfId="152" priority="49" operator="equal">
      <formula>"OVERDUE"</formula>
    </cfRule>
    <cfRule type="cellIs" dxfId="151" priority="50" operator="equal">
      <formula>"DONE"</formula>
    </cfRule>
    <cfRule type="cellIs" dxfId="150" priority="51" operator="equal">
      <formula>"DONE"</formula>
    </cfRule>
  </conditionalFormatting>
  <conditionalFormatting sqref="J6">
    <cfRule type="cellIs" dxfId="149" priority="46" operator="equal">
      <formula>"OVERDUE"</formula>
    </cfRule>
    <cfRule type="cellIs" dxfId="148" priority="47" operator="equal">
      <formula>"DONE"</formula>
    </cfRule>
    <cfRule type="cellIs" dxfId="147" priority="48" operator="equal">
      <formula>"DONE"</formula>
    </cfRule>
  </conditionalFormatting>
  <conditionalFormatting sqref="J7">
    <cfRule type="cellIs" dxfId="146" priority="43" operator="equal">
      <formula>"OVERDUE"</formula>
    </cfRule>
    <cfRule type="cellIs" dxfId="145" priority="44" operator="equal">
      <formula>"DONE"</formula>
    </cfRule>
    <cfRule type="cellIs" dxfId="144" priority="45" operator="equal">
      <formula>"DONE"</formula>
    </cfRule>
  </conditionalFormatting>
  <conditionalFormatting sqref="J8">
    <cfRule type="cellIs" dxfId="143" priority="40" operator="equal">
      <formula>"OVERDUE"</formula>
    </cfRule>
    <cfRule type="cellIs" dxfId="142" priority="41" operator="equal">
      <formula>"DONE"</formula>
    </cfRule>
    <cfRule type="cellIs" dxfId="141" priority="42" operator="equal">
      <formula>"DONE"</formula>
    </cfRule>
  </conditionalFormatting>
  <conditionalFormatting sqref="J9">
    <cfRule type="cellIs" dxfId="140" priority="37" operator="equal">
      <formula>"OVERDUE"</formula>
    </cfRule>
    <cfRule type="cellIs" dxfId="139" priority="38" operator="equal">
      <formula>"DONE"</formula>
    </cfRule>
    <cfRule type="cellIs" dxfId="138" priority="39" operator="equal">
      <formula>"DONE"</formula>
    </cfRule>
  </conditionalFormatting>
  <conditionalFormatting sqref="J10">
    <cfRule type="cellIs" dxfId="137" priority="34" operator="equal">
      <formula>"OVERDUE"</formula>
    </cfRule>
    <cfRule type="cellIs" dxfId="136" priority="35" operator="equal">
      <formula>"DONE"</formula>
    </cfRule>
    <cfRule type="cellIs" dxfId="135" priority="36" operator="equal">
      <formula>"DONE"</formula>
    </cfRule>
  </conditionalFormatting>
  <conditionalFormatting sqref="J11">
    <cfRule type="cellIs" dxfId="134" priority="31" operator="equal">
      <formula>"OVERDUE"</formula>
    </cfRule>
    <cfRule type="cellIs" dxfId="133" priority="32" operator="equal">
      <formula>"DONE"</formula>
    </cfRule>
    <cfRule type="cellIs" dxfId="132" priority="33" operator="equal">
      <formula>"DONE"</formula>
    </cfRule>
  </conditionalFormatting>
  <conditionalFormatting sqref="J12">
    <cfRule type="cellIs" dxfId="131" priority="28" operator="equal">
      <formula>"OVERDUE"</formula>
    </cfRule>
    <cfRule type="cellIs" dxfId="130" priority="29" operator="equal">
      <formula>"DONE"</formula>
    </cfRule>
    <cfRule type="cellIs" dxfId="129" priority="30" operator="equal">
      <formula>"DONE"</formula>
    </cfRule>
  </conditionalFormatting>
  <conditionalFormatting sqref="J13">
    <cfRule type="cellIs" dxfId="128" priority="25" operator="equal">
      <formula>"OVERDUE"</formula>
    </cfRule>
    <cfRule type="cellIs" dxfId="127" priority="26" operator="equal">
      <formula>"DONE"</formula>
    </cfRule>
    <cfRule type="cellIs" dxfId="126" priority="27" operator="equal">
      <formula>"DONE"</formula>
    </cfRule>
  </conditionalFormatting>
  <conditionalFormatting sqref="J14">
    <cfRule type="cellIs" dxfId="125" priority="22" operator="equal">
      <formula>"OVERDUE"</formula>
    </cfRule>
    <cfRule type="cellIs" dxfId="124" priority="23" operator="equal">
      <formula>"DONE"</formula>
    </cfRule>
    <cfRule type="cellIs" dxfId="123" priority="24" operator="equal">
      <formula>"DONE"</formula>
    </cfRule>
  </conditionalFormatting>
  <conditionalFormatting sqref="J15">
    <cfRule type="cellIs" dxfId="122" priority="19" operator="equal">
      <formula>"OVERDUE"</formula>
    </cfRule>
    <cfRule type="cellIs" dxfId="121" priority="20" operator="equal">
      <formula>"DONE"</formula>
    </cfRule>
    <cfRule type="cellIs" dxfId="120" priority="21" operator="equal">
      <formula>"DONE"</formula>
    </cfRule>
  </conditionalFormatting>
  <conditionalFormatting sqref="J16">
    <cfRule type="cellIs" dxfId="119" priority="16" operator="equal">
      <formula>"OVERDUE"</formula>
    </cfRule>
    <cfRule type="cellIs" dxfId="118" priority="17" operator="equal">
      <formula>"DONE"</formula>
    </cfRule>
    <cfRule type="cellIs" dxfId="117" priority="18" operator="equal">
      <formula>"DONE"</formula>
    </cfRule>
  </conditionalFormatting>
  <conditionalFormatting sqref="J17">
    <cfRule type="cellIs" dxfId="116" priority="13" operator="equal">
      <formula>"OVERDUE"</formula>
    </cfRule>
    <cfRule type="cellIs" dxfId="115" priority="14" operator="equal">
      <formula>"DONE"</formula>
    </cfRule>
    <cfRule type="cellIs" dxfId="114" priority="15" operator="equal">
      <formula>"DONE"</formula>
    </cfRule>
  </conditionalFormatting>
  <conditionalFormatting sqref="J18">
    <cfRule type="cellIs" dxfId="113" priority="10" operator="equal">
      <formula>"OVERDUE"</formula>
    </cfRule>
    <cfRule type="cellIs" dxfId="112" priority="11" operator="equal">
      <formula>"DONE"</formula>
    </cfRule>
    <cfRule type="cellIs" dxfId="111" priority="12" operator="equal">
      <formula>"DONE"</formula>
    </cfRule>
  </conditionalFormatting>
  <conditionalFormatting sqref="J2:J3 J22:J1048576">
    <cfRule type="cellIs" dxfId="110" priority="55" operator="equal">
      <formula>"OVERDUE"</formula>
    </cfRule>
    <cfRule type="cellIs" dxfId="109" priority="56" operator="equal">
      <formula>"DONE"</formula>
    </cfRule>
    <cfRule type="cellIs" dxfId="108" priority="57" operator="equal">
      <formula>"DONE"</formula>
    </cfRule>
  </conditionalFormatting>
  <conditionalFormatting sqref="J19">
    <cfRule type="cellIs" dxfId="107" priority="7" operator="equal">
      <formula>"OVERDUE"</formula>
    </cfRule>
    <cfRule type="cellIs" dxfId="106" priority="8" operator="equal">
      <formula>"DONE"</formula>
    </cfRule>
    <cfRule type="cellIs" dxfId="105" priority="9" operator="equal">
      <formula>"DONE"</formula>
    </cfRule>
  </conditionalFormatting>
  <conditionalFormatting sqref="J20">
    <cfRule type="cellIs" dxfId="104" priority="4" operator="equal">
      <formula>"OVERDUE"</formula>
    </cfRule>
    <cfRule type="cellIs" dxfId="103" priority="5" operator="equal">
      <formula>"DONE"</formula>
    </cfRule>
    <cfRule type="cellIs" dxfId="102" priority="6" operator="equal">
      <formula>"DONE"</formula>
    </cfRule>
  </conditionalFormatting>
  <conditionalFormatting sqref="J21">
    <cfRule type="cellIs" dxfId="101" priority="1" operator="equal">
      <formula>"OVERDUE"</formula>
    </cfRule>
    <cfRule type="cellIs" dxfId="100" priority="2" operator="equal">
      <formula>"DONE"</formula>
    </cfRule>
    <cfRule type="cellIs" dxfId="99" priority="3" operator="equal">
      <formula>"DONE"</formula>
    </cfRule>
  </conditionalFormatting>
  <dataValidations count="1">
    <dataValidation type="list" allowBlank="1" showInputMessage="1" showErrorMessage="1" sqref="D1:D4 D15:D1048576">
      <formula1>"高,中,低"</formula1>
    </dataValidation>
  </dataValidations>
  <pageMargins left="0.51180555555555596" right="0" top="0.35416666666666702" bottom="0.39305555555555599" header="0.31388888888888899" footer="0.31388888888888899"/>
  <pageSetup paperSize="9"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1505" r:id="rId4" name="Button 1">
              <controlPr defaultSize="0" print="0" autoPict="0" macro="[0]!Insert_Line_moban">
                <anchor moveWithCells="1">
                  <from>
                    <xdr:col>0</xdr:col>
                    <xdr:colOff>104775</xdr:colOff>
                    <xdr:row>21</xdr:row>
                    <xdr:rowOff>85725</xdr:rowOff>
                  </from>
                  <to>
                    <xdr:col>2</xdr:col>
                    <xdr:colOff>695325</xdr:colOff>
                    <xdr:row>22</xdr:row>
                    <xdr:rowOff>161925</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tabColor rgb="FF92D050"/>
  </sheetPr>
  <dimension ref="A1:IL13"/>
  <sheetViews>
    <sheetView workbookViewId="0">
      <pane ySplit="3" topLeftCell="A4" activePane="bottomLeft" state="frozen"/>
      <selection activeCell="C76" sqref="C76"/>
      <selection pane="bottomLeft" activeCell="P5" sqref="P5"/>
    </sheetView>
  </sheetViews>
  <sheetFormatPr defaultColWidth="9" defaultRowHeight="14.25" x14ac:dyDescent="0.15"/>
  <cols>
    <col min="1" max="1" width="5.375" style="1" customWidth="1"/>
    <col min="2" max="2" width="4.25" style="1" customWidth="1"/>
    <col min="3" max="3" width="33.625" style="1" customWidth="1"/>
    <col min="4" max="4" width="6" style="2" customWidth="1"/>
    <col min="5" max="5" width="10.375" style="1" customWidth="1"/>
    <col min="6" max="6" width="11.75" style="1" customWidth="1"/>
    <col min="7" max="7" width="12.75" style="1" customWidth="1"/>
    <col min="8" max="8" width="12" style="1" customWidth="1"/>
    <col min="9" max="9" width="10.75" style="1" customWidth="1"/>
    <col min="10" max="10" width="8.625" style="1" customWidth="1"/>
    <col min="11" max="11" width="19.375" style="1" hidden="1" customWidth="1"/>
    <col min="12" max="14" width="9" style="1" hidden="1" customWidth="1"/>
    <col min="15" max="15" width="0.25" style="1" hidden="1" customWidth="1"/>
    <col min="16" max="16" width="34.75" style="1" customWidth="1"/>
    <col min="17" max="17" width="43" style="3" customWidth="1"/>
    <col min="18" max="16384" width="9" style="4"/>
  </cols>
  <sheetData>
    <row r="1" spans="1:246" ht="41.25" customHeight="1" x14ac:dyDescent="0.15">
      <c r="A1" s="214" t="s">
        <v>0</v>
      </c>
      <c r="B1" s="214"/>
      <c r="C1" s="214"/>
      <c r="D1" s="214"/>
      <c r="E1" s="214"/>
      <c r="F1" s="214"/>
      <c r="G1" s="214"/>
      <c r="H1" s="214"/>
      <c r="I1" s="214"/>
      <c r="J1" s="214"/>
      <c r="K1" s="214"/>
      <c r="L1" s="214"/>
      <c r="M1" s="214"/>
      <c r="N1" s="214"/>
      <c r="O1" s="214"/>
      <c r="P1" s="214"/>
      <c r="Q1" s="21"/>
      <c r="R1" s="22"/>
      <c r="S1" s="22"/>
      <c r="T1" s="22"/>
      <c r="U1" s="22"/>
      <c r="V1" s="22"/>
      <c r="W1" s="22"/>
      <c r="X1" s="22"/>
      <c r="Y1" s="22"/>
      <c r="Z1" s="22"/>
      <c r="AA1" s="22"/>
      <c r="AB1" s="22"/>
      <c r="AC1" s="22"/>
      <c r="AD1" s="22"/>
      <c r="AE1" s="22"/>
      <c r="AF1" s="22"/>
      <c r="AG1" s="22"/>
      <c r="AH1" s="22"/>
      <c r="AI1" s="22"/>
      <c r="AJ1" s="22"/>
      <c r="AK1" s="22"/>
      <c r="AL1" s="22"/>
      <c r="AM1" s="22"/>
      <c r="AN1" s="22"/>
      <c r="AO1" s="22"/>
      <c r="AP1" s="22"/>
      <c r="AQ1" s="22"/>
      <c r="AR1" s="22"/>
      <c r="AS1" s="22"/>
      <c r="AT1" s="22"/>
      <c r="AU1" s="22"/>
      <c r="AV1" s="22"/>
      <c r="AW1" s="22"/>
      <c r="AX1" s="22"/>
      <c r="AY1" s="22"/>
      <c r="AZ1" s="22"/>
      <c r="BA1" s="22"/>
      <c r="BB1" s="22"/>
      <c r="BC1" s="22"/>
      <c r="BD1" s="22"/>
      <c r="BE1" s="22"/>
      <c r="BF1" s="22"/>
      <c r="BG1" s="22"/>
      <c r="BH1" s="22"/>
      <c r="BI1" s="22"/>
      <c r="BJ1" s="22"/>
      <c r="BK1" s="22"/>
      <c r="BL1" s="22"/>
      <c r="BM1" s="22"/>
      <c r="BN1" s="22"/>
      <c r="BO1" s="22"/>
      <c r="BP1" s="22"/>
      <c r="BQ1" s="22"/>
      <c r="BR1" s="22"/>
      <c r="BS1" s="22"/>
      <c r="BT1" s="22"/>
      <c r="BU1" s="22"/>
      <c r="BV1" s="22"/>
      <c r="BW1" s="22"/>
      <c r="BX1" s="22"/>
      <c r="BY1" s="22"/>
      <c r="BZ1" s="22"/>
      <c r="CA1" s="22"/>
      <c r="CB1" s="22"/>
      <c r="CC1" s="22"/>
      <c r="CD1" s="22"/>
      <c r="CE1" s="22"/>
      <c r="CF1" s="22"/>
      <c r="CG1" s="22"/>
      <c r="CH1" s="22"/>
      <c r="CI1" s="22"/>
      <c r="CJ1" s="22"/>
      <c r="CK1" s="22"/>
      <c r="CL1" s="22"/>
      <c r="CM1" s="22"/>
      <c r="CN1" s="22"/>
      <c r="CO1" s="22"/>
      <c r="CP1" s="22"/>
      <c r="CQ1" s="22"/>
      <c r="CR1" s="22"/>
      <c r="CS1" s="22"/>
      <c r="CT1" s="22"/>
      <c r="CU1" s="22"/>
      <c r="CV1" s="22"/>
      <c r="CW1" s="22"/>
      <c r="CX1" s="22"/>
      <c r="CY1" s="22"/>
      <c r="CZ1" s="22"/>
      <c r="DA1" s="22"/>
      <c r="DB1" s="22"/>
      <c r="DC1" s="22"/>
      <c r="DD1" s="22"/>
      <c r="DE1" s="22"/>
      <c r="DF1" s="22"/>
      <c r="DG1" s="22"/>
      <c r="DH1" s="22"/>
      <c r="DI1" s="22"/>
      <c r="DJ1" s="22"/>
      <c r="DK1" s="22"/>
      <c r="DL1" s="22"/>
      <c r="DM1" s="22"/>
      <c r="DN1" s="22"/>
      <c r="DO1" s="22"/>
      <c r="DP1" s="22"/>
      <c r="DQ1" s="22"/>
      <c r="DR1" s="22"/>
      <c r="DS1" s="22"/>
      <c r="DT1" s="22"/>
      <c r="DU1" s="22"/>
      <c r="DV1" s="22"/>
      <c r="DW1" s="22"/>
      <c r="DX1" s="22"/>
      <c r="DY1" s="22"/>
      <c r="DZ1" s="22"/>
      <c r="EA1" s="22"/>
      <c r="EB1" s="22"/>
      <c r="EC1" s="22"/>
      <c r="ED1" s="22"/>
      <c r="EE1" s="22"/>
      <c r="EF1" s="22"/>
      <c r="EG1" s="22"/>
      <c r="EH1" s="22"/>
      <c r="EI1" s="22"/>
      <c r="EJ1" s="22"/>
      <c r="EK1" s="22"/>
      <c r="EL1" s="22"/>
      <c r="EM1" s="22"/>
      <c r="EN1" s="22"/>
      <c r="EO1" s="22"/>
      <c r="EP1" s="22"/>
      <c r="EQ1" s="22"/>
      <c r="ER1" s="22"/>
      <c r="ES1" s="22"/>
      <c r="ET1" s="22"/>
      <c r="EU1" s="22"/>
      <c r="EV1" s="22"/>
      <c r="EW1" s="22"/>
      <c r="EX1" s="22"/>
      <c r="EY1" s="22"/>
      <c r="EZ1" s="22"/>
      <c r="FA1" s="22"/>
      <c r="FB1" s="22"/>
      <c r="FC1" s="22"/>
      <c r="FD1" s="22"/>
      <c r="FE1" s="22"/>
      <c r="FF1" s="22"/>
      <c r="FG1" s="22"/>
      <c r="FH1" s="22"/>
      <c r="FI1" s="22"/>
      <c r="FJ1" s="22"/>
      <c r="FK1" s="22"/>
      <c r="FL1" s="22"/>
      <c r="FM1" s="22"/>
      <c r="FN1" s="22"/>
      <c r="FO1" s="22"/>
      <c r="FP1" s="22"/>
      <c r="FQ1" s="22"/>
      <c r="FR1" s="22"/>
      <c r="FS1" s="22"/>
      <c r="FT1" s="22"/>
      <c r="FU1" s="22"/>
      <c r="FV1" s="22"/>
      <c r="FW1" s="22"/>
      <c r="FX1" s="22"/>
      <c r="FY1" s="22"/>
      <c r="FZ1" s="22"/>
      <c r="GA1" s="22"/>
      <c r="GB1" s="22"/>
      <c r="GC1" s="22"/>
      <c r="GD1" s="22"/>
      <c r="GE1" s="22"/>
      <c r="GF1" s="22"/>
      <c r="GG1" s="22"/>
      <c r="GH1" s="22"/>
      <c r="GI1" s="22"/>
      <c r="GJ1" s="22"/>
      <c r="GK1" s="22"/>
      <c r="GL1" s="22"/>
      <c r="GM1" s="22"/>
      <c r="GN1" s="22"/>
      <c r="GO1" s="22"/>
      <c r="GP1" s="22"/>
      <c r="GQ1" s="22"/>
      <c r="GR1" s="22"/>
      <c r="GS1" s="22"/>
      <c r="GT1" s="22"/>
      <c r="GU1" s="22"/>
      <c r="GV1" s="22"/>
      <c r="GW1" s="22"/>
      <c r="GX1" s="22"/>
      <c r="GY1" s="22"/>
      <c r="GZ1" s="22"/>
      <c r="HA1" s="22"/>
      <c r="HB1" s="22"/>
      <c r="HC1" s="22"/>
      <c r="HD1" s="22"/>
      <c r="HE1" s="22"/>
      <c r="HF1" s="22"/>
      <c r="HG1" s="22"/>
      <c r="HH1" s="22"/>
      <c r="HI1" s="22"/>
      <c r="HJ1" s="22"/>
      <c r="HK1" s="22"/>
      <c r="HL1" s="22"/>
      <c r="HM1" s="22"/>
      <c r="HN1" s="22"/>
      <c r="HO1" s="22"/>
      <c r="HP1" s="22"/>
      <c r="HQ1" s="22"/>
      <c r="HR1" s="22"/>
      <c r="HS1" s="22"/>
      <c r="HT1" s="22"/>
      <c r="HU1" s="22"/>
      <c r="HV1" s="22"/>
      <c r="HW1" s="22"/>
      <c r="HX1" s="22"/>
      <c r="HY1" s="22"/>
      <c r="HZ1" s="22"/>
      <c r="IA1" s="22"/>
      <c r="IB1" s="22"/>
      <c r="IC1" s="22"/>
      <c r="ID1" s="22"/>
      <c r="IE1" s="22"/>
      <c r="IF1" s="22"/>
      <c r="IG1" s="22"/>
      <c r="IH1" s="22"/>
      <c r="II1" s="22"/>
      <c r="IJ1" s="22"/>
      <c r="IK1" s="22"/>
      <c r="IL1" s="22"/>
    </row>
    <row r="2" spans="1:246" ht="18.75" customHeight="1" x14ac:dyDescent="0.2">
      <c r="A2" s="215" t="s">
        <v>1</v>
      </c>
      <c r="B2" s="215"/>
      <c r="C2" s="5">
        <f ca="1">TODAY()</f>
        <v>44477</v>
      </c>
      <c r="D2" s="6" t="s">
        <v>2</v>
      </c>
      <c r="E2" s="7"/>
      <c r="F2" s="8"/>
      <c r="G2" s="8"/>
      <c r="H2" s="8"/>
      <c r="I2" s="8"/>
      <c r="J2" s="8"/>
      <c r="K2" s="17"/>
      <c r="L2" s="17"/>
      <c r="M2" s="17"/>
      <c r="N2" s="17"/>
      <c r="O2" s="17"/>
      <c r="P2" s="18"/>
      <c r="Q2" s="23"/>
      <c r="R2" s="24"/>
      <c r="S2" s="24"/>
      <c r="T2" s="24"/>
      <c r="U2" s="24"/>
      <c r="V2" s="24"/>
      <c r="W2" s="24"/>
      <c r="X2" s="24"/>
      <c r="Y2" s="24"/>
      <c r="Z2" s="24"/>
      <c r="AA2" s="24"/>
      <c r="AB2" s="24"/>
      <c r="AC2" s="24"/>
      <c r="AD2" s="24"/>
      <c r="AE2" s="24"/>
      <c r="AF2" s="24"/>
      <c r="AG2" s="24"/>
      <c r="AH2" s="24"/>
      <c r="AI2" s="24"/>
      <c r="AJ2" s="24"/>
      <c r="AK2" s="24"/>
      <c r="AL2" s="24"/>
      <c r="AM2" s="24"/>
      <c r="AN2" s="24"/>
      <c r="AO2" s="24"/>
      <c r="AP2" s="24"/>
      <c r="AQ2" s="24"/>
      <c r="AR2" s="24"/>
      <c r="AS2" s="24"/>
      <c r="AT2" s="24"/>
      <c r="AU2" s="24"/>
      <c r="AV2" s="24"/>
      <c r="AW2" s="24"/>
      <c r="AX2" s="24"/>
      <c r="AY2" s="24"/>
      <c r="AZ2" s="24"/>
      <c r="BA2" s="24"/>
      <c r="BB2" s="24"/>
      <c r="BC2" s="24"/>
      <c r="BD2" s="24"/>
      <c r="BE2" s="24"/>
      <c r="BF2" s="24"/>
      <c r="BG2" s="24"/>
      <c r="BH2" s="24"/>
      <c r="BI2" s="24"/>
      <c r="BJ2" s="24"/>
      <c r="BK2" s="24"/>
      <c r="BL2" s="24"/>
      <c r="BM2" s="24"/>
      <c r="BN2" s="24"/>
      <c r="BO2" s="24"/>
      <c r="BP2" s="24"/>
      <c r="BQ2" s="24"/>
      <c r="BR2" s="24"/>
      <c r="BS2" s="24"/>
      <c r="BT2" s="24"/>
      <c r="BU2" s="24"/>
      <c r="BV2" s="24"/>
      <c r="BW2" s="24"/>
      <c r="BX2" s="24"/>
      <c r="BY2" s="24"/>
      <c r="BZ2" s="24"/>
      <c r="CA2" s="24"/>
      <c r="CB2" s="24"/>
      <c r="CC2" s="24"/>
      <c r="CD2" s="24"/>
      <c r="CE2" s="24"/>
      <c r="CF2" s="24"/>
      <c r="CG2" s="24"/>
      <c r="CH2" s="24"/>
      <c r="CI2" s="24"/>
      <c r="CJ2" s="24"/>
      <c r="CK2" s="24"/>
      <c r="CL2" s="24"/>
      <c r="CM2" s="24"/>
      <c r="CN2" s="24"/>
      <c r="CO2" s="24"/>
      <c r="CP2" s="24"/>
      <c r="CQ2" s="24"/>
      <c r="CR2" s="24"/>
      <c r="CS2" s="24"/>
      <c r="CT2" s="24"/>
      <c r="CU2" s="24"/>
      <c r="CV2" s="24"/>
      <c r="CW2" s="24"/>
      <c r="CX2" s="24"/>
      <c r="CY2" s="24"/>
      <c r="CZ2" s="24"/>
      <c r="DA2" s="24"/>
      <c r="DB2" s="24"/>
      <c r="DC2" s="24"/>
      <c r="DD2" s="24"/>
      <c r="DE2" s="24"/>
      <c r="DF2" s="24"/>
      <c r="DG2" s="24"/>
      <c r="DH2" s="24"/>
      <c r="DI2" s="24"/>
      <c r="DJ2" s="24"/>
      <c r="DK2" s="24"/>
      <c r="DL2" s="24"/>
      <c r="DM2" s="24"/>
      <c r="DN2" s="24"/>
      <c r="DO2" s="24"/>
      <c r="DP2" s="24"/>
      <c r="DQ2" s="24"/>
      <c r="DR2" s="24"/>
      <c r="DS2" s="24"/>
      <c r="DT2" s="24"/>
      <c r="DU2" s="24"/>
      <c r="DV2" s="24"/>
      <c r="DW2" s="24"/>
      <c r="DX2" s="24"/>
      <c r="DY2" s="24"/>
      <c r="DZ2" s="24"/>
      <c r="EA2" s="24"/>
      <c r="EB2" s="24"/>
      <c r="EC2" s="24"/>
      <c r="ED2" s="24"/>
      <c r="EE2" s="24"/>
      <c r="EF2" s="24"/>
      <c r="EG2" s="24"/>
      <c r="EH2" s="24"/>
      <c r="EI2" s="24"/>
      <c r="EJ2" s="24"/>
      <c r="EK2" s="24"/>
      <c r="EL2" s="24"/>
      <c r="EM2" s="24"/>
      <c r="EN2" s="24"/>
      <c r="EO2" s="24"/>
      <c r="EP2" s="24"/>
      <c r="EQ2" s="24"/>
      <c r="ER2" s="24"/>
      <c r="ES2" s="24"/>
      <c r="ET2" s="24"/>
      <c r="EU2" s="24"/>
      <c r="EV2" s="24"/>
      <c r="EW2" s="24"/>
      <c r="EX2" s="24"/>
      <c r="EY2" s="24"/>
      <c r="EZ2" s="24"/>
      <c r="FA2" s="24"/>
      <c r="FB2" s="24"/>
      <c r="FC2" s="24"/>
      <c r="FD2" s="24"/>
      <c r="FE2" s="24"/>
      <c r="FF2" s="24"/>
      <c r="FG2" s="24"/>
      <c r="FH2" s="24"/>
      <c r="FI2" s="24"/>
      <c r="FJ2" s="24"/>
      <c r="FK2" s="24"/>
      <c r="FL2" s="24"/>
      <c r="FM2" s="24"/>
      <c r="FN2" s="24"/>
      <c r="FO2" s="24"/>
      <c r="FP2" s="24"/>
      <c r="FQ2" s="24"/>
      <c r="FR2" s="24"/>
      <c r="FS2" s="24"/>
      <c r="FT2" s="24"/>
      <c r="FU2" s="24"/>
      <c r="FV2" s="24"/>
      <c r="FW2" s="24"/>
      <c r="FX2" s="24"/>
      <c r="FY2" s="24"/>
      <c r="FZ2" s="24"/>
      <c r="GA2" s="24"/>
      <c r="GB2" s="24"/>
      <c r="GC2" s="24"/>
      <c r="GD2" s="24"/>
      <c r="GE2" s="24"/>
      <c r="GF2" s="24"/>
      <c r="GG2" s="24"/>
      <c r="GH2" s="24"/>
      <c r="GI2" s="24"/>
      <c r="GJ2" s="24"/>
      <c r="GK2" s="24"/>
      <c r="GL2" s="24"/>
      <c r="GM2" s="24"/>
      <c r="GN2" s="24"/>
      <c r="GO2" s="24"/>
      <c r="GP2" s="24"/>
      <c r="GQ2" s="24"/>
      <c r="GR2" s="24"/>
      <c r="GS2" s="24"/>
      <c r="GT2" s="24"/>
      <c r="GU2" s="24"/>
      <c r="GV2" s="24"/>
      <c r="GW2" s="24"/>
      <c r="GX2" s="24"/>
      <c r="GY2" s="24"/>
      <c r="GZ2" s="24"/>
      <c r="HA2" s="24"/>
      <c r="HB2" s="24"/>
      <c r="HC2" s="24"/>
      <c r="HD2" s="24"/>
      <c r="HE2" s="24"/>
      <c r="HF2" s="24"/>
      <c r="HG2" s="24"/>
      <c r="HH2" s="24"/>
      <c r="HI2" s="24"/>
      <c r="HJ2" s="24"/>
      <c r="HK2" s="24"/>
      <c r="HL2" s="24"/>
      <c r="HM2" s="24"/>
      <c r="HN2" s="24"/>
      <c r="HO2" s="24"/>
      <c r="HP2" s="24"/>
      <c r="HQ2" s="24"/>
      <c r="HR2" s="24"/>
      <c r="HS2" s="24"/>
      <c r="HT2" s="24"/>
      <c r="HU2" s="24"/>
      <c r="HV2" s="24"/>
      <c r="HW2" s="24"/>
      <c r="HX2" s="24"/>
      <c r="HY2" s="24"/>
      <c r="HZ2" s="24"/>
      <c r="IA2" s="24"/>
      <c r="IB2" s="24"/>
      <c r="IC2" s="24"/>
      <c r="ID2" s="24"/>
      <c r="IE2" s="24"/>
      <c r="IF2" s="24"/>
      <c r="IG2" s="24"/>
      <c r="IH2" s="24"/>
      <c r="II2" s="24"/>
      <c r="IJ2" s="24"/>
      <c r="IK2" s="24"/>
      <c r="IL2" s="24"/>
    </row>
    <row r="3" spans="1:246" ht="39" customHeight="1" x14ac:dyDescent="0.15">
      <c r="A3" s="9" t="s">
        <v>3</v>
      </c>
      <c r="B3" s="9" t="s">
        <v>4</v>
      </c>
      <c r="C3" s="9" t="s">
        <v>5</v>
      </c>
      <c r="D3" s="9" t="s">
        <v>6</v>
      </c>
      <c r="E3" s="9" t="s">
        <v>7</v>
      </c>
      <c r="F3" s="9" t="s">
        <v>8</v>
      </c>
      <c r="G3" s="9" t="s">
        <v>9</v>
      </c>
      <c r="H3" s="9" t="s">
        <v>10</v>
      </c>
      <c r="I3" s="9" t="s">
        <v>11</v>
      </c>
      <c r="J3" s="9" t="s">
        <v>12</v>
      </c>
      <c r="K3" s="9" t="s">
        <v>13</v>
      </c>
      <c r="L3" s="9" t="s">
        <v>14</v>
      </c>
      <c r="M3" s="9" t="s">
        <v>15</v>
      </c>
      <c r="N3" s="9" t="s">
        <v>16</v>
      </c>
      <c r="O3" s="9" t="s">
        <v>17</v>
      </c>
      <c r="P3" s="19" t="s">
        <v>18</v>
      </c>
      <c r="Q3" s="37"/>
      <c r="R3" s="197"/>
      <c r="S3" s="197"/>
      <c r="T3" s="197"/>
      <c r="U3" s="197"/>
      <c r="V3" s="197"/>
      <c r="W3" s="197"/>
      <c r="X3" s="197"/>
      <c r="Y3" s="197"/>
      <c r="Z3" s="197"/>
      <c r="AA3" s="197"/>
      <c r="AB3" s="197"/>
      <c r="AC3" s="197"/>
      <c r="AD3" s="197"/>
      <c r="AE3" s="197"/>
      <c r="AF3" s="197"/>
      <c r="AG3" s="197"/>
      <c r="AH3" s="197"/>
      <c r="AI3" s="197"/>
      <c r="AJ3" s="197"/>
      <c r="AK3" s="197"/>
      <c r="AL3" s="197"/>
      <c r="AM3" s="197"/>
      <c r="AN3" s="197"/>
      <c r="AO3" s="197"/>
      <c r="AP3" s="197"/>
      <c r="AQ3" s="197"/>
      <c r="AR3" s="197"/>
      <c r="AS3" s="197"/>
      <c r="AT3" s="197"/>
      <c r="AU3" s="197"/>
      <c r="AV3" s="197"/>
      <c r="AW3" s="197"/>
      <c r="AX3" s="197"/>
      <c r="AY3" s="197"/>
      <c r="AZ3" s="197"/>
      <c r="BA3" s="197"/>
      <c r="BB3" s="197"/>
      <c r="BC3" s="197"/>
      <c r="BD3" s="197"/>
      <c r="BE3" s="197"/>
      <c r="BF3" s="197"/>
      <c r="BG3" s="197"/>
      <c r="BH3" s="197"/>
      <c r="BI3" s="197"/>
      <c r="BJ3" s="197"/>
      <c r="BK3" s="197"/>
      <c r="BL3" s="197"/>
      <c r="BM3" s="197"/>
      <c r="BN3" s="197"/>
      <c r="BO3" s="197"/>
      <c r="BP3" s="197"/>
      <c r="BQ3" s="197"/>
      <c r="BR3" s="197"/>
      <c r="BS3" s="197"/>
      <c r="BT3" s="197"/>
      <c r="BU3" s="197"/>
      <c r="BV3" s="197"/>
      <c r="BW3" s="197"/>
      <c r="BX3" s="197"/>
      <c r="BY3" s="197"/>
      <c r="BZ3" s="197"/>
      <c r="CA3" s="197"/>
      <c r="CB3" s="197"/>
      <c r="CC3" s="197"/>
      <c r="CD3" s="197"/>
      <c r="CE3" s="197"/>
      <c r="CF3" s="197"/>
      <c r="CG3" s="197"/>
      <c r="CH3" s="197"/>
      <c r="CI3" s="197"/>
      <c r="CJ3" s="197"/>
      <c r="CK3" s="197"/>
      <c r="CL3" s="197"/>
      <c r="CM3" s="197"/>
      <c r="CN3" s="197"/>
      <c r="CO3" s="197"/>
      <c r="CP3" s="197"/>
      <c r="CQ3" s="197"/>
      <c r="CR3" s="197"/>
      <c r="CS3" s="197"/>
      <c r="CT3" s="197"/>
      <c r="CU3" s="197"/>
      <c r="CV3" s="197"/>
      <c r="CW3" s="197"/>
      <c r="CX3" s="197"/>
      <c r="CY3" s="197"/>
      <c r="CZ3" s="197"/>
      <c r="DA3" s="197"/>
      <c r="DB3" s="197"/>
      <c r="DC3" s="197"/>
      <c r="DD3" s="197"/>
      <c r="DE3" s="197"/>
      <c r="DF3" s="197"/>
      <c r="DG3" s="197"/>
      <c r="DH3" s="197"/>
      <c r="DI3" s="197"/>
      <c r="DJ3" s="197"/>
      <c r="DK3" s="197"/>
      <c r="DL3" s="197"/>
      <c r="DM3" s="197"/>
      <c r="DN3" s="197"/>
      <c r="DO3" s="197"/>
      <c r="DP3" s="197"/>
      <c r="DQ3" s="197"/>
      <c r="DR3" s="197"/>
      <c r="DS3" s="197"/>
      <c r="DT3" s="197"/>
      <c r="DU3" s="197"/>
      <c r="DV3" s="197"/>
      <c r="DW3" s="197"/>
      <c r="DX3" s="197"/>
      <c r="DY3" s="197"/>
      <c r="DZ3" s="197"/>
      <c r="EA3" s="197"/>
      <c r="EB3" s="197"/>
      <c r="EC3" s="197"/>
      <c r="ED3" s="197"/>
      <c r="EE3" s="197"/>
      <c r="EF3" s="197"/>
      <c r="EG3" s="197"/>
      <c r="EH3" s="197"/>
      <c r="EI3" s="197"/>
      <c r="EJ3" s="197"/>
      <c r="EK3" s="197"/>
      <c r="EL3" s="197"/>
      <c r="EM3" s="197"/>
      <c r="EN3" s="197"/>
      <c r="EO3" s="197"/>
      <c r="EP3" s="197"/>
      <c r="EQ3" s="197"/>
      <c r="ER3" s="197"/>
      <c r="ES3" s="197"/>
      <c r="ET3" s="197"/>
      <c r="EU3" s="197"/>
      <c r="EV3" s="197"/>
      <c r="EW3" s="197"/>
      <c r="EX3" s="197"/>
      <c r="EY3" s="197"/>
      <c r="EZ3" s="197"/>
      <c r="FA3" s="197"/>
      <c r="FB3" s="197"/>
      <c r="FC3" s="197"/>
      <c r="FD3" s="197"/>
      <c r="FE3" s="197"/>
      <c r="FF3" s="197"/>
      <c r="FG3" s="197"/>
      <c r="FH3" s="197"/>
      <c r="FI3" s="197"/>
      <c r="FJ3" s="197"/>
      <c r="FK3" s="197"/>
      <c r="FL3" s="197"/>
      <c r="FM3" s="197"/>
      <c r="FN3" s="197"/>
      <c r="FO3" s="197"/>
      <c r="FP3" s="197"/>
      <c r="FQ3" s="197"/>
      <c r="FR3" s="197"/>
      <c r="FS3" s="197"/>
      <c r="FT3" s="197"/>
      <c r="FU3" s="197"/>
      <c r="FV3" s="197"/>
      <c r="FW3" s="197"/>
      <c r="FX3" s="197"/>
      <c r="FY3" s="197"/>
      <c r="FZ3" s="197"/>
      <c r="GA3" s="197"/>
      <c r="GB3" s="197"/>
      <c r="GC3" s="197"/>
      <c r="GD3" s="197"/>
      <c r="GE3" s="197"/>
      <c r="GF3" s="197"/>
      <c r="GG3" s="197"/>
      <c r="GH3" s="197"/>
      <c r="GI3" s="197"/>
      <c r="GJ3" s="197"/>
      <c r="GK3" s="197"/>
      <c r="GL3" s="197"/>
      <c r="GM3" s="197"/>
      <c r="GN3" s="197"/>
      <c r="GO3" s="197"/>
      <c r="GP3" s="197"/>
      <c r="GQ3" s="197"/>
      <c r="GR3" s="197"/>
      <c r="GS3" s="197"/>
      <c r="GT3" s="197"/>
      <c r="GU3" s="197"/>
      <c r="GV3" s="197"/>
      <c r="GW3" s="197"/>
      <c r="GX3" s="197"/>
      <c r="GY3" s="197"/>
      <c r="GZ3" s="197"/>
      <c r="HA3" s="197"/>
      <c r="HB3" s="197"/>
      <c r="HC3" s="197"/>
      <c r="HD3" s="197"/>
      <c r="HE3" s="197"/>
      <c r="HF3" s="197"/>
      <c r="HG3" s="197"/>
      <c r="HH3" s="197"/>
      <c r="HI3" s="197"/>
      <c r="HJ3" s="197"/>
      <c r="HK3" s="197"/>
      <c r="HL3" s="197"/>
      <c r="HM3" s="197"/>
      <c r="HN3" s="197"/>
      <c r="HO3" s="197"/>
      <c r="HP3" s="197"/>
      <c r="HQ3" s="197"/>
      <c r="HR3" s="197"/>
      <c r="HS3" s="197"/>
      <c r="HT3" s="197"/>
      <c r="HU3" s="197"/>
      <c r="HV3" s="197"/>
      <c r="HW3" s="197"/>
      <c r="HX3" s="197"/>
      <c r="HY3" s="197"/>
      <c r="HZ3" s="197"/>
      <c r="IA3" s="197"/>
      <c r="IB3" s="197"/>
      <c r="IC3" s="197"/>
      <c r="ID3" s="197"/>
      <c r="IE3" s="197"/>
      <c r="IF3" s="197"/>
      <c r="IG3" s="197"/>
      <c r="IH3" s="197"/>
      <c r="II3" s="197"/>
      <c r="IJ3" s="197"/>
      <c r="IK3" s="197"/>
      <c r="IL3" s="197"/>
    </row>
    <row r="4" spans="1:246" ht="152.25" customHeight="1" x14ac:dyDescent="0.15">
      <c r="A4" s="15">
        <v>236</v>
      </c>
      <c r="B4" s="13"/>
      <c r="C4" s="16" t="s">
        <v>640</v>
      </c>
      <c r="D4" s="13" t="s">
        <v>24</v>
      </c>
      <c r="E4" s="13" t="s">
        <v>641</v>
      </c>
      <c r="F4" s="30">
        <v>44228</v>
      </c>
      <c r="G4" s="30">
        <v>44233</v>
      </c>
      <c r="H4" s="31">
        <v>44233</v>
      </c>
      <c r="I4" s="31">
        <v>44233</v>
      </c>
      <c r="J4" s="13" t="str">
        <f t="shared" ref="J4:J13" ca="1" si="0">IF(AND(I4&lt;=$C$2,I4&lt;&gt;0),"DONE",IF(K4&lt;0,"OVERDUE",IF(AND(K4="",O4&lt;0),"OVERDUE","IN TIME")))</f>
        <v>DONE</v>
      </c>
      <c r="K4" s="13">
        <f t="shared" ref="K4:K13" ca="1" si="1">IF(H4&gt;0,H4-$C$2,"")</f>
        <v>-244</v>
      </c>
      <c r="L4" s="13">
        <f t="shared" ref="L4:L13" ca="1" si="2">IF(J4="OVERDUE",1,0)</f>
        <v>0</v>
      </c>
      <c r="M4" s="13">
        <f t="shared" ref="M4:M13" ca="1" si="3">IF(J4="IN TIME",1,0)</f>
        <v>0</v>
      </c>
      <c r="N4" s="13">
        <f t="shared" ref="N4:N13" ca="1" si="4">IF(J4="DONE",1,0)</f>
        <v>1</v>
      </c>
      <c r="O4" s="13">
        <f t="shared" ref="O4:O13" ca="1" si="5">IF(G4&gt;0,G4-$C$2,"")</f>
        <v>-244</v>
      </c>
      <c r="P4" s="20" t="s">
        <v>642</v>
      </c>
      <c r="Q4" s="27"/>
      <c r="R4" s="27"/>
      <c r="S4" s="27"/>
      <c r="T4" s="27"/>
      <c r="U4" s="27"/>
      <c r="V4" s="27"/>
      <c r="W4" s="27"/>
      <c r="X4" s="27"/>
      <c r="Y4" s="27"/>
      <c r="Z4" s="27"/>
      <c r="AA4" s="27"/>
      <c r="AB4" s="27"/>
      <c r="AC4" s="27"/>
      <c r="AD4" s="27"/>
    </row>
    <row r="5" spans="1:246" ht="94.5" customHeight="1" x14ac:dyDescent="0.15">
      <c r="A5" s="15">
        <v>237</v>
      </c>
      <c r="B5" s="13"/>
      <c r="C5" s="16" t="s">
        <v>655</v>
      </c>
      <c r="D5" s="13" t="s">
        <v>24</v>
      </c>
      <c r="E5" s="13" t="s">
        <v>656</v>
      </c>
      <c r="F5" s="14">
        <v>44311</v>
      </c>
      <c r="G5" s="14"/>
      <c r="H5" s="14">
        <v>44347</v>
      </c>
      <c r="I5" s="14">
        <v>44403</v>
      </c>
      <c r="J5" s="13" t="str">
        <f t="shared" ca="1" si="0"/>
        <v>DONE</v>
      </c>
      <c r="K5" s="13">
        <f t="shared" ca="1" si="1"/>
        <v>-130</v>
      </c>
      <c r="L5" s="13">
        <f t="shared" ca="1" si="2"/>
        <v>0</v>
      </c>
      <c r="M5" s="13">
        <f t="shared" ca="1" si="3"/>
        <v>0</v>
      </c>
      <c r="N5" s="13">
        <f t="shared" ca="1" si="4"/>
        <v>1</v>
      </c>
      <c r="O5" s="13" t="str">
        <f t="shared" si="5"/>
        <v/>
      </c>
      <c r="P5" s="20" t="s">
        <v>702</v>
      </c>
      <c r="Q5" s="27"/>
      <c r="R5" s="27"/>
      <c r="S5" s="27"/>
      <c r="T5" s="27"/>
      <c r="U5" s="27"/>
      <c r="V5" s="27"/>
      <c r="W5" s="27"/>
      <c r="X5" s="27"/>
      <c r="Y5" s="27"/>
      <c r="Z5" s="27"/>
      <c r="AA5" s="27"/>
      <c r="AB5" s="27"/>
      <c r="AC5" s="27"/>
      <c r="AD5" s="27"/>
    </row>
    <row r="6" spans="1:246" ht="63.75" customHeight="1" x14ac:dyDescent="0.15">
      <c r="A6" s="15">
        <v>238</v>
      </c>
      <c r="B6" s="13"/>
      <c r="C6" s="16"/>
      <c r="D6" s="13"/>
      <c r="E6" s="13"/>
      <c r="F6" s="14"/>
      <c r="G6" s="14"/>
      <c r="H6" s="14"/>
      <c r="I6" s="14"/>
      <c r="J6" s="13"/>
      <c r="K6" s="13"/>
      <c r="L6" s="13"/>
      <c r="M6" s="13"/>
      <c r="N6" s="13"/>
      <c r="O6" s="13"/>
      <c r="P6" s="20"/>
      <c r="Q6" s="27"/>
      <c r="R6" s="27"/>
      <c r="S6" s="27"/>
      <c r="T6" s="27"/>
      <c r="U6" s="27"/>
      <c r="V6" s="27"/>
      <c r="W6" s="27"/>
      <c r="X6" s="27"/>
      <c r="Y6" s="27"/>
      <c r="Z6" s="27"/>
      <c r="AA6" s="27"/>
      <c r="AB6" s="27"/>
      <c r="AC6" s="27"/>
      <c r="AD6" s="27"/>
    </row>
    <row r="7" spans="1:246" ht="78.75" customHeight="1" x14ac:dyDescent="0.15">
      <c r="A7" s="15">
        <v>239</v>
      </c>
      <c r="B7" s="13"/>
      <c r="C7" s="16"/>
      <c r="D7" s="13"/>
      <c r="E7" s="13"/>
      <c r="F7" s="14"/>
      <c r="G7" s="14"/>
      <c r="H7" s="14"/>
      <c r="I7" s="14"/>
      <c r="J7" s="13"/>
      <c r="K7" s="13"/>
      <c r="L7" s="13"/>
      <c r="M7" s="13"/>
      <c r="N7" s="13"/>
      <c r="O7" s="13"/>
      <c r="P7" s="20"/>
      <c r="Q7" s="27"/>
      <c r="R7" s="27"/>
      <c r="S7" s="27"/>
      <c r="T7" s="27"/>
      <c r="U7" s="27"/>
      <c r="V7" s="27"/>
      <c r="W7" s="27"/>
      <c r="X7" s="27"/>
      <c r="Y7" s="27"/>
      <c r="Z7" s="27"/>
      <c r="AA7" s="27"/>
      <c r="AB7" s="27"/>
      <c r="AC7" s="27"/>
      <c r="AD7" s="27"/>
    </row>
    <row r="8" spans="1:246" ht="102" customHeight="1" x14ac:dyDescent="0.15">
      <c r="A8" s="15">
        <v>240</v>
      </c>
      <c r="B8" s="13"/>
      <c r="C8" s="12"/>
      <c r="D8" s="13"/>
      <c r="E8" s="13"/>
      <c r="F8" s="14"/>
      <c r="G8" s="14"/>
      <c r="H8" s="14"/>
      <c r="I8" s="14"/>
      <c r="J8" s="13"/>
      <c r="K8" s="13"/>
      <c r="L8" s="13"/>
      <c r="M8" s="13"/>
      <c r="N8" s="13"/>
      <c r="O8" s="13"/>
      <c r="P8" s="20"/>
      <c r="Q8" s="27"/>
      <c r="R8" s="27"/>
      <c r="S8" s="27"/>
      <c r="T8" s="27"/>
      <c r="U8" s="27"/>
      <c r="V8" s="27"/>
      <c r="W8" s="27"/>
      <c r="X8" s="27"/>
      <c r="Y8" s="27"/>
      <c r="Z8" s="27"/>
      <c r="AA8" s="27"/>
      <c r="AB8" s="27"/>
      <c r="AC8" s="27"/>
      <c r="AD8" s="27"/>
    </row>
    <row r="9" spans="1:246" ht="85.5" customHeight="1" x14ac:dyDescent="0.15">
      <c r="A9" s="15">
        <v>241</v>
      </c>
      <c r="B9" s="13"/>
      <c r="C9" s="16"/>
      <c r="D9" s="13"/>
      <c r="E9" s="13"/>
      <c r="F9" s="14"/>
      <c r="G9" s="14"/>
      <c r="H9" s="14"/>
      <c r="I9" s="14"/>
      <c r="J9" s="13"/>
      <c r="K9" s="13"/>
      <c r="L9" s="13"/>
      <c r="M9" s="13"/>
      <c r="N9" s="13"/>
      <c r="O9" s="13"/>
      <c r="P9" s="20"/>
      <c r="Q9" s="27"/>
      <c r="R9" s="27"/>
      <c r="S9" s="27"/>
      <c r="T9" s="27"/>
      <c r="U9" s="27"/>
      <c r="V9" s="27"/>
      <c r="W9" s="27"/>
      <c r="X9" s="27"/>
      <c r="Y9" s="27"/>
      <c r="Z9" s="27"/>
      <c r="AA9" s="27"/>
      <c r="AB9" s="27"/>
      <c r="AC9" s="27"/>
      <c r="AD9" s="27"/>
    </row>
    <row r="10" spans="1:246" s="162" customFormat="1" ht="51" customHeight="1" x14ac:dyDescent="0.15">
      <c r="A10" s="156">
        <v>242</v>
      </c>
      <c r="B10" s="157"/>
      <c r="C10" s="158"/>
      <c r="D10" s="157"/>
      <c r="E10" s="157"/>
      <c r="F10" s="159"/>
      <c r="G10" s="159"/>
      <c r="H10" s="159"/>
      <c r="I10" s="159"/>
      <c r="J10" s="157"/>
      <c r="K10" s="157"/>
      <c r="L10" s="157"/>
      <c r="M10" s="157"/>
      <c r="N10" s="157"/>
      <c r="O10" s="157"/>
      <c r="P10" s="160"/>
      <c r="Q10" s="161"/>
      <c r="R10" s="161"/>
      <c r="S10" s="161"/>
      <c r="T10" s="161"/>
      <c r="U10" s="161"/>
      <c r="V10" s="161"/>
      <c r="W10" s="161"/>
      <c r="X10" s="161"/>
      <c r="Y10" s="161"/>
      <c r="Z10" s="161"/>
      <c r="AA10" s="161"/>
      <c r="AB10" s="161"/>
      <c r="AC10" s="161"/>
      <c r="AD10" s="161"/>
    </row>
    <row r="11" spans="1:246" ht="24.6" customHeight="1" x14ac:dyDescent="0.15">
      <c r="A11" s="15">
        <v>243</v>
      </c>
      <c r="B11" s="13"/>
      <c r="C11" s="12"/>
      <c r="D11" s="13"/>
      <c r="E11" s="13"/>
      <c r="F11" s="14"/>
      <c r="G11" s="14"/>
      <c r="H11" s="14"/>
      <c r="I11" s="14"/>
      <c r="J11" s="13"/>
      <c r="K11" s="13"/>
      <c r="L11" s="13"/>
      <c r="M11" s="13"/>
      <c r="N11" s="13"/>
      <c r="O11" s="13"/>
      <c r="P11" s="20"/>
      <c r="Q11" s="27"/>
      <c r="R11" s="27"/>
      <c r="S11" s="27"/>
      <c r="T11" s="27"/>
      <c r="U11" s="27"/>
      <c r="V11" s="27"/>
      <c r="W11" s="27"/>
      <c r="X11" s="27"/>
      <c r="Y11" s="27"/>
      <c r="Z11" s="27"/>
      <c r="AA11" s="27"/>
      <c r="AB11" s="27"/>
      <c r="AC11" s="27"/>
      <c r="AD11" s="27"/>
    </row>
    <row r="12" spans="1:246" ht="24.6" customHeight="1" x14ac:dyDescent="0.15">
      <c r="A12" s="15">
        <v>244</v>
      </c>
      <c r="B12" s="13"/>
      <c r="C12" s="12"/>
      <c r="D12" s="13"/>
      <c r="E12" s="13"/>
      <c r="F12" s="14"/>
      <c r="G12" s="14"/>
      <c r="H12" s="14"/>
      <c r="I12" s="14"/>
      <c r="J12" s="13" t="str">
        <f t="shared" ca="1" si="0"/>
        <v>IN TIME</v>
      </c>
      <c r="K12" s="13" t="str">
        <f t="shared" si="1"/>
        <v/>
      </c>
      <c r="L12" s="13">
        <f t="shared" ca="1" si="2"/>
        <v>0</v>
      </c>
      <c r="M12" s="13">
        <f t="shared" ca="1" si="3"/>
        <v>1</v>
      </c>
      <c r="N12" s="13">
        <f t="shared" ca="1" si="4"/>
        <v>0</v>
      </c>
      <c r="O12" s="13" t="str">
        <f t="shared" si="5"/>
        <v/>
      </c>
      <c r="P12" s="20"/>
      <c r="Q12" s="27"/>
      <c r="R12" s="27"/>
      <c r="S12" s="27"/>
      <c r="T12" s="27"/>
      <c r="U12" s="27"/>
      <c r="V12" s="27"/>
      <c r="W12" s="27"/>
      <c r="X12" s="27"/>
      <c r="Y12" s="27"/>
      <c r="Z12" s="27"/>
      <c r="AA12" s="27"/>
      <c r="AB12" s="27"/>
      <c r="AC12" s="27"/>
      <c r="AD12" s="27"/>
    </row>
    <row r="13" spans="1:246" ht="24.6" customHeight="1" x14ac:dyDescent="0.15">
      <c r="A13" s="15">
        <v>245</v>
      </c>
      <c r="B13" s="13"/>
      <c r="C13" s="12"/>
      <c r="D13" s="13"/>
      <c r="E13" s="13"/>
      <c r="F13" s="14"/>
      <c r="G13" s="14"/>
      <c r="H13" s="14"/>
      <c r="I13" s="14"/>
      <c r="J13" s="13" t="str">
        <f t="shared" ca="1" si="0"/>
        <v>IN TIME</v>
      </c>
      <c r="K13" s="13" t="str">
        <f t="shared" si="1"/>
        <v/>
      </c>
      <c r="L13" s="13">
        <f t="shared" ca="1" si="2"/>
        <v>0</v>
      </c>
      <c r="M13" s="13">
        <f t="shared" ca="1" si="3"/>
        <v>1</v>
      </c>
      <c r="N13" s="13">
        <f t="shared" ca="1" si="4"/>
        <v>0</v>
      </c>
      <c r="O13" s="13" t="str">
        <f t="shared" si="5"/>
        <v/>
      </c>
      <c r="P13" s="20"/>
      <c r="Q13" s="27"/>
      <c r="R13" s="27"/>
      <c r="S13" s="27"/>
      <c r="T13" s="27"/>
      <c r="U13" s="27"/>
      <c r="V13" s="27"/>
      <c r="W13" s="27"/>
      <c r="X13" s="27"/>
      <c r="Y13" s="27"/>
      <c r="Z13" s="27"/>
      <c r="AA13" s="27"/>
      <c r="AB13" s="27"/>
      <c r="AC13" s="27"/>
      <c r="AD13" s="27"/>
    </row>
  </sheetData>
  <autoFilter ref="A3:P13"/>
  <mergeCells count="2">
    <mergeCell ref="A1:P1"/>
    <mergeCell ref="A2:B2"/>
  </mergeCells>
  <phoneticPr fontId="34" type="noConversion"/>
  <conditionalFormatting sqref="J4">
    <cfRule type="cellIs" dxfId="98" priority="25" operator="equal">
      <formula>"OVERDUE"</formula>
    </cfRule>
    <cfRule type="cellIs" dxfId="97" priority="26" operator="equal">
      <formula>"DONE"</formula>
    </cfRule>
    <cfRule type="cellIs" dxfId="96" priority="27" operator="equal">
      <formula>"DONE"</formula>
    </cfRule>
  </conditionalFormatting>
  <conditionalFormatting sqref="J5">
    <cfRule type="cellIs" dxfId="95" priority="22" operator="equal">
      <formula>"OVERDUE"</formula>
    </cfRule>
    <cfRule type="cellIs" dxfId="94" priority="23" operator="equal">
      <formula>"DONE"</formula>
    </cfRule>
    <cfRule type="cellIs" dxfId="93" priority="24" operator="equal">
      <formula>"DONE"</formula>
    </cfRule>
  </conditionalFormatting>
  <conditionalFormatting sqref="J6:J7">
    <cfRule type="cellIs" dxfId="92" priority="19" operator="equal">
      <formula>"OVERDUE"</formula>
    </cfRule>
    <cfRule type="cellIs" dxfId="91" priority="20" operator="equal">
      <formula>"DONE"</formula>
    </cfRule>
    <cfRule type="cellIs" dxfId="90" priority="21" operator="equal">
      <formula>"DONE"</formula>
    </cfRule>
  </conditionalFormatting>
  <conditionalFormatting sqref="J8">
    <cfRule type="cellIs" dxfId="89" priority="16" operator="equal">
      <formula>"OVERDUE"</formula>
    </cfRule>
    <cfRule type="cellIs" dxfId="88" priority="17" operator="equal">
      <formula>"DONE"</formula>
    </cfRule>
    <cfRule type="cellIs" dxfId="87" priority="18" operator="equal">
      <formula>"DONE"</formula>
    </cfRule>
  </conditionalFormatting>
  <conditionalFormatting sqref="J9">
    <cfRule type="cellIs" dxfId="86" priority="13" operator="equal">
      <formula>"OVERDUE"</formula>
    </cfRule>
    <cfRule type="cellIs" dxfId="85" priority="14" operator="equal">
      <formula>"DONE"</formula>
    </cfRule>
    <cfRule type="cellIs" dxfId="84" priority="15" operator="equal">
      <formula>"DONE"</formula>
    </cfRule>
  </conditionalFormatting>
  <conditionalFormatting sqref="J10">
    <cfRule type="cellIs" dxfId="83" priority="10" operator="equal">
      <formula>"OVERDUE"</formula>
    </cfRule>
    <cfRule type="cellIs" dxfId="82" priority="11" operator="equal">
      <formula>"DONE"</formula>
    </cfRule>
    <cfRule type="cellIs" dxfId="81" priority="12" operator="equal">
      <formula>"DONE"</formula>
    </cfRule>
  </conditionalFormatting>
  <conditionalFormatting sqref="J11">
    <cfRule type="cellIs" dxfId="80" priority="7" operator="equal">
      <formula>"OVERDUE"</formula>
    </cfRule>
    <cfRule type="cellIs" dxfId="79" priority="8" operator="equal">
      <formula>"DONE"</formula>
    </cfRule>
    <cfRule type="cellIs" dxfId="78" priority="9" operator="equal">
      <formula>"DONE"</formula>
    </cfRule>
  </conditionalFormatting>
  <conditionalFormatting sqref="J12">
    <cfRule type="cellIs" dxfId="77" priority="4" operator="equal">
      <formula>"OVERDUE"</formula>
    </cfRule>
    <cfRule type="cellIs" dxfId="76" priority="5" operator="equal">
      <formula>"DONE"</formula>
    </cfRule>
    <cfRule type="cellIs" dxfId="75" priority="6" operator="equal">
      <formula>"DONE"</formula>
    </cfRule>
  </conditionalFormatting>
  <conditionalFormatting sqref="J13">
    <cfRule type="cellIs" dxfId="74" priority="1" operator="equal">
      <formula>"OVERDUE"</formula>
    </cfRule>
    <cfRule type="cellIs" dxfId="73" priority="2" operator="equal">
      <formula>"DONE"</formula>
    </cfRule>
    <cfRule type="cellIs" dxfId="72" priority="3" operator="equal">
      <formula>"DONE"</formula>
    </cfRule>
  </conditionalFormatting>
  <conditionalFormatting sqref="J2:J3 J14:J1048576">
    <cfRule type="cellIs" dxfId="71" priority="28" operator="equal">
      <formula>"OVERDUE"</formula>
    </cfRule>
    <cfRule type="cellIs" dxfId="70" priority="29" operator="equal">
      <formula>"DONE"</formula>
    </cfRule>
    <cfRule type="cellIs" dxfId="69" priority="30" operator="equal">
      <formula>"DONE"</formula>
    </cfRule>
  </conditionalFormatting>
  <dataValidations count="1">
    <dataValidation type="list" allowBlank="1" showInputMessage="1" showErrorMessage="1" sqref="D1:D1048576">
      <formula1>"高,中,低"</formula1>
    </dataValidation>
  </dataValidations>
  <pageMargins left="0.51180555555555596" right="0" top="0.35416666666666702" bottom="0.39305555555555599" header="0.31388888888888899" footer="0.31388888888888899"/>
  <pageSetup paperSize="9"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2529" r:id="rId4" name="Button 1">
              <controlPr defaultSize="0" print="0" autoPict="0" macro="[0]!Insert_Line_moban">
                <anchor moveWithCells="1">
                  <from>
                    <xdr:col>0</xdr:col>
                    <xdr:colOff>104775</xdr:colOff>
                    <xdr:row>13</xdr:row>
                    <xdr:rowOff>85725</xdr:rowOff>
                  </from>
                  <to>
                    <xdr:col>2</xdr:col>
                    <xdr:colOff>695325</xdr:colOff>
                    <xdr:row>14</xdr:row>
                    <xdr:rowOff>161925</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tabColor rgb="FF92D050"/>
  </sheetPr>
  <dimension ref="A1:IL12"/>
  <sheetViews>
    <sheetView workbookViewId="0">
      <pane ySplit="3" topLeftCell="A4" activePane="bottomLeft" state="frozen"/>
      <selection activeCell="C76" sqref="C76"/>
      <selection pane="bottomLeft" activeCell="P5" sqref="P5"/>
    </sheetView>
  </sheetViews>
  <sheetFormatPr defaultColWidth="9" defaultRowHeight="14.25" x14ac:dyDescent="0.15"/>
  <cols>
    <col min="1" max="1" width="5.375" style="1" customWidth="1"/>
    <col min="2" max="2" width="4.25" style="1" customWidth="1"/>
    <col min="3" max="3" width="33.625" style="1" customWidth="1"/>
    <col min="4" max="4" width="6" style="2" customWidth="1"/>
    <col min="5" max="5" width="10.375" style="1" customWidth="1"/>
    <col min="6" max="6" width="11.75" style="1" customWidth="1"/>
    <col min="7" max="7" width="12.75" style="1" customWidth="1"/>
    <col min="8" max="8" width="12" style="1" customWidth="1"/>
    <col min="9" max="9" width="10.75" style="1" customWidth="1"/>
    <col min="10" max="10" width="8.625" style="1" customWidth="1"/>
    <col min="11" max="11" width="19.375" style="1" hidden="1" customWidth="1"/>
    <col min="12" max="14" width="9" style="1" hidden="1" customWidth="1"/>
    <col min="15" max="15" width="0.25" style="1" hidden="1" customWidth="1"/>
    <col min="16" max="16" width="34.75" style="1" customWidth="1"/>
    <col min="17" max="17" width="43" style="3" customWidth="1"/>
    <col min="18" max="16384" width="9" style="4"/>
  </cols>
  <sheetData>
    <row r="1" spans="1:246" ht="41.25" customHeight="1" x14ac:dyDescent="0.15">
      <c r="A1" s="214" t="s">
        <v>0</v>
      </c>
      <c r="B1" s="214"/>
      <c r="C1" s="214"/>
      <c r="D1" s="214"/>
      <c r="E1" s="214"/>
      <c r="F1" s="214"/>
      <c r="G1" s="214"/>
      <c r="H1" s="214"/>
      <c r="I1" s="214"/>
      <c r="J1" s="214"/>
      <c r="K1" s="214"/>
      <c r="L1" s="214"/>
      <c r="M1" s="214"/>
      <c r="N1" s="214"/>
      <c r="O1" s="214"/>
      <c r="P1" s="214"/>
      <c r="Q1" s="21"/>
      <c r="R1" s="22"/>
      <c r="S1" s="22"/>
      <c r="T1" s="22"/>
      <c r="U1" s="22"/>
      <c r="V1" s="22"/>
      <c r="W1" s="22"/>
      <c r="X1" s="22"/>
      <c r="Y1" s="22"/>
      <c r="Z1" s="22"/>
      <c r="AA1" s="22"/>
      <c r="AB1" s="22"/>
      <c r="AC1" s="22"/>
      <c r="AD1" s="22"/>
      <c r="AE1" s="22"/>
      <c r="AF1" s="22"/>
      <c r="AG1" s="22"/>
      <c r="AH1" s="22"/>
      <c r="AI1" s="22"/>
      <c r="AJ1" s="22"/>
      <c r="AK1" s="22"/>
      <c r="AL1" s="22"/>
      <c r="AM1" s="22"/>
      <c r="AN1" s="22"/>
      <c r="AO1" s="22"/>
      <c r="AP1" s="22"/>
      <c r="AQ1" s="22"/>
      <c r="AR1" s="22"/>
      <c r="AS1" s="22"/>
      <c r="AT1" s="22"/>
      <c r="AU1" s="22"/>
      <c r="AV1" s="22"/>
      <c r="AW1" s="22"/>
      <c r="AX1" s="22"/>
      <c r="AY1" s="22"/>
      <c r="AZ1" s="22"/>
      <c r="BA1" s="22"/>
      <c r="BB1" s="22"/>
      <c r="BC1" s="22"/>
      <c r="BD1" s="22"/>
      <c r="BE1" s="22"/>
      <c r="BF1" s="22"/>
      <c r="BG1" s="22"/>
      <c r="BH1" s="22"/>
      <c r="BI1" s="22"/>
      <c r="BJ1" s="22"/>
      <c r="BK1" s="22"/>
      <c r="BL1" s="22"/>
      <c r="BM1" s="22"/>
      <c r="BN1" s="22"/>
      <c r="BO1" s="22"/>
      <c r="BP1" s="22"/>
      <c r="BQ1" s="22"/>
      <c r="BR1" s="22"/>
      <c r="BS1" s="22"/>
      <c r="BT1" s="22"/>
      <c r="BU1" s="22"/>
      <c r="BV1" s="22"/>
      <c r="BW1" s="22"/>
      <c r="BX1" s="22"/>
      <c r="BY1" s="22"/>
      <c r="BZ1" s="22"/>
      <c r="CA1" s="22"/>
      <c r="CB1" s="22"/>
      <c r="CC1" s="22"/>
      <c r="CD1" s="22"/>
      <c r="CE1" s="22"/>
      <c r="CF1" s="22"/>
      <c r="CG1" s="22"/>
      <c r="CH1" s="22"/>
      <c r="CI1" s="22"/>
      <c r="CJ1" s="22"/>
      <c r="CK1" s="22"/>
      <c r="CL1" s="22"/>
      <c r="CM1" s="22"/>
      <c r="CN1" s="22"/>
      <c r="CO1" s="22"/>
      <c r="CP1" s="22"/>
      <c r="CQ1" s="22"/>
      <c r="CR1" s="22"/>
      <c r="CS1" s="22"/>
      <c r="CT1" s="22"/>
      <c r="CU1" s="22"/>
      <c r="CV1" s="22"/>
      <c r="CW1" s="22"/>
      <c r="CX1" s="22"/>
      <c r="CY1" s="22"/>
      <c r="CZ1" s="22"/>
      <c r="DA1" s="22"/>
      <c r="DB1" s="22"/>
      <c r="DC1" s="22"/>
      <c r="DD1" s="22"/>
      <c r="DE1" s="22"/>
      <c r="DF1" s="22"/>
      <c r="DG1" s="22"/>
      <c r="DH1" s="22"/>
      <c r="DI1" s="22"/>
      <c r="DJ1" s="22"/>
      <c r="DK1" s="22"/>
      <c r="DL1" s="22"/>
      <c r="DM1" s="22"/>
      <c r="DN1" s="22"/>
      <c r="DO1" s="22"/>
      <c r="DP1" s="22"/>
      <c r="DQ1" s="22"/>
      <c r="DR1" s="22"/>
      <c r="DS1" s="22"/>
      <c r="DT1" s="22"/>
      <c r="DU1" s="22"/>
      <c r="DV1" s="22"/>
      <c r="DW1" s="22"/>
      <c r="DX1" s="22"/>
      <c r="DY1" s="22"/>
      <c r="DZ1" s="22"/>
      <c r="EA1" s="22"/>
      <c r="EB1" s="22"/>
      <c r="EC1" s="22"/>
      <c r="ED1" s="22"/>
      <c r="EE1" s="22"/>
      <c r="EF1" s="22"/>
      <c r="EG1" s="22"/>
      <c r="EH1" s="22"/>
      <c r="EI1" s="22"/>
      <c r="EJ1" s="22"/>
      <c r="EK1" s="22"/>
      <c r="EL1" s="22"/>
      <c r="EM1" s="22"/>
      <c r="EN1" s="22"/>
      <c r="EO1" s="22"/>
      <c r="EP1" s="22"/>
      <c r="EQ1" s="22"/>
      <c r="ER1" s="22"/>
      <c r="ES1" s="22"/>
      <c r="ET1" s="22"/>
      <c r="EU1" s="22"/>
      <c r="EV1" s="22"/>
      <c r="EW1" s="22"/>
      <c r="EX1" s="22"/>
      <c r="EY1" s="22"/>
      <c r="EZ1" s="22"/>
      <c r="FA1" s="22"/>
      <c r="FB1" s="22"/>
      <c r="FC1" s="22"/>
      <c r="FD1" s="22"/>
      <c r="FE1" s="22"/>
      <c r="FF1" s="22"/>
      <c r="FG1" s="22"/>
      <c r="FH1" s="22"/>
      <c r="FI1" s="22"/>
      <c r="FJ1" s="22"/>
      <c r="FK1" s="22"/>
      <c r="FL1" s="22"/>
      <c r="FM1" s="22"/>
      <c r="FN1" s="22"/>
      <c r="FO1" s="22"/>
      <c r="FP1" s="22"/>
      <c r="FQ1" s="22"/>
      <c r="FR1" s="22"/>
      <c r="FS1" s="22"/>
      <c r="FT1" s="22"/>
      <c r="FU1" s="22"/>
      <c r="FV1" s="22"/>
      <c r="FW1" s="22"/>
      <c r="FX1" s="22"/>
      <c r="FY1" s="22"/>
      <c r="FZ1" s="22"/>
      <c r="GA1" s="22"/>
      <c r="GB1" s="22"/>
      <c r="GC1" s="22"/>
      <c r="GD1" s="22"/>
      <c r="GE1" s="22"/>
      <c r="GF1" s="22"/>
      <c r="GG1" s="22"/>
      <c r="GH1" s="22"/>
      <c r="GI1" s="22"/>
      <c r="GJ1" s="22"/>
      <c r="GK1" s="22"/>
      <c r="GL1" s="22"/>
      <c r="GM1" s="22"/>
      <c r="GN1" s="22"/>
      <c r="GO1" s="22"/>
      <c r="GP1" s="22"/>
      <c r="GQ1" s="22"/>
      <c r="GR1" s="22"/>
      <c r="GS1" s="22"/>
      <c r="GT1" s="22"/>
      <c r="GU1" s="22"/>
      <c r="GV1" s="22"/>
      <c r="GW1" s="22"/>
      <c r="GX1" s="22"/>
      <c r="GY1" s="22"/>
      <c r="GZ1" s="22"/>
      <c r="HA1" s="22"/>
      <c r="HB1" s="22"/>
      <c r="HC1" s="22"/>
      <c r="HD1" s="22"/>
      <c r="HE1" s="22"/>
      <c r="HF1" s="22"/>
      <c r="HG1" s="22"/>
      <c r="HH1" s="22"/>
      <c r="HI1" s="22"/>
      <c r="HJ1" s="22"/>
      <c r="HK1" s="22"/>
      <c r="HL1" s="22"/>
      <c r="HM1" s="22"/>
      <c r="HN1" s="22"/>
      <c r="HO1" s="22"/>
      <c r="HP1" s="22"/>
      <c r="HQ1" s="22"/>
      <c r="HR1" s="22"/>
      <c r="HS1" s="22"/>
      <c r="HT1" s="22"/>
      <c r="HU1" s="22"/>
      <c r="HV1" s="22"/>
      <c r="HW1" s="22"/>
      <c r="HX1" s="22"/>
      <c r="HY1" s="22"/>
      <c r="HZ1" s="22"/>
      <c r="IA1" s="22"/>
      <c r="IB1" s="22"/>
      <c r="IC1" s="22"/>
      <c r="ID1" s="22"/>
      <c r="IE1" s="22"/>
      <c r="IF1" s="22"/>
      <c r="IG1" s="22"/>
      <c r="IH1" s="22"/>
      <c r="II1" s="22"/>
      <c r="IJ1" s="22"/>
      <c r="IK1" s="22"/>
      <c r="IL1" s="22"/>
    </row>
    <row r="2" spans="1:246" ht="18.75" customHeight="1" x14ac:dyDescent="0.2">
      <c r="A2" s="215" t="s">
        <v>1</v>
      </c>
      <c r="B2" s="215"/>
      <c r="C2" s="5">
        <f ca="1">TODAY()</f>
        <v>44477</v>
      </c>
      <c r="D2" s="6" t="s">
        <v>2</v>
      </c>
      <c r="E2" s="7"/>
      <c r="F2" s="8"/>
      <c r="G2" s="8"/>
      <c r="H2" s="8"/>
      <c r="I2" s="8"/>
      <c r="J2" s="8"/>
      <c r="K2" s="17"/>
      <c r="L2" s="17"/>
      <c r="M2" s="17"/>
      <c r="N2" s="17"/>
      <c r="O2" s="17"/>
      <c r="P2" s="18"/>
      <c r="Q2" s="23"/>
      <c r="R2" s="24"/>
      <c r="S2" s="24"/>
      <c r="T2" s="24"/>
      <c r="U2" s="24"/>
      <c r="V2" s="24"/>
      <c r="W2" s="24"/>
      <c r="X2" s="24"/>
      <c r="Y2" s="24"/>
      <c r="Z2" s="24"/>
      <c r="AA2" s="24"/>
      <c r="AB2" s="24"/>
      <c r="AC2" s="24"/>
      <c r="AD2" s="24"/>
      <c r="AE2" s="24"/>
      <c r="AF2" s="24"/>
      <c r="AG2" s="24"/>
      <c r="AH2" s="24"/>
      <c r="AI2" s="24"/>
      <c r="AJ2" s="24"/>
      <c r="AK2" s="24"/>
      <c r="AL2" s="24"/>
      <c r="AM2" s="24"/>
      <c r="AN2" s="24"/>
      <c r="AO2" s="24"/>
      <c r="AP2" s="24"/>
      <c r="AQ2" s="24"/>
      <c r="AR2" s="24"/>
      <c r="AS2" s="24"/>
      <c r="AT2" s="24"/>
      <c r="AU2" s="24"/>
      <c r="AV2" s="24"/>
      <c r="AW2" s="24"/>
      <c r="AX2" s="24"/>
      <c r="AY2" s="24"/>
      <c r="AZ2" s="24"/>
      <c r="BA2" s="24"/>
      <c r="BB2" s="24"/>
      <c r="BC2" s="24"/>
      <c r="BD2" s="24"/>
      <c r="BE2" s="24"/>
      <c r="BF2" s="24"/>
      <c r="BG2" s="24"/>
      <c r="BH2" s="24"/>
      <c r="BI2" s="24"/>
      <c r="BJ2" s="24"/>
      <c r="BK2" s="24"/>
      <c r="BL2" s="24"/>
      <c r="BM2" s="24"/>
      <c r="BN2" s="24"/>
      <c r="BO2" s="24"/>
      <c r="BP2" s="24"/>
      <c r="BQ2" s="24"/>
      <c r="BR2" s="24"/>
      <c r="BS2" s="24"/>
      <c r="BT2" s="24"/>
      <c r="BU2" s="24"/>
      <c r="BV2" s="24"/>
      <c r="BW2" s="24"/>
      <c r="BX2" s="24"/>
      <c r="BY2" s="24"/>
      <c r="BZ2" s="24"/>
      <c r="CA2" s="24"/>
      <c r="CB2" s="24"/>
      <c r="CC2" s="24"/>
      <c r="CD2" s="24"/>
      <c r="CE2" s="24"/>
      <c r="CF2" s="24"/>
      <c r="CG2" s="24"/>
      <c r="CH2" s="24"/>
      <c r="CI2" s="24"/>
      <c r="CJ2" s="24"/>
      <c r="CK2" s="24"/>
      <c r="CL2" s="24"/>
      <c r="CM2" s="24"/>
      <c r="CN2" s="24"/>
      <c r="CO2" s="24"/>
      <c r="CP2" s="24"/>
      <c r="CQ2" s="24"/>
      <c r="CR2" s="24"/>
      <c r="CS2" s="24"/>
      <c r="CT2" s="24"/>
      <c r="CU2" s="24"/>
      <c r="CV2" s="24"/>
      <c r="CW2" s="24"/>
      <c r="CX2" s="24"/>
      <c r="CY2" s="24"/>
      <c r="CZ2" s="24"/>
      <c r="DA2" s="24"/>
      <c r="DB2" s="24"/>
      <c r="DC2" s="24"/>
      <c r="DD2" s="24"/>
      <c r="DE2" s="24"/>
      <c r="DF2" s="24"/>
      <c r="DG2" s="24"/>
      <c r="DH2" s="24"/>
      <c r="DI2" s="24"/>
      <c r="DJ2" s="24"/>
      <c r="DK2" s="24"/>
      <c r="DL2" s="24"/>
      <c r="DM2" s="24"/>
      <c r="DN2" s="24"/>
      <c r="DO2" s="24"/>
      <c r="DP2" s="24"/>
      <c r="DQ2" s="24"/>
      <c r="DR2" s="24"/>
      <c r="DS2" s="24"/>
      <c r="DT2" s="24"/>
      <c r="DU2" s="24"/>
      <c r="DV2" s="24"/>
      <c r="DW2" s="24"/>
      <c r="DX2" s="24"/>
      <c r="DY2" s="24"/>
      <c r="DZ2" s="24"/>
      <c r="EA2" s="24"/>
      <c r="EB2" s="24"/>
      <c r="EC2" s="24"/>
      <c r="ED2" s="24"/>
      <c r="EE2" s="24"/>
      <c r="EF2" s="24"/>
      <c r="EG2" s="24"/>
      <c r="EH2" s="24"/>
      <c r="EI2" s="24"/>
      <c r="EJ2" s="24"/>
      <c r="EK2" s="24"/>
      <c r="EL2" s="24"/>
      <c r="EM2" s="24"/>
      <c r="EN2" s="24"/>
      <c r="EO2" s="24"/>
      <c r="EP2" s="24"/>
      <c r="EQ2" s="24"/>
      <c r="ER2" s="24"/>
      <c r="ES2" s="24"/>
      <c r="ET2" s="24"/>
      <c r="EU2" s="24"/>
      <c r="EV2" s="24"/>
      <c r="EW2" s="24"/>
      <c r="EX2" s="24"/>
      <c r="EY2" s="24"/>
      <c r="EZ2" s="24"/>
      <c r="FA2" s="24"/>
      <c r="FB2" s="24"/>
      <c r="FC2" s="24"/>
      <c r="FD2" s="24"/>
      <c r="FE2" s="24"/>
      <c r="FF2" s="24"/>
      <c r="FG2" s="24"/>
      <c r="FH2" s="24"/>
      <c r="FI2" s="24"/>
      <c r="FJ2" s="24"/>
      <c r="FK2" s="24"/>
      <c r="FL2" s="24"/>
      <c r="FM2" s="24"/>
      <c r="FN2" s="24"/>
      <c r="FO2" s="24"/>
      <c r="FP2" s="24"/>
      <c r="FQ2" s="24"/>
      <c r="FR2" s="24"/>
      <c r="FS2" s="24"/>
      <c r="FT2" s="24"/>
      <c r="FU2" s="24"/>
      <c r="FV2" s="24"/>
      <c r="FW2" s="24"/>
      <c r="FX2" s="24"/>
      <c r="FY2" s="24"/>
      <c r="FZ2" s="24"/>
      <c r="GA2" s="24"/>
      <c r="GB2" s="24"/>
      <c r="GC2" s="24"/>
      <c r="GD2" s="24"/>
      <c r="GE2" s="24"/>
      <c r="GF2" s="24"/>
      <c r="GG2" s="24"/>
      <c r="GH2" s="24"/>
      <c r="GI2" s="24"/>
      <c r="GJ2" s="24"/>
      <c r="GK2" s="24"/>
      <c r="GL2" s="24"/>
      <c r="GM2" s="24"/>
      <c r="GN2" s="24"/>
      <c r="GO2" s="24"/>
      <c r="GP2" s="24"/>
      <c r="GQ2" s="24"/>
      <c r="GR2" s="24"/>
      <c r="GS2" s="24"/>
      <c r="GT2" s="24"/>
      <c r="GU2" s="24"/>
      <c r="GV2" s="24"/>
      <c r="GW2" s="24"/>
      <c r="GX2" s="24"/>
      <c r="GY2" s="24"/>
      <c r="GZ2" s="24"/>
      <c r="HA2" s="24"/>
      <c r="HB2" s="24"/>
      <c r="HC2" s="24"/>
      <c r="HD2" s="24"/>
      <c r="HE2" s="24"/>
      <c r="HF2" s="24"/>
      <c r="HG2" s="24"/>
      <c r="HH2" s="24"/>
      <c r="HI2" s="24"/>
      <c r="HJ2" s="24"/>
      <c r="HK2" s="24"/>
      <c r="HL2" s="24"/>
      <c r="HM2" s="24"/>
      <c r="HN2" s="24"/>
      <c r="HO2" s="24"/>
      <c r="HP2" s="24"/>
      <c r="HQ2" s="24"/>
      <c r="HR2" s="24"/>
      <c r="HS2" s="24"/>
      <c r="HT2" s="24"/>
      <c r="HU2" s="24"/>
      <c r="HV2" s="24"/>
      <c r="HW2" s="24"/>
      <c r="HX2" s="24"/>
      <c r="HY2" s="24"/>
      <c r="HZ2" s="24"/>
      <c r="IA2" s="24"/>
      <c r="IB2" s="24"/>
      <c r="IC2" s="24"/>
      <c r="ID2" s="24"/>
      <c r="IE2" s="24"/>
      <c r="IF2" s="24"/>
      <c r="IG2" s="24"/>
      <c r="IH2" s="24"/>
      <c r="II2" s="24"/>
      <c r="IJ2" s="24"/>
      <c r="IK2" s="24"/>
      <c r="IL2" s="24"/>
    </row>
    <row r="3" spans="1:246" ht="39" customHeight="1" x14ac:dyDescent="0.15">
      <c r="A3" s="9" t="s">
        <v>3</v>
      </c>
      <c r="B3" s="9" t="s">
        <v>4</v>
      </c>
      <c r="C3" s="9" t="s">
        <v>5</v>
      </c>
      <c r="D3" s="9" t="s">
        <v>6</v>
      </c>
      <c r="E3" s="9" t="s">
        <v>7</v>
      </c>
      <c r="F3" s="9" t="s">
        <v>8</v>
      </c>
      <c r="G3" s="9" t="s">
        <v>9</v>
      </c>
      <c r="H3" s="9" t="s">
        <v>10</v>
      </c>
      <c r="I3" s="9" t="s">
        <v>11</v>
      </c>
      <c r="J3" s="9" t="s">
        <v>12</v>
      </c>
      <c r="K3" s="9" t="s">
        <v>13</v>
      </c>
      <c r="L3" s="9" t="s">
        <v>14</v>
      </c>
      <c r="M3" s="9" t="s">
        <v>15</v>
      </c>
      <c r="N3" s="9" t="s">
        <v>16</v>
      </c>
      <c r="O3" s="9" t="s">
        <v>17</v>
      </c>
      <c r="P3" s="19" t="s">
        <v>18</v>
      </c>
      <c r="Q3" s="37"/>
      <c r="R3" s="198"/>
      <c r="S3" s="198"/>
      <c r="T3" s="198"/>
      <c r="U3" s="198"/>
      <c r="V3" s="198"/>
      <c r="W3" s="198"/>
      <c r="X3" s="198"/>
      <c r="Y3" s="198"/>
      <c r="Z3" s="198"/>
      <c r="AA3" s="198"/>
      <c r="AB3" s="198"/>
      <c r="AC3" s="198"/>
      <c r="AD3" s="198"/>
      <c r="AE3" s="198"/>
      <c r="AF3" s="198"/>
      <c r="AG3" s="198"/>
      <c r="AH3" s="198"/>
      <c r="AI3" s="198"/>
      <c r="AJ3" s="198"/>
      <c r="AK3" s="198"/>
      <c r="AL3" s="198"/>
      <c r="AM3" s="198"/>
      <c r="AN3" s="198"/>
      <c r="AO3" s="198"/>
      <c r="AP3" s="198"/>
      <c r="AQ3" s="198"/>
      <c r="AR3" s="198"/>
      <c r="AS3" s="198"/>
      <c r="AT3" s="198"/>
      <c r="AU3" s="198"/>
      <c r="AV3" s="198"/>
      <c r="AW3" s="198"/>
      <c r="AX3" s="198"/>
      <c r="AY3" s="198"/>
      <c r="AZ3" s="198"/>
      <c r="BA3" s="198"/>
      <c r="BB3" s="198"/>
      <c r="BC3" s="198"/>
      <c r="BD3" s="198"/>
      <c r="BE3" s="198"/>
      <c r="BF3" s="198"/>
      <c r="BG3" s="198"/>
      <c r="BH3" s="198"/>
      <c r="BI3" s="198"/>
      <c r="BJ3" s="198"/>
      <c r="BK3" s="198"/>
      <c r="BL3" s="198"/>
      <c r="BM3" s="198"/>
      <c r="BN3" s="198"/>
      <c r="BO3" s="198"/>
      <c r="BP3" s="198"/>
      <c r="BQ3" s="198"/>
      <c r="BR3" s="198"/>
      <c r="BS3" s="198"/>
      <c r="BT3" s="198"/>
      <c r="BU3" s="198"/>
      <c r="BV3" s="198"/>
      <c r="BW3" s="198"/>
      <c r="BX3" s="198"/>
      <c r="BY3" s="198"/>
      <c r="BZ3" s="198"/>
      <c r="CA3" s="198"/>
      <c r="CB3" s="198"/>
      <c r="CC3" s="198"/>
      <c r="CD3" s="198"/>
      <c r="CE3" s="198"/>
      <c r="CF3" s="198"/>
      <c r="CG3" s="198"/>
      <c r="CH3" s="198"/>
      <c r="CI3" s="198"/>
      <c r="CJ3" s="198"/>
      <c r="CK3" s="198"/>
      <c r="CL3" s="198"/>
      <c r="CM3" s="198"/>
      <c r="CN3" s="198"/>
      <c r="CO3" s="198"/>
      <c r="CP3" s="198"/>
      <c r="CQ3" s="198"/>
      <c r="CR3" s="198"/>
      <c r="CS3" s="198"/>
      <c r="CT3" s="198"/>
      <c r="CU3" s="198"/>
      <c r="CV3" s="198"/>
      <c r="CW3" s="198"/>
      <c r="CX3" s="198"/>
      <c r="CY3" s="198"/>
      <c r="CZ3" s="198"/>
      <c r="DA3" s="198"/>
      <c r="DB3" s="198"/>
      <c r="DC3" s="198"/>
      <c r="DD3" s="198"/>
      <c r="DE3" s="198"/>
      <c r="DF3" s="198"/>
      <c r="DG3" s="198"/>
      <c r="DH3" s="198"/>
      <c r="DI3" s="198"/>
      <c r="DJ3" s="198"/>
      <c r="DK3" s="198"/>
      <c r="DL3" s="198"/>
      <c r="DM3" s="198"/>
      <c r="DN3" s="198"/>
      <c r="DO3" s="198"/>
      <c r="DP3" s="198"/>
      <c r="DQ3" s="198"/>
      <c r="DR3" s="198"/>
      <c r="DS3" s="198"/>
      <c r="DT3" s="198"/>
      <c r="DU3" s="198"/>
      <c r="DV3" s="198"/>
      <c r="DW3" s="198"/>
      <c r="DX3" s="198"/>
      <c r="DY3" s="198"/>
      <c r="DZ3" s="198"/>
      <c r="EA3" s="198"/>
      <c r="EB3" s="198"/>
      <c r="EC3" s="198"/>
      <c r="ED3" s="198"/>
      <c r="EE3" s="198"/>
      <c r="EF3" s="198"/>
      <c r="EG3" s="198"/>
      <c r="EH3" s="198"/>
      <c r="EI3" s="198"/>
      <c r="EJ3" s="198"/>
      <c r="EK3" s="198"/>
      <c r="EL3" s="198"/>
      <c r="EM3" s="198"/>
      <c r="EN3" s="198"/>
      <c r="EO3" s="198"/>
      <c r="EP3" s="198"/>
      <c r="EQ3" s="198"/>
      <c r="ER3" s="198"/>
      <c r="ES3" s="198"/>
      <c r="ET3" s="198"/>
      <c r="EU3" s="198"/>
      <c r="EV3" s="198"/>
      <c r="EW3" s="198"/>
      <c r="EX3" s="198"/>
      <c r="EY3" s="198"/>
      <c r="EZ3" s="198"/>
      <c r="FA3" s="198"/>
      <c r="FB3" s="198"/>
      <c r="FC3" s="198"/>
      <c r="FD3" s="198"/>
      <c r="FE3" s="198"/>
      <c r="FF3" s="198"/>
      <c r="FG3" s="198"/>
      <c r="FH3" s="198"/>
      <c r="FI3" s="198"/>
      <c r="FJ3" s="198"/>
      <c r="FK3" s="198"/>
      <c r="FL3" s="198"/>
      <c r="FM3" s="198"/>
      <c r="FN3" s="198"/>
      <c r="FO3" s="198"/>
      <c r="FP3" s="198"/>
      <c r="FQ3" s="198"/>
      <c r="FR3" s="198"/>
      <c r="FS3" s="198"/>
      <c r="FT3" s="198"/>
      <c r="FU3" s="198"/>
      <c r="FV3" s="198"/>
      <c r="FW3" s="198"/>
      <c r="FX3" s="198"/>
      <c r="FY3" s="198"/>
      <c r="FZ3" s="198"/>
      <c r="GA3" s="198"/>
      <c r="GB3" s="198"/>
      <c r="GC3" s="198"/>
      <c r="GD3" s="198"/>
      <c r="GE3" s="198"/>
      <c r="GF3" s="198"/>
      <c r="GG3" s="198"/>
      <c r="GH3" s="198"/>
      <c r="GI3" s="198"/>
      <c r="GJ3" s="198"/>
      <c r="GK3" s="198"/>
      <c r="GL3" s="198"/>
      <c r="GM3" s="198"/>
      <c r="GN3" s="198"/>
      <c r="GO3" s="198"/>
      <c r="GP3" s="198"/>
      <c r="GQ3" s="198"/>
      <c r="GR3" s="198"/>
      <c r="GS3" s="198"/>
      <c r="GT3" s="198"/>
      <c r="GU3" s="198"/>
      <c r="GV3" s="198"/>
      <c r="GW3" s="198"/>
      <c r="GX3" s="198"/>
      <c r="GY3" s="198"/>
      <c r="GZ3" s="198"/>
      <c r="HA3" s="198"/>
      <c r="HB3" s="198"/>
      <c r="HC3" s="198"/>
      <c r="HD3" s="198"/>
      <c r="HE3" s="198"/>
      <c r="HF3" s="198"/>
      <c r="HG3" s="198"/>
      <c r="HH3" s="198"/>
      <c r="HI3" s="198"/>
      <c r="HJ3" s="198"/>
      <c r="HK3" s="198"/>
      <c r="HL3" s="198"/>
      <c r="HM3" s="198"/>
      <c r="HN3" s="198"/>
      <c r="HO3" s="198"/>
      <c r="HP3" s="198"/>
      <c r="HQ3" s="198"/>
      <c r="HR3" s="198"/>
      <c r="HS3" s="198"/>
      <c r="HT3" s="198"/>
      <c r="HU3" s="198"/>
      <c r="HV3" s="198"/>
      <c r="HW3" s="198"/>
      <c r="HX3" s="198"/>
      <c r="HY3" s="198"/>
      <c r="HZ3" s="198"/>
      <c r="IA3" s="198"/>
      <c r="IB3" s="198"/>
      <c r="IC3" s="198"/>
      <c r="ID3" s="198"/>
      <c r="IE3" s="198"/>
      <c r="IF3" s="198"/>
      <c r="IG3" s="198"/>
      <c r="IH3" s="198"/>
      <c r="II3" s="198"/>
      <c r="IJ3" s="198"/>
      <c r="IK3" s="198"/>
      <c r="IL3" s="198"/>
    </row>
    <row r="4" spans="1:246" ht="89.25" customHeight="1" x14ac:dyDescent="0.15">
      <c r="A4" s="15">
        <v>237</v>
      </c>
      <c r="B4" s="13"/>
      <c r="C4" s="16" t="s">
        <v>657</v>
      </c>
      <c r="D4" s="13" t="s">
        <v>24</v>
      </c>
      <c r="E4" s="13" t="s">
        <v>641</v>
      </c>
      <c r="F4" s="14">
        <v>44306</v>
      </c>
      <c r="G4" s="14"/>
      <c r="H4" s="14">
        <v>44347</v>
      </c>
      <c r="I4" s="14">
        <v>44010</v>
      </c>
      <c r="J4" s="13" t="str">
        <f t="shared" ref="J4:J12" ca="1" si="0">IF(AND(I4&lt;=$C$2,I4&lt;&gt;0),"DONE",IF(K4&lt;0,"OVERDUE",IF(AND(K4="",O4&lt;0),"OVERDUE","IN TIME")))</f>
        <v>DONE</v>
      </c>
      <c r="K4" s="13">
        <f t="shared" ref="K4:K12" ca="1" si="1">IF(H4&gt;0,H4-$C$2,"")</f>
        <v>-130</v>
      </c>
      <c r="L4" s="13">
        <f t="shared" ref="L4:L12" ca="1" si="2">IF(J4="OVERDUE",1,0)</f>
        <v>0</v>
      </c>
      <c r="M4" s="13">
        <f t="shared" ref="M4:M12" ca="1" si="3">IF(J4="IN TIME",1,0)</f>
        <v>0</v>
      </c>
      <c r="N4" s="13">
        <f t="shared" ref="N4:N12" ca="1" si="4">IF(J4="DONE",1,0)</f>
        <v>1</v>
      </c>
      <c r="O4" s="13" t="str">
        <f t="shared" ref="O4:O12" si="5">IF(G4&gt;0,G4-$C$2,"")</f>
        <v/>
      </c>
      <c r="P4" s="20" t="s">
        <v>675</v>
      </c>
      <c r="Q4" s="27"/>
      <c r="R4" s="27"/>
      <c r="S4" s="27"/>
      <c r="T4" s="27"/>
      <c r="U4" s="27"/>
      <c r="V4" s="27"/>
      <c r="W4" s="27"/>
      <c r="X4" s="27"/>
      <c r="Y4" s="27"/>
      <c r="Z4" s="27"/>
      <c r="AA4" s="27"/>
      <c r="AB4" s="27"/>
      <c r="AC4" s="27"/>
      <c r="AD4" s="27"/>
    </row>
    <row r="5" spans="1:246" ht="63.75" customHeight="1" x14ac:dyDescent="0.15">
      <c r="A5" s="15">
        <v>238</v>
      </c>
      <c r="B5" s="13"/>
      <c r="C5" s="16" t="s">
        <v>679</v>
      </c>
      <c r="D5" s="13" t="s">
        <v>24</v>
      </c>
      <c r="E5" s="13" t="s">
        <v>641</v>
      </c>
      <c r="F5" s="14"/>
      <c r="G5" s="14"/>
      <c r="H5" s="14"/>
      <c r="I5" s="14"/>
      <c r="J5" s="13"/>
      <c r="K5" s="13"/>
      <c r="L5" s="13"/>
      <c r="M5" s="13"/>
      <c r="N5" s="13"/>
      <c r="O5" s="13"/>
      <c r="P5" s="20" t="s">
        <v>730</v>
      </c>
      <c r="Q5" s="27"/>
      <c r="R5" s="27"/>
      <c r="S5" s="27"/>
      <c r="T5" s="27"/>
      <c r="U5" s="27"/>
      <c r="V5" s="27"/>
      <c r="W5" s="27"/>
      <c r="X5" s="27"/>
      <c r="Y5" s="27"/>
      <c r="Z5" s="27"/>
      <c r="AA5" s="27"/>
      <c r="AB5" s="27"/>
      <c r="AC5" s="27"/>
      <c r="AD5" s="27"/>
    </row>
    <row r="6" spans="1:246" ht="78.75" customHeight="1" x14ac:dyDescent="0.15">
      <c r="A6" s="15">
        <v>239</v>
      </c>
      <c r="B6" s="13"/>
      <c r="C6" s="16"/>
      <c r="D6" s="13"/>
      <c r="E6" s="13"/>
      <c r="F6" s="14"/>
      <c r="G6" s="14"/>
      <c r="H6" s="14"/>
      <c r="I6" s="14"/>
      <c r="J6" s="13"/>
      <c r="K6" s="13"/>
      <c r="L6" s="13"/>
      <c r="M6" s="13"/>
      <c r="N6" s="13"/>
      <c r="O6" s="13"/>
      <c r="P6" s="20"/>
      <c r="Q6" s="27"/>
      <c r="R6" s="27"/>
      <c r="S6" s="27"/>
      <c r="T6" s="27"/>
      <c r="U6" s="27"/>
      <c r="V6" s="27"/>
      <c r="W6" s="27"/>
      <c r="X6" s="27"/>
      <c r="Y6" s="27"/>
      <c r="Z6" s="27"/>
      <c r="AA6" s="27"/>
      <c r="AB6" s="27"/>
      <c r="AC6" s="27"/>
      <c r="AD6" s="27"/>
    </row>
    <row r="7" spans="1:246" ht="102" customHeight="1" x14ac:dyDescent="0.15">
      <c r="A7" s="15">
        <v>240</v>
      </c>
      <c r="B7" s="13"/>
      <c r="C7" s="12"/>
      <c r="D7" s="13"/>
      <c r="E7" s="13"/>
      <c r="F7" s="14"/>
      <c r="G7" s="14"/>
      <c r="H7" s="14"/>
      <c r="I7" s="14"/>
      <c r="J7" s="13"/>
      <c r="K7" s="13"/>
      <c r="L7" s="13"/>
      <c r="M7" s="13"/>
      <c r="N7" s="13"/>
      <c r="O7" s="13"/>
      <c r="P7" s="20"/>
      <c r="Q7" s="27"/>
      <c r="R7" s="27"/>
      <c r="S7" s="27"/>
      <c r="T7" s="27"/>
      <c r="U7" s="27"/>
      <c r="V7" s="27"/>
      <c r="W7" s="27"/>
      <c r="X7" s="27"/>
      <c r="Y7" s="27"/>
      <c r="Z7" s="27"/>
      <c r="AA7" s="27"/>
      <c r="AB7" s="27"/>
      <c r="AC7" s="27"/>
      <c r="AD7" s="27"/>
    </row>
    <row r="8" spans="1:246" ht="85.5" customHeight="1" x14ac:dyDescent="0.15">
      <c r="A8" s="15">
        <v>241</v>
      </c>
      <c r="B8" s="13"/>
      <c r="C8" s="16"/>
      <c r="D8" s="13"/>
      <c r="E8" s="13"/>
      <c r="F8" s="14"/>
      <c r="G8" s="14"/>
      <c r="H8" s="14"/>
      <c r="I8" s="14"/>
      <c r="J8" s="13"/>
      <c r="K8" s="13"/>
      <c r="L8" s="13"/>
      <c r="M8" s="13"/>
      <c r="N8" s="13"/>
      <c r="O8" s="13"/>
      <c r="P8" s="20"/>
      <c r="Q8" s="27"/>
      <c r="R8" s="27"/>
      <c r="S8" s="27"/>
      <c r="T8" s="27"/>
      <c r="U8" s="27"/>
      <c r="V8" s="27"/>
      <c r="W8" s="27"/>
      <c r="X8" s="27"/>
      <c r="Y8" s="27"/>
      <c r="Z8" s="27"/>
      <c r="AA8" s="27"/>
      <c r="AB8" s="27"/>
      <c r="AC8" s="27"/>
      <c r="AD8" s="27"/>
    </row>
    <row r="9" spans="1:246" s="162" customFormat="1" ht="51" customHeight="1" x14ac:dyDescent="0.15">
      <c r="A9" s="156">
        <v>242</v>
      </c>
      <c r="B9" s="157"/>
      <c r="C9" s="158"/>
      <c r="D9" s="157"/>
      <c r="E9" s="157"/>
      <c r="F9" s="159"/>
      <c r="G9" s="159"/>
      <c r="H9" s="159"/>
      <c r="I9" s="159"/>
      <c r="J9" s="157"/>
      <c r="K9" s="157"/>
      <c r="L9" s="157"/>
      <c r="M9" s="157"/>
      <c r="N9" s="157"/>
      <c r="O9" s="157"/>
      <c r="P9" s="160"/>
      <c r="Q9" s="161"/>
      <c r="R9" s="161"/>
      <c r="S9" s="161"/>
      <c r="T9" s="161"/>
      <c r="U9" s="161"/>
      <c r="V9" s="161"/>
      <c r="W9" s="161"/>
      <c r="X9" s="161"/>
      <c r="Y9" s="161"/>
      <c r="Z9" s="161"/>
      <c r="AA9" s="161"/>
      <c r="AB9" s="161"/>
      <c r="AC9" s="161"/>
      <c r="AD9" s="161"/>
    </row>
    <row r="10" spans="1:246" ht="24.6" customHeight="1" x14ac:dyDescent="0.15">
      <c r="A10" s="15">
        <v>243</v>
      </c>
      <c r="B10" s="13"/>
      <c r="C10" s="12"/>
      <c r="D10" s="13"/>
      <c r="E10" s="13"/>
      <c r="F10" s="14"/>
      <c r="G10" s="14"/>
      <c r="H10" s="14"/>
      <c r="I10" s="14"/>
      <c r="J10" s="13"/>
      <c r="K10" s="13"/>
      <c r="L10" s="13"/>
      <c r="M10" s="13"/>
      <c r="N10" s="13"/>
      <c r="O10" s="13"/>
      <c r="P10" s="20"/>
      <c r="Q10" s="27"/>
      <c r="R10" s="27"/>
      <c r="S10" s="27"/>
      <c r="T10" s="27"/>
      <c r="U10" s="27"/>
      <c r="V10" s="27"/>
      <c r="W10" s="27"/>
      <c r="X10" s="27"/>
      <c r="Y10" s="27"/>
      <c r="Z10" s="27"/>
      <c r="AA10" s="27"/>
      <c r="AB10" s="27"/>
      <c r="AC10" s="27"/>
      <c r="AD10" s="27"/>
    </row>
    <row r="11" spans="1:246" ht="24.6" customHeight="1" x14ac:dyDescent="0.15">
      <c r="A11" s="15">
        <v>244</v>
      </c>
      <c r="B11" s="13"/>
      <c r="C11" s="12"/>
      <c r="D11" s="13"/>
      <c r="E11" s="13"/>
      <c r="F11" s="14"/>
      <c r="G11" s="14"/>
      <c r="H11" s="14"/>
      <c r="I11" s="14"/>
      <c r="J11" s="13" t="str">
        <f t="shared" ca="1" si="0"/>
        <v>IN TIME</v>
      </c>
      <c r="K11" s="13" t="str">
        <f t="shared" si="1"/>
        <v/>
      </c>
      <c r="L11" s="13">
        <f t="shared" ca="1" si="2"/>
        <v>0</v>
      </c>
      <c r="M11" s="13">
        <f t="shared" ca="1" si="3"/>
        <v>1</v>
      </c>
      <c r="N11" s="13">
        <f t="shared" ca="1" si="4"/>
        <v>0</v>
      </c>
      <c r="O11" s="13" t="str">
        <f t="shared" si="5"/>
        <v/>
      </c>
      <c r="P11" s="20"/>
      <c r="Q11" s="27"/>
      <c r="R11" s="27"/>
      <c r="S11" s="27"/>
      <c r="T11" s="27"/>
      <c r="U11" s="27"/>
      <c r="V11" s="27"/>
      <c r="W11" s="27"/>
      <c r="X11" s="27"/>
      <c r="Y11" s="27"/>
      <c r="Z11" s="27"/>
      <c r="AA11" s="27"/>
      <c r="AB11" s="27"/>
      <c r="AC11" s="27"/>
      <c r="AD11" s="27"/>
    </row>
    <row r="12" spans="1:246" ht="24.6" customHeight="1" x14ac:dyDescent="0.15">
      <c r="A12" s="15">
        <v>245</v>
      </c>
      <c r="B12" s="13"/>
      <c r="C12" s="12"/>
      <c r="D12" s="13"/>
      <c r="E12" s="13"/>
      <c r="F12" s="14"/>
      <c r="G12" s="14"/>
      <c r="H12" s="14"/>
      <c r="I12" s="14"/>
      <c r="J12" s="13" t="str">
        <f t="shared" ca="1" si="0"/>
        <v>IN TIME</v>
      </c>
      <c r="K12" s="13" t="str">
        <f t="shared" si="1"/>
        <v/>
      </c>
      <c r="L12" s="13">
        <f t="shared" ca="1" si="2"/>
        <v>0</v>
      </c>
      <c r="M12" s="13">
        <f t="shared" ca="1" si="3"/>
        <v>1</v>
      </c>
      <c r="N12" s="13">
        <f t="shared" ca="1" si="4"/>
        <v>0</v>
      </c>
      <c r="O12" s="13" t="str">
        <f t="shared" si="5"/>
        <v/>
      </c>
      <c r="P12" s="20"/>
      <c r="Q12" s="27"/>
      <c r="R12" s="27"/>
      <c r="S12" s="27"/>
      <c r="T12" s="27"/>
      <c r="U12" s="27"/>
      <c r="V12" s="27"/>
      <c r="W12" s="27"/>
      <c r="X12" s="27"/>
      <c r="Y12" s="27"/>
      <c r="Z12" s="27"/>
      <c r="AA12" s="27"/>
      <c r="AB12" s="27"/>
      <c r="AC12" s="27"/>
      <c r="AD12" s="27"/>
    </row>
  </sheetData>
  <autoFilter ref="A3:P12"/>
  <mergeCells count="2">
    <mergeCell ref="A1:P1"/>
    <mergeCell ref="A2:B2"/>
  </mergeCells>
  <phoneticPr fontId="34" type="noConversion"/>
  <conditionalFormatting sqref="J4">
    <cfRule type="cellIs" dxfId="68" priority="22" operator="equal">
      <formula>"OVERDUE"</formula>
    </cfRule>
    <cfRule type="cellIs" dxfId="67" priority="23" operator="equal">
      <formula>"DONE"</formula>
    </cfRule>
    <cfRule type="cellIs" dxfId="66" priority="24" operator="equal">
      <formula>"DONE"</formula>
    </cfRule>
  </conditionalFormatting>
  <conditionalFormatting sqref="J5:J6">
    <cfRule type="cellIs" dxfId="65" priority="19" operator="equal">
      <formula>"OVERDUE"</formula>
    </cfRule>
    <cfRule type="cellIs" dxfId="64" priority="20" operator="equal">
      <formula>"DONE"</formula>
    </cfRule>
    <cfRule type="cellIs" dxfId="63" priority="21" operator="equal">
      <formula>"DONE"</formula>
    </cfRule>
  </conditionalFormatting>
  <conditionalFormatting sqref="J7">
    <cfRule type="cellIs" dxfId="62" priority="16" operator="equal">
      <formula>"OVERDUE"</formula>
    </cfRule>
    <cfRule type="cellIs" dxfId="61" priority="17" operator="equal">
      <formula>"DONE"</formula>
    </cfRule>
    <cfRule type="cellIs" dxfId="60" priority="18" operator="equal">
      <formula>"DONE"</formula>
    </cfRule>
  </conditionalFormatting>
  <conditionalFormatting sqref="J8">
    <cfRule type="cellIs" dxfId="59" priority="13" operator="equal">
      <formula>"OVERDUE"</formula>
    </cfRule>
    <cfRule type="cellIs" dxfId="58" priority="14" operator="equal">
      <formula>"DONE"</formula>
    </cfRule>
    <cfRule type="cellIs" dxfId="57" priority="15" operator="equal">
      <formula>"DONE"</formula>
    </cfRule>
  </conditionalFormatting>
  <conditionalFormatting sqref="J9">
    <cfRule type="cellIs" dxfId="56" priority="10" operator="equal">
      <formula>"OVERDUE"</formula>
    </cfRule>
    <cfRule type="cellIs" dxfId="55" priority="11" operator="equal">
      <formula>"DONE"</formula>
    </cfRule>
    <cfRule type="cellIs" dxfId="54" priority="12" operator="equal">
      <formula>"DONE"</formula>
    </cfRule>
  </conditionalFormatting>
  <conditionalFormatting sqref="J10">
    <cfRule type="cellIs" dxfId="53" priority="7" operator="equal">
      <formula>"OVERDUE"</formula>
    </cfRule>
    <cfRule type="cellIs" dxfId="52" priority="8" operator="equal">
      <formula>"DONE"</formula>
    </cfRule>
    <cfRule type="cellIs" dxfId="51" priority="9" operator="equal">
      <formula>"DONE"</formula>
    </cfRule>
  </conditionalFormatting>
  <conditionalFormatting sqref="J11">
    <cfRule type="cellIs" dxfId="50" priority="4" operator="equal">
      <formula>"OVERDUE"</formula>
    </cfRule>
    <cfRule type="cellIs" dxfId="49" priority="5" operator="equal">
      <formula>"DONE"</formula>
    </cfRule>
    <cfRule type="cellIs" dxfId="48" priority="6" operator="equal">
      <formula>"DONE"</formula>
    </cfRule>
  </conditionalFormatting>
  <conditionalFormatting sqref="J12">
    <cfRule type="cellIs" dxfId="47" priority="1" operator="equal">
      <formula>"OVERDUE"</formula>
    </cfRule>
    <cfRule type="cellIs" dxfId="46" priority="2" operator="equal">
      <formula>"DONE"</formula>
    </cfRule>
    <cfRule type="cellIs" dxfId="45" priority="3" operator="equal">
      <formula>"DONE"</formula>
    </cfRule>
  </conditionalFormatting>
  <conditionalFormatting sqref="J2:J3 J13:J1048576">
    <cfRule type="cellIs" dxfId="44" priority="28" operator="equal">
      <formula>"OVERDUE"</formula>
    </cfRule>
    <cfRule type="cellIs" dxfId="43" priority="29" operator="equal">
      <formula>"DONE"</formula>
    </cfRule>
    <cfRule type="cellIs" dxfId="42" priority="30" operator="equal">
      <formula>"DONE"</formula>
    </cfRule>
  </conditionalFormatting>
  <dataValidations count="1">
    <dataValidation type="list" allowBlank="1" showInputMessage="1" showErrorMessage="1" sqref="D1:D1048576">
      <formula1>"高,中,低"</formula1>
    </dataValidation>
  </dataValidations>
  <pageMargins left="0.51180555555555596" right="0" top="0.35416666666666702" bottom="0.39305555555555599" header="0.31388888888888899" footer="0.31388888888888899"/>
  <pageSetup paperSize="9"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3553" r:id="rId4" name="Button 1">
              <controlPr defaultSize="0" print="0" autoPict="0" macro="[0]!Insert_Line_moban">
                <anchor moveWithCells="1">
                  <from>
                    <xdr:col>0</xdr:col>
                    <xdr:colOff>104775</xdr:colOff>
                    <xdr:row>12</xdr:row>
                    <xdr:rowOff>85725</xdr:rowOff>
                  </from>
                  <to>
                    <xdr:col>2</xdr:col>
                    <xdr:colOff>695325</xdr:colOff>
                    <xdr:row>13</xdr:row>
                    <xdr:rowOff>161925</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tabColor rgb="FF92D050"/>
  </sheetPr>
  <dimension ref="A1:IL29"/>
  <sheetViews>
    <sheetView tabSelected="1" workbookViewId="0">
      <pane ySplit="3" topLeftCell="A22" activePane="bottomLeft" state="frozen"/>
      <selection activeCell="C76" sqref="C76"/>
      <selection pane="bottomLeft" activeCell="F28" sqref="F28"/>
    </sheetView>
  </sheetViews>
  <sheetFormatPr defaultColWidth="9" defaultRowHeight="14.25" x14ac:dyDescent="0.15"/>
  <cols>
    <col min="1" max="1" width="5.375" style="1" customWidth="1"/>
    <col min="2" max="2" width="4.25" style="1" customWidth="1"/>
    <col min="3" max="3" width="33.625" style="1" customWidth="1"/>
    <col min="4" max="4" width="6" style="2" customWidth="1"/>
    <col min="5" max="5" width="10.375" style="1" customWidth="1"/>
    <col min="6" max="6" width="11.75" style="1" customWidth="1"/>
    <col min="7" max="7" width="12.75" style="1" customWidth="1"/>
    <col min="8" max="8" width="12" style="1" customWidth="1"/>
    <col min="9" max="9" width="10.75" style="1" customWidth="1"/>
    <col min="10" max="10" width="8.625" style="1" customWidth="1"/>
    <col min="11" max="11" width="19.375" style="1" hidden="1" customWidth="1"/>
    <col min="12" max="14" width="9" style="1" hidden="1" customWidth="1"/>
    <col min="15" max="15" width="0.25" style="1" hidden="1" customWidth="1"/>
    <col min="16" max="16" width="34.75" style="1" customWidth="1"/>
    <col min="17" max="17" width="43" style="3" customWidth="1"/>
    <col min="18" max="16384" width="9" style="4"/>
  </cols>
  <sheetData>
    <row r="1" spans="1:246" ht="41.25" customHeight="1" x14ac:dyDescent="0.15">
      <c r="A1" s="214" t="s">
        <v>691</v>
      </c>
      <c r="B1" s="214"/>
      <c r="C1" s="214"/>
      <c r="D1" s="214"/>
      <c r="E1" s="214"/>
      <c r="F1" s="214"/>
      <c r="G1" s="214"/>
      <c r="H1" s="214"/>
      <c r="I1" s="214"/>
      <c r="J1" s="214"/>
      <c r="K1" s="214"/>
      <c r="L1" s="214"/>
      <c r="M1" s="214"/>
      <c r="N1" s="214"/>
      <c r="O1" s="214"/>
      <c r="P1" s="214"/>
      <c r="Q1" s="21"/>
      <c r="R1" s="22"/>
      <c r="S1" s="22"/>
      <c r="T1" s="22"/>
      <c r="U1" s="22"/>
      <c r="V1" s="22"/>
      <c r="W1" s="22"/>
      <c r="X1" s="22"/>
      <c r="Y1" s="22"/>
      <c r="Z1" s="22"/>
      <c r="AA1" s="22"/>
      <c r="AB1" s="22"/>
      <c r="AC1" s="22"/>
      <c r="AD1" s="22"/>
      <c r="AE1" s="22"/>
      <c r="AF1" s="22"/>
      <c r="AG1" s="22"/>
      <c r="AH1" s="22"/>
      <c r="AI1" s="22"/>
      <c r="AJ1" s="22"/>
      <c r="AK1" s="22"/>
      <c r="AL1" s="22"/>
      <c r="AM1" s="22"/>
      <c r="AN1" s="22"/>
      <c r="AO1" s="22"/>
      <c r="AP1" s="22"/>
      <c r="AQ1" s="22"/>
      <c r="AR1" s="22"/>
      <c r="AS1" s="22"/>
      <c r="AT1" s="22"/>
      <c r="AU1" s="22"/>
      <c r="AV1" s="22"/>
      <c r="AW1" s="22"/>
      <c r="AX1" s="22"/>
      <c r="AY1" s="22"/>
      <c r="AZ1" s="22"/>
      <c r="BA1" s="22"/>
      <c r="BB1" s="22"/>
      <c r="BC1" s="22"/>
      <c r="BD1" s="22"/>
      <c r="BE1" s="22"/>
      <c r="BF1" s="22"/>
      <c r="BG1" s="22"/>
      <c r="BH1" s="22"/>
      <c r="BI1" s="22"/>
      <c r="BJ1" s="22"/>
      <c r="BK1" s="22"/>
      <c r="BL1" s="22"/>
      <c r="BM1" s="22"/>
      <c r="BN1" s="22"/>
      <c r="BO1" s="22"/>
      <c r="BP1" s="22"/>
      <c r="BQ1" s="22"/>
      <c r="BR1" s="22"/>
      <c r="BS1" s="22"/>
      <c r="BT1" s="22"/>
      <c r="BU1" s="22"/>
      <c r="BV1" s="22"/>
      <c r="BW1" s="22"/>
      <c r="BX1" s="22"/>
      <c r="BY1" s="22"/>
      <c r="BZ1" s="22"/>
      <c r="CA1" s="22"/>
      <c r="CB1" s="22"/>
      <c r="CC1" s="22"/>
      <c r="CD1" s="22"/>
      <c r="CE1" s="22"/>
      <c r="CF1" s="22"/>
      <c r="CG1" s="22"/>
      <c r="CH1" s="22"/>
      <c r="CI1" s="22"/>
      <c r="CJ1" s="22"/>
      <c r="CK1" s="22"/>
      <c r="CL1" s="22"/>
      <c r="CM1" s="22"/>
      <c r="CN1" s="22"/>
      <c r="CO1" s="22"/>
      <c r="CP1" s="22"/>
      <c r="CQ1" s="22"/>
      <c r="CR1" s="22"/>
      <c r="CS1" s="22"/>
      <c r="CT1" s="22"/>
      <c r="CU1" s="22"/>
      <c r="CV1" s="22"/>
      <c r="CW1" s="22"/>
      <c r="CX1" s="22"/>
      <c r="CY1" s="22"/>
      <c r="CZ1" s="22"/>
      <c r="DA1" s="22"/>
      <c r="DB1" s="22"/>
      <c r="DC1" s="22"/>
      <c r="DD1" s="22"/>
      <c r="DE1" s="22"/>
      <c r="DF1" s="22"/>
      <c r="DG1" s="22"/>
      <c r="DH1" s="22"/>
      <c r="DI1" s="22"/>
      <c r="DJ1" s="22"/>
      <c r="DK1" s="22"/>
      <c r="DL1" s="22"/>
      <c r="DM1" s="22"/>
      <c r="DN1" s="22"/>
      <c r="DO1" s="22"/>
      <c r="DP1" s="22"/>
      <c r="DQ1" s="22"/>
      <c r="DR1" s="22"/>
      <c r="DS1" s="22"/>
      <c r="DT1" s="22"/>
      <c r="DU1" s="22"/>
      <c r="DV1" s="22"/>
      <c r="DW1" s="22"/>
      <c r="DX1" s="22"/>
      <c r="DY1" s="22"/>
      <c r="DZ1" s="22"/>
      <c r="EA1" s="22"/>
      <c r="EB1" s="22"/>
      <c r="EC1" s="22"/>
      <c r="ED1" s="22"/>
      <c r="EE1" s="22"/>
      <c r="EF1" s="22"/>
      <c r="EG1" s="22"/>
      <c r="EH1" s="22"/>
      <c r="EI1" s="22"/>
      <c r="EJ1" s="22"/>
      <c r="EK1" s="22"/>
      <c r="EL1" s="22"/>
      <c r="EM1" s="22"/>
      <c r="EN1" s="22"/>
      <c r="EO1" s="22"/>
      <c r="EP1" s="22"/>
      <c r="EQ1" s="22"/>
      <c r="ER1" s="22"/>
      <c r="ES1" s="22"/>
      <c r="ET1" s="22"/>
      <c r="EU1" s="22"/>
      <c r="EV1" s="22"/>
      <c r="EW1" s="22"/>
      <c r="EX1" s="22"/>
      <c r="EY1" s="22"/>
      <c r="EZ1" s="22"/>
      <c r="FA1" s="22"/>
      <c r="FB1" s="22"/>
      <c r="FC1" s="22"/>
      <c r="FD1" s="22"/>
      <c r="FE1" s="22"/>
      <c r="FF1" s="22"/>
      <c r="FG1" s="22"/>
      <c r="FH1" s="22"/>
      <c r="FI1" s="22"/>
      <c r="FJ1" s="22"/>
      <c r="FK1" s="22"/>
      <c r="FL1" s="22"/>
      <c r="FM1" s="22"/>
      <c r="FN1" s="22"/>
      <c r="FO1" s="22"/>
      <c r="FP1" s="22"/>
      <c r="FQ1" s="22"/>
      <c r="FR1" s="22"/>
      <c r="FS1" s="22"/>
      <c r="FT1" s="22"/>
      <c r="FU1" s="22"/>
      <c r="FV1" s="22"/>
      <c r="FW1" s="22"/>
      <c r="FX1" s="22"/>
      <c r="FY1" s="22"/>
      <c r="FZ1" s="22"/>
      <c r="GA1" s="22"/>
      <c r="GB1" s="22"/>
      <c r="GC1" s="22"/>
      <c r="GD1" s="22"/>
      <c r="GE1" s="22"/>
      <c r="GF1" s="22"/>
      <c r="GG1" s="22"/>
      <c r="GH1" s="22"/>
      <c r="GI1" s="22"/>
      <c r="GJ1" s="22"/>
      <c r="GK1" s="22"/>
      <c r="GL1" s="22"/>
      <c r="GM1" s="22"/>
      <c r="GN1" s="22"/>
      <c r="GO1" s="22"/>
      <c r="GP1" s="22"/>
      <c r="GQ1" s="22"/>
      <c r="GR1" s="22"/>
      <c r="GS1" s="22"/>
      <c r="GT1" s="22"/>
      <c r="GU1" s="22"/>
      <c r="GV1" s="22"/>
      <c r="GW1" s="22"/>
      <c r="GX1" s="22"/>
      <c r="GY1" s="22"/>
      <c r="GZ1" s="22"/>
      <c r="HA1" s="22"/>
      <c r="HB1" s="22"/>
      <c r="HC1" s="22"/>
      <c r="HD1" s="22"/>
      <c r="HE1" s="22"/>
      <c r="HF1" s="22"/>
      <c r="HG1" s="22"/>
      <c r="HH1" s="22"/>
      <c r="HI1" s="22"/>
      <c r="HJ1" s="22"/>
      <c r="HK1" s="22"/>
      <c r="HL1" s="22"/>
      <c r="HM1" s="22"/>
      <c r="HN1" s="22"/>
      <c r="HO1" s="22"/>
      <c r="HP1" s="22"/>
      <c r="HQ1" s="22"/>
      <c r="HR1" s="22"/>
      <c r="HS1" s="22"/>
      <c r="HT1" s="22"/>
      <c r="HU1" s="22"/>
      <c r="HV1" s="22"/>
      <c r="HW1" s="22"/>
      <c r="HX1" s="22"/>
      <c r="HY1" s="22"/>
      <c r="HZ1" s="22"/>
      <c r="IA1" s="22"/>
      <c r="IB1" s="22"/>
      <c r="IC1" s="22"/>
      <c r="ID1" s="22"/>
      <c r="IE1" s="22"/>
      <c r="IF1" s="22"/>
      <c r="IG1" s="22"/>
      <c r="IH1" s="22"/>
      <c r="II1" s="22"/>
      <c r="IJ1" s="22"/>
      <c r="IK1" s="22"/>
      <c r="IL1" s="22"/>
    </row>
    <row r="2" spans="1:246" ht="18.75" customHeight="1" x14ac:dyDescent="0.2">
      <c r="A2" s="215" t="s">
        <v>1</v>
      </c>
      <c r="B2" s="215"/>
      <c r="C2" s="5">
        <f ca="1">TODAY()</f>
        <v>44477</v>
      </c>
      <c r="D2" s="6" t="s">
        <v>2</v>
      </c>
      <c r="E2" s="7"/>
      <c r="F2" s="8"/>
      <c r="G2" s="8"/>
      <c r="H2" s="8"/>
      <c r="I2" s="8"/>
      <c r="J2" s="8"/>
      <c r="K2" s="17"/>
      <c r="L2" s="17"/>
      <c r="M2" s="17"/>
      <c r="N2" s="17"/>
      <c r="O2" s="17"/>
      <c r="P2" s="18"/>
      <c r="Q2" s="23"/>
      <c r="R2" s="24"/>
      <c r="S2" s="24"/>
      <c r="T2" s="24"/>
      <c r="U2" s="24"/>
      <c r="V2" s="24"/>
      <c r="W2" s="24"/>
      <c r="X2" s="24"/>
      <c r="Y2" s="24"/>
      <c r="Z2" s="24"/>
      <c r="AA2" s="24"/>
      <c r="AB2" s="24"/>
      <c r="AC2" s="24"/>
      <c r="AD2" s="24"/>
      <c r="AE2" s="24"/>
      <c r="AF2" s="24"/>
      <c r="AG2" s="24"/>
      <c r="AH2" s="24"/>
      <c r="AI2" s="24"/>
      <c r="AJ2" s="24"/>
      <c r="AK2" s="24"/>
      <c r="AL2" s="24"/>
      <c r="AM2" s="24"/>
      <c r="AN2" s="24"/>
      <c r="AO2" s="24"/>
      <c r="AP2" s="24"/>
      <c r="AQ2" s="24"/>
      <c r="AR2" s="24"/>
      <c r="AS2" s="24"/>
      <c r="AT2" s="24"/>
      <c r="AU2" s="24"/>
      <c r="AV2" s="24"/>
      <c r="AW2" s="24"/>
      <c r="AX2" s="24"/>
      <c r="AY2" s="24"/>
      <c r="AZ2" s="24"/>
      <c r="BA2" s="24"/>
      <c r="BB2" s="24"/>
      <c r="BC2" s="24"/>
      <c r="BD2" s="24"/>
      <c r="BE2" s="24"/>
      <c r="BF2" s="24"/>
      <c r="BG2" s="24"/>
      <c r="BH2" s="24"/>
      <c r="BI2" s="24"/>
      <c r="BJ2" s="24"/>
      <c r="BK2" s="24"/>
      <c r="BL2" s="24"/>
      <c r="BM2" s="24"/>
      <c r="BN2" s="24"/>
      <c r="BO2" s="24"/>
      <c r="BP2" s="24"/>
      <c r="BQ2" s="24"/>
      <c r="BR2" s="24"/>
      <c r="BS2" s="24"/>
      <c r="BT2" s="24"/>
      <c r="BU2" s="24"/>
      <c r="BV2" s="24"/>
      <c r="BW2" s="24"/>
      <c r="BX2" s="24"/>
      <c r="BY2" s="24"/>
      <c r="BZ2" s="24"/>
      <c r="CA2" s="24"/>
      <c r="CB2" s="24"/>
      <c r="CC2" s="24"/>
      <c r="CD2" s="24"/>
      <c r="CE2" s="24"/>
      <c r="CF2" s="24"/>
      <c r="CG2" s="24"/>
      <c r="CH2" s="24"/>
      <c r="CI2" s="24"/>
      <c r="CJ2" s="24"/>
      <c r="CK2" s="24"/>
      <c r="CL2" s="24"/>
      <c r="CM2" s="24"/>
      <c r="CN2" s="24"/>
      <c r="CO2" s="24"/>
      <c r="CP2" s="24"/>
      <c r="CQ2" s="24"/>
      <c r="CR2" s="24"/>
      <c r="CS2" s="24"/>
      <c r="CT2" s="24"/>
      <c r="CU2" s="24"/>
      <c r="CV2" s="24"/>
      <c r="CW2" s="24"/>
      <c r="CX2" s="24"/>
      <c r="CY2" s="24"/>
      <c r="CZ2" s="24"/>
      <c r="DA2" s="24"/>
      <c r="DB2" s="24"/>
      <c r="DC2" s="24"/>
      <c r="DD2" s="24"/>
      <c r="DE2" s="24"/>
      <c r="DF2" s="24"/>
      <c r="DG2" s="24"/>
      <c r="DH2" s="24"/>
      <c r="DI2" s="24"/>
      <c r="DJ2" s="24"/>
      <c r="DK2" s="24"/>
      <c r="DL2" s="24"/>
      <c r="DM2" s="24"/>
      <c r="DN2" s="24"/>
      <c r="DO2" s="24"/>
      <c r="DP2" s="24"/>
      <c r="DQ2" s="24"/>
      <c r="DR2" s="24"/>
      <c r="DS2" s="24"/>
      <c r="DT2" s="24"/>
      <c r="DU2" s="24"/>
      <c r="DV2" s="24"/>
      <c r="DW2" s="24"/>
      <c r="DX2" s="24"/>
      <c r="DY2" s="24"/>
      <c r="DZ2" s="24"/>
      <c r="EA2" s="24"/>
      <c r="EB2" s="24"/>
      <c r="EC2" s="24"/>
      <c r="ED2" s="24"/>
      <c r="EE2" s="24"/>
      <c r="EF2" s="24"/>
      <c r="EG2" s="24"/>
      <c r="EH2" s="24"/>
      <c r="EI2" s="24"/>
      <c r="EJ2" s="24"/>
      <c r="EK2" s="24"/>
      <c r="EL2" s="24"/>
      <c r="EM2" s="24"/>
      <c r="EN2" s="24"/>
      <c r="EO2" s="24"/>
      <c r="EP2" s="24"/>
      <c r="EQ2" s="24"/>
      <c r="ER2" s="24"/>
      <c r="ES2" s="24"/>
      <c r="ET2" s="24"/>
      <c r="EU2" s="24"/>
      <c r="EV2" s="24"/>
      <c r="EW2" s="24"/>
      <c r="EX2" s="24"/>
      <c r="EY2" s="24"/>
      <c r="EZ2" s="24"/>
      <c r="FA2" s="24"/>
      <c r="FB2" s="24"/>
      <c r="FC2" s="24"/>
      <c r="FD2" s="24"/>
      <c r="FE2" s="24"/>
      <c r="FF2" s="24"/>
      <c r="FG2" s="24"/>
      <c r="FH2" s="24"/>
      <c r="FI2" s="24"/>
      <c r="FJ2" s="24"/>
      <c r="FK2" s="24"/>
      <c r="FL2" s="24"/>
      <c r="FM2" s="24"/>
      <c r="FN2" s="24"/>
      <c r="FO2" s="24"/>
      <c r="FP2" s="24"/>
      <c r="FQ2" s="24"/>
      <c r="FR2" s="24"/>
      <c r="FS2" s="24"/>
      <c r="FT2" s="24"/>
      <c r="FU2" s="24"/>
      <c r="FV2" s="24"/>
      <c r="FW2" s="24"/>
      <c r="FX2" s="24"/>
      <c r="FY2" s="24"/>
      <c r="FZ2" s="24"/>
      <c r="GA2" s="24"/>
      <c r="GB2" s="24"/>
      <c r="GC2" s="24"/>
      <c r="GD2" s="24"/>
      <c r="GE2" s="24"/>
      <c r="GF2" s="24"/>
      <c r="GG2" s="24"/>
      <c r="GH2" s="24"/>
      <c r="GI2" s="24"/>
      <c r="GJ2" s="24"/>
      <c r="GK2" s="24"/>
      <c r="GL2" s="24"/>
      <c r="GM2" s="24"/>
      <c r="GN2" s="24"/>
      <c r="GO2" s="24"/>
      <c r="GP2" s="24"/>
      <c r="GQ2" s="24"/>
      <c r="GR2" s="24"/>
      <c r="GS2" s="24"/>
      <c r="GT2" s="24"/>
      <c r="GU2" s="24"/>
      <c r="GV2" s="24"/>
      <c r="GW2" s="24"/>
      <c r="GX2" s="24"/>
      <c r="GY2" s="24"/>
      <c r="GZ2" s="24"/>
      <c r="HA2" s="24"/>
      <c r="HB2" s="24"/>
      <c r="HC2" s="24"/>
      <c r="HD2" s="24"/>
      <c r="HE2" s="24"/>
      <c r="HF2" s="24"/>
      <c r="HG2" s="24"/>
      <c r="HH2" s="24"/>
      <c r="HI2" s="24"/>
      <c r="HJ2" s="24"/>
      <c r="HK2" s="24"/>
      <c r="HL2" s="24"/>
      <c r="HM2" s="24"/>
      <c r="HN2" s="24"/>
      <c r="HO2" s="24"/>
      <c r="HP2" s="24"/>
      <c r="HQ2" s="24"/>
      <c r="HR2" s="24"/>
      <c r="HS2" s="24"/>
      <c r="HT2" s="24"/>
      <c r="HU2" s="24"/>
      <c r="HV2" s="24"/>
      <c r="HW2" s="24"/>
      <c r="HX2" s="24"/>
      <c r="HY2" s="24"/>
      <c r="HZ2" s="24"/>
      <c r="IA2" s="24"/>
      <c r="IB2" s="24"/>
      <c r="IC2" s="24"/>
      <c r="ID2" s="24"/>
      <c r="IE2" s="24"/>
      <c r="IF2" s="24"/>
      <c r="IG2" s="24"/>
      <c r="IH2" s="24"/>
      <c r="II2" s="24"/>
      <c r="IJ2" s="24"/>
      <c r="IK2" s="24"/>
      <c r="IL2" s="24"/>
    </row>
    <row r="3" spans="1:246" ht="39" customHeight="1" x14ac:dyDescent="0.15">
      <c r="A3" s="9" t="s">
        <v>3</v>
      </c>
      <c r="B3" s="9" t="s">
        <v>4</v>
      </c>
      <c r="C3" s="9" t="s">
        <v>5</v>
      </c>
      <c r="D3" s="9" t="s">
        <v>6</v>
      </c>
      <c r="E3" s="9" t="s">
        <v>7</v>
      </c>
      <c r="F3" s="9" t="s">
        <v>8</v>
      </c>
      <c r="G3" s="9" t="s">
        <v>9</v>
      </c>
      <c r="H3" s="9" t="s">
        <v>10</v>
      </c>
      <c r="I3" s="9" t="s">
        <v>11</v>
      </c>
      <c r="J3" s="9" t="s">
        <v>12</v>
      </c>
      <c r="K3" s="9" t="s">
        <v>13</v>
      </c>
      <c r="L3" s="9" t="s">
        <v>14</v>
      </c>
      <c r="M3" s="9" t="s">
        <v>15</v>
      </c>
      <c r="N3" s="9" t="s">
        <v>16</v>
      </c>
      <c r="O3" s="9" t="s">
        <v>17</v>
      </c>
      <c r="P3" s="19" t="s">
        <v>18</v>
      </c>
      <c r="Q3" s="37"/>
      <c r="R3" s="206"/>
      <c r="S3" s="206"/>
      <c r="T3" s="206"/>
      <c r="U3" s="206"/>
      <c r="V3" s="206"/>
      <c r="W3" s="206"/>
      <c r="X3" s="206"/>
      <c r="Y3" s="206"/>
      <c r="Z3" s="206"/>
      <c r="AA3" s="206"/>
      <c r="AB3" s="206"/>
      <c r="AC3" s="206"/>
      <c r="AD3" s="206"/>
      <c r="AE3" s="206"/>
      <c r="AF3" s="206"/>
      <c r="AG3" s="206"/>
      <c r="AH3" s="206"/>
      <c r="AI3" s="206"/>
      <c r="AJ3" s="206"/>
      <c r="AK3" s="206"/>
      <c r="AL3" s="206"/>
      <c r="AM3" s="206"/>
      <c r="AN3" s="206"/>
      <c r="AO3" s="206"/>
      <c r="AP3" s="206"/>
      <c r="AQ3" s="206"/>
      <c r="AR3" s="206"/>
      <c r="AS3" s="206"/>
      <c r="AT3" s="206"/>
      <c r="AU3" s="206"/>
      <c r="AV3" s="206"/>
      <c r="AW3" s="206"/>
      <c r="AX3" s="206"/>
      <c r="AY3" s="206"/>
      <c r="AZ3" s="206"/>
      <c r="BA3" s="206"/>
      <c r="BB3" s="206"/>
      <c r="BC3" s="206"/>
      <c r="BD3" s="206"/>
      <c r="BE3" s="206"/>
      <c r="BF3" s="206"/>
      <c r="BG3" s="206"/>
      <c r="BH3" s="206"/>
      <c r="BI3" s="206"/>
      <c r="BJ3" s="206"/>
      <c r="BK3" s="206"/>
      <c r="BL3" s="206"/>
      <c r="BM3" s="206"/>
      <c r="BN3" s="206"/>
      <c r="BO3" s="206"/>
      <c r="BP3" s="206"/>
      <c r="BQ3" s="206"/>
      <c r="BR3" s="206"/>
      <c r="BS3" s="206"/>
      <c r="BT3" s="206"/>
      <c r="BU3" s="206"/>
      <c r="BV3" s="206"/>
      <c r="BW3" s="206"/>
      <c r="BX3" s="206"/>
      <c r="BY3" s="206"/>
      <c r="BZ3" s="206"/>
      <c r="CA3" s="206"/>
      <c r="CB3" s="206"/>
      <c r="CC3" s="206"/>
      <c r="CD3" s="206"/>
      <c r="CE3" s="206"/>
      <c r="CF3" s="206"/>
      <c r="CG3" s="206"/>
      <c r="CH3" s="206"/>
      <c r="CI3" s="206"/>
      <c r="CJ3" s="206"/>
      <c r="CK3" s="206"/>
      <c r="CL3" s="206"/>
      <c r="CM3" s="206"/>
      <c r="CN3" s="206"/>
      <c r="CO3" s="206"/>
      <c r="CP3" s="206"/>
      <c r="CQ3" s="206"/>
      <c r="CR3" s="206"/>
      <c r="CS3" s="206"/>
      <c r="CT3" s="206"/>
      <c r="CU3" s="206"/>
      <c r="CV3" s="206"/>
      <c r="CW3" s="206"/>
      <c r="CX3" s="206"/>
      <c r="CY3" s="206"/>
      <c r="CZ3" s="206"/>
      <c r="DA3" s="206"/>
      <c r="DB3" s="206"/>
      <c r="DC3" s="206"/>
      <c r="DD3" s="206"/>
      <c r="DE3" s="206"/>
      <c r="DF3" s="206"/>
      <c r="DG3" s="206"/>
      <c r="DH3" s="206"/>
      <c r="DI3" s="206"/>
      <c r="DJ3" s="206"/>
      <c r="DK3" s="206"/>
      <c r="DL3" s="206"/>
      <c r="DM3" s="206"/>
      <c r="DN3" s="206"/>
      <c r="DO3" s="206"/>
      <c r="DP3" s="206"/>
      <c r="DQ3" s="206"/>
      <c r="DR3" s="206"/>
      <c r="DS3" s="206"/>
      <c r="DT3" s="206"/>
      <c r="DU3" s="206"/>
      <c r="DV3" s="206"/>
      <c r="DW3" s="206"/>
      <c r="DX3" s="206"/>
      <c r="DY3" s="206"/>
      <c r="DZ3" s="206"/>
      <c r="EA3" s="206"/>
      <c r="EB3" s="206"/>
      <c r="EC3" s="206"/>
      <c r="ED3" s="206"/>
      <c r="EE3" s="206"/>
      <c r="EF3" s="206"/>
      <c r="EG3" s="206"/>
      <c r="EH3" s="206"/>
      <c r="EI3" s="206"/>
      <c r="EJ3" s="206"/>
      <c r="EK3" s="206"/>
      <c r="EL3" s="206"/>
      <c r="EM3" s="206"/>
      <c r="EN3" s="206"/>
      <c r="EO3" s="206"/>
      <c r="EP3" s="206"/>
      <c r="EQ3" s="206"/>
      <c r="ER3" s="206"/>
      <c r="ES3" s="206"/>
      <c r="ET3" s="206"/>
      <c r="EU3" s="206"/>
      <c r="EV3" s="206"/>
      <c r="EW3" s="206"/>
      <c r="EX3" s="206"/>
      <c r="EY3" s="206"/>
      <c r="EZ3" s="206"/>
      <c r="FA3" s="206"/>
      <c r="FB3" s="206"/>
      <c r="FC3" s="206"/>
      <c r="FD3" s="206"/>
      <c r="FE3" s="206"/>
      <c r="FF3" s="206"/>
      <c r="FG3" s="206"/>
      <c r="FH3" s="206"/>
      <c r="FI3" s="206"/>
      <c r="FJ3" s="206"/>
      <c r="FK3" s="206"/>
      <c r="FL3" s="206"/>
      <c r="FM3" s="206"/>
      <c r="FN3" s="206"/>
      <c r="FO3" s="206"/>
      <c r="FP3" s="206"/>
      <c r="FQ3" s="206"/>
      <c r="FR3" s="206"/>
      <c r="FS3" s="206"/>
      <c r="FT3" s="206"/>
      <c r="FU3" s="206"/>
      <c r="FV3" s="206"/>
      <c r="FW3" s="206"/>
      <c r="FX3" s="206"/>
      <c r="FY3" s="206"/>
      <c r="FZ3" s="206"/>
      <c r="GA3" s="206"/>
      <c r="GB3" s="206"/>
      <c r="GC3" s="206"/>
      <c r="GD3" s="206"/>
      <c r="GE3" s="206"/>
      <c r="GF3" s="206"/>
      <c r="GG3" s="206"/>
      <c r="GH3" s="206"/>
      <c r="GI3" s="206"/>
      <c r="GJ3" s="206"/>
      <c r="GK3" s="206"/>
      <c r="GL3" s="206"/>
      <c r="GM3" s="206"/>
      <c r="GN3" s="206"/>
      <c r="GO3" s="206"/>
      <c r="GP3" s="206"/>
      <c r="GQ3" s="206"/>
      <c r="GR3" s="206"/>
      <c r="GS3" s="206"/>
      <c r="GT3" s="206"/>
      <c r="GU3" s="206"/>
      <c r="GV3" s="206"/>
      <c r="GW3" s="206"/>
      <c r="GX3" s="206"/>
      <c r="GY3" s="206"/>
      <c r="GZ3" s="206"/>
      <c r="HA3" s="206"/>
      <c r="HB3" s="206"/>
      <c r="HC3" s="206"/>
      <c r="HD3" s="206"/>
      <c r="HE3" s="206"/>
      <c r="HF3" s="206"/>
      <c r="HG3" s="206"/>
      <c r="HH3" s="206"/>
      <c r="HI3" s="206"/>
      <c r="HJ3" s="206"/>
      <c r="HK3" s="206"/>
      <c r="HL3" s="206"/>
      <c r="HM3" s="206"/>
      <c r="HN3" s="206"/>
      <c r="HO3" s="206"/>
      <c r="HP3" s="206"/>
      <c r="HQ3" s="206"/>
      <c r="HR3" s="206"/>
      <c r="HS3" s="206"/>
      <c r="HT3" s="206"/>
      <c r="HU3" s="206"/>
      <c r="HV3" s="206"/>
      <c r="HW3" s="206"/>
      <c r="HX3" s="206"/>
      <c r="HY3" s="206"/>
      <c r="HZ3" s="206"/>
      <c r="IA3" s="206"/>
      <c r="IB3" s="206"/>
      <c r="IC3" s="206"/>
      <c r="ID3" s="206"/>
      <c r="IE3" s="206"/>
      <c r="IF3" s="206"/>
      <c r="IG3" s="206"/>
      <c r="IH3" s="206"/>
      <c r="II3" s="206"/>
      <c r="IJ3" s="206"/>
      <c r="IK3" s="206"/>
      <c r="IL3" s="206"/>
    </row>
    <row r="4" spans="1:246" ht="89.25" customHeight="1" x14ac:dyDescent="0.15">
      <c r="A4" s="15">
        <v>237</v>
      </c>
      <c r="B4" s="13"/>
      <c r="C4" s="16" t="s">
        <v>682</v>
      </c>
      <c r="D4" s="13" t="s">
        <v>24</v>
      </c>
      <c r="E4" s="13" t="s">
        <v>641</v>
      </c>
      <c r="F4" s="14">
        <v>44393</v>
      </c>
      <c r="G4" s="14">
        <v>44393</v>
      </c>
      <c r="H4" s="14"/>
      <c r="I4" s="14">
        <v>44393</v>
      </c>
      <c r="J4" s="13" t="str">
        <f t="shared" ref="J4:J11" ca="1" si="0">IF(AND(I4&lt;=$C$2,I4&lt;&gt;0),"DONE",IF(K4&lt;0,"OVERDUE",IF(AND(K4="",O4&lt;0),"OVERDUE","IN TIME")))</f>
        <v>DONE</v>
      </c>
      <c r="K4" s="13" t="str">
        <f t="shared" ref="K4:K11" si="1">IF(H4&gt;0,H4-$C$2,"")</f>
        <v/>
      </c>
      <c r="L4" s="13">
        <f t="shared" ref="L4:L11" ca="1" si="2">IF(J4="OVERDUE",1,0)</f>
        <v>0</v>
      </c>
      <c r="M4" s="13">
        <f t="shared" ref="M4:M11" ca="1" si="3">IF(J4="IN TIME",1,0)</f>
        <v>0</v>
      </c>
      <c r="N4" s="13">
        <f t="shared" ref="N4:N11" ca="1" si="4">IF(J4="DONE",1,0)</f>
        <v>1</v>
      </c>
      <c r="O4" s="13">
        <f t="shared" ref="O4:O11" ca="1" si="5">IF(G4&gt;0,G4-$C$2,"")</f>
        <v>-84</v>
      </c>
      <c r="P4" s="20" t="s">
        <v>690</v>
      </c>
      <c r="Q4" s="27"/>
      <c r="R4" s="27"/>
      <c r="S4" s="27"/>
      <c r="T4" s="27"/>
      <c r="U4" s="27"/>
      <c r="V4" s="27"/>
      <c r="W4" s="27"/>
      <c r="X4" s="27"/>
      <c r="Y4" s="27"/>
      <c r="Z4" s="27"/>
      <c r="AA4" s="27"/>
      <c r="AB4" s="27"/>
      <c r="AC4" s="27"/>
      <c r="AD4" s="27"/>
    </row>
    <row r="5" spans="1:246" ht="89.25" customHeight="1" x14ac:dyDescent="0.15">
      <c r="A5" s="15">
        <v>238</v>
      </c>
      <c r="B5" s="13"/>
      <c r="C5" s="16" t="s">
        <v>683</v>
      </c>
      <c r="D5" s="13" t="s">
        <v>24</v>
      </c>
      <c r="E5" s="13" t="s">
        <v>714</v>
      </c>
      <c r="F5" s="14">
        <v>44410</v>
      </c>
      <c r="G5" s="14">
        <v>44414</v>
      </c>
      <c r="H5" s="14"/>
      <c r="I5" s="14">
        <v>44477</v>
      </c>
      <c r="J5" s="13" t="str">
        <f t="shared" ca="1" si="0"/>
        <v>DONE</v>
      </c>
      <c r="K5" s="13"/>
      <c r="L5" s="13"/>
      <c r="M5" s="13"/>
      <c r="N5" s="13"/>
      <c r="O5" s="13"/>
      <c r="P5" s="20" t="s">
        <v>732</v>
      </c>
      <c r="Q5" s="27"/>
      <c r="R5" s="27"/>
      <c r="S5" s="27"/>
      <c r="T5" s="27"/>
      <c r="U5" s="27"/>
      <c r="V5" s="27"/>
      <c r="W5" s="27"/>
      <c r="X5" s="27"/>
      <c r="Y5" s="27"/>
      <c r="Z5" s="27"/>
      <c r="AA5" s="27"/>
      <c r="AB5" s="27"/>
      <c r="AC5" s="27"/>
      <c r="AD5" s="27"/>
    </row>
    <row r="6" spans="1:246" ht="78.75" customHeight="1" x14ac:dyDescent="0.15">
      <c r="A6" s="15">
        <v>239</v>
      </c>
      <c r="B6" s="13"/>
      <c r="C6" s="16" t="s">
        <v>684</v>
      </c>
      <c r="D6" s="13" t="s">
        <v>24</v>
      </c>
      <c r="E6" s="13" t="s">
        <v>715</v>
      </c>
      <c r="F6" s="14">
        <v>44448</v>
      </c>
      <c r="G6" s="14">
        <v>44456</v>
      </c>
      <c r="H6" s="14"/>
      <c r="I6" s="14">
        <v>44477</v>
      </c>
      <c r="J6" s="13" t="str">
        <f t="shared" ca="1" si="0"/>
        <v>DONE</v>
      </c>
      <c r="K6" s="13"/>
      <c r="L6" s="13"/>
      <c r="M6" s="13"/>
      <c r="N6" s="13"/>
      <c r="O6" s="13"/>
      <c r="P6" s="20" t="s">
        <v>733</v>
      </c>
      <c r="Q6" s="27"/>
      <c r="R6" s="27"/>
      <c r="S6" s="27"/>
      <c r="T6" s="27"/>
      <c r="U6" s="27"/>
      <c r="V6" s="27"/>
      <c r="W6" s="27"/>
      <c r="X6" s="27"/>
      <c r="Y6" s="27"/>
      <c r="Z6" s="27"/>
      <c r="AA6" s="27"/>
      <c r="AB6" s="27"/>
      <c r="AC6" s="27"/>
      <c r="AD6" s="27"/>
    </row>
    <row r="7" spans="1:246" ht="102" customHeight="1" x14ac:dyDescent="0.15">
      <c r="A7" s="15">
        <v>240</v>
      </c>
      <c r="B7" s="13"/>
      <c r="C7" s="12" t="s">
        <v>734</v>
      </c>
      <c r="D7" s="13" t="s">
        <v>24</v>
      </c>
      <c r="E7" s="13" t="s">
        <v>685</v>
      </c>
      <c r="F7" s="14">
        <v>44434</v>
      </c>
      <c r="G7" s="14">
        <v>44438</v>
      </c>
      <c r="H7" s="14"/>
      <c r="I7" s="14">
        <v>44477</v>
      </c>
      <c r="J7" s="13" t="str">
        <f t="shared" ca="1" si="0"/>
        <v>DONE</v>
      </c>
      <c r="K7" s="13"/>
      <c r="L7" s="13"/>
      <c r="M7" s="13"/>
      <c r="N7" s="13"/>
      <c r="O7" s="13"/>
      <c r="P7" s="20" t="s">
        <v>735</v>
      </c>
      <c r="Q7" s="27"/>
      <c r="R7" s="27"/>
      <c r="S7" s="27"/>
      <c r="T7" s="27"/>
      <c r="U7" s="27"/>
      <c r="V7" s="27"/>
      <c r="W7" s="27"/>
      <c r="X7" s="27"/>
      <c r="Y7" s="27"/>
      <c r="Z7" s="27"/>
      <c r="AA7" s="27"/>
      <c r="AB7" s="27"/>
      <c r="AC7" s="27"/>
      <c r="AD7" s="27"/>
    </row>
    <row r="8" spans="1:246" ht="85.5" customHeight="1" x14ac:dyDescent="0.15">
      <c r="A8" s="15">
        <v>241</v>
      </c>
      <c r="B8" s="13"/>
      <c r="C8" s="16" t="s">
        <v>692</v>
      </c>
      <c r="D8" s="13" t="s">
        <v>24</v>
      </c>
      <c r="E8" s="13" t="s">
        <v>719</v>
      </c>
      <c r="F8" s="14">
        <v>44435</v>
      </c>
      <c r="G8" s="14">
        <v>44439</v>
      </c>
      <c r="H8" s="14"/>
      <c r="I8" s="14">
        <v>44477</v>
      </c>
      <c r="J8" s="13" t="str">
        <f t="shared" ca="1" si="0"/>
        <v>DONE</v>
      </c>
      <c r="K8" s="13"/>
      <c r="L8" s="13"/>
      <c r="M8" s="13"/>
      <c r="N8" s="13"/>
      <c r="O8" s="13"/>
      <c r="P8" s="20" t="s">
        <v>736</v>
      </c>
      <c r="Q8" s="27"/>
      <c r="R8" s="27"/>
      <c r="S8" s="27"/>
      <c r="T8" s="27"/>
      <c r="U8" s="27"/>
      <c r="V8" s="27"/>
      <c r="W8" s="27"/>
      <c r="X8" s="27"/>
      <c r="Y8" s="27"/>
      <c r="Z8" s="27"/>
      <c r="AA8" s="27"/>
      <c r="AB8" s="27"/>
      <c r="AC8" s="27"/>
      <c r="AD8" s="27"/>
    </row>
    <row r="9" spans="1:246" ht="64.5" customHeight="1" x14ac:dyDescent="0.15">
      <c r="A9" s="15">
        <v>243</v>
      </c>
      <c r="B9" s="13"/>
      <c r="C9" s="16" t="s">
        <v>686</v>
      </c>
      <c r="D9" s="13" t="s">
        <v>24</v>
      </c>
      <c r="E9" s="13" t="s">
        <v>706</v>
      </c>
      <c r="F9" s="14">
        <v>44424</v>
      </c>
      <c r="G9" s="14">
        <v>44429</v>
      </c>
      <c r="H9" s="14"/>
      <c r="I9" s="14"/>
      <c r="J9" s="13" t="str">
        <f t="shared" ca="1" si="0"/>
        <v>IN TIME</v>
      </c>
      <c r="K9" s="13"/>
      <c r="L9" s="13"/>
      <c r="M9" s="13"/>
      <c r="N9" s="13"/>
      <c r="O9" s="13"/>
      <c r="P9" s="20" t="s">
        <v>729</v>
      </c>
      <c r="Q9" s="27"/>
      <c r="R9" s="27"/>
      <c r="S9" s="27"/>
      <c r="T9" s="27"/>
      <c r="U9" s="27"/>
      <c r="V9" s="27"/>
      <c r="W9" s="27"/>
      <c r="X9" s="27"/>
      <c r="Y9" s="27"/>
      <c r="Z9" s="27"/>
      <c r="AA9" s="27"/>
      <c r="AB9" s="27"/>
      <c r="AC9" s="27"/>
      <c r="AD9" s="27"/>
    </row>
    <row r="10" spans="1:246" ht="63.75" customHeight="1" x14ac:dyDescent="0.15">
      <c r="A10" s="15">
        <v>244</v>
      </c>
      <c r="B10" s="13"/>
      <c r="C10" s="16" t="s">
        <v>693</v>
      </c>
      <c r="D10" s="13" t="s">
        <v>24</v>
      </c>
      <c r="E10" s="13" t="s">
        <v>707</v>
      </c>
      <c r="F10" s="14">
        <v>44412</v>
      </c>
      <c r="G10" s="14">
        <v>44426</v>
      </c>
      <c r="H10" s="14"/>
      <c r="I10" s="14">
        <v>44477</v>
      </c>
      <c r="J10" s="13" t="str">
        <f t="shared" ca="1" si="0"/>
        <v>DONE</v>
      </c>
      <c r="K10" s="13"/>
      <c r="L10" s="13"/>
      <c r="M10" s="13"/>
      <c r="N10" s="13"/>
      <c r="O10" s="13"/>
      <c r="P10" s="20" t="s">
        <v>737</v>
      </c>
      <c r="Q10" s="27"/>
      <c r="R10" s="27"/>
      <c r="S10" s="27"/>
      <c r="T10" s="27"/>
      <c r="U10" s="27"/>
      <c r="V10" s="27"/>
      <c r="W10" s="27"/>
      <c r="X10" s="27"/>
      <c r="Y10" s="27"/>
      <c r="Z10" s="27"/>
      <c r="AA10" s="27"/>
      <c r="AB10" s="27"/>
      <c r="AC10" s="27"/>
      <c r="AD10" s="27"/>
    </row>
    <row r="11" spans="1:246" ht="75" customHeight="1" x14ac:dyDescent="0.15">
      <c r="A11" s="15">
        <v>245</v>
      </c>
      <c r="B11" s="13"/>
      <c r="C11" s="16" t="s">
        <v>694</v>
      </c>
      <c r="D11" s="13" t="s">
        <v>24</v>
      </c>
      <c r="E11" s="13" t="s">
        <v>720</v>
      </c>
      <c r="F11" s="14">
        <v>44393</v>
      </c>
      <c r="G11" s="14">
        <v>44400</v>
      </c>
      <c r="H11" s="14"/>
      <c r="I11" s="14">
        <v>44477</v>
      </c>
      <c r="J11" s="13" t="str">
        <f t="shared" ca="1" si="0"/>
        <v>DONE</v>
      </c>
      <c r="K11" s="13" t="str">
        <f t="shared" si="1"/>
        <v/>
      </c>
      <c r="L11" s="13">
        <f t="shared" ca="1" si="2"/>
        <v>0</v>
      </c>
      <c r="M11" s="13">
        <f t="shared" ca="1" si="3"/>
        <v>0</v>
      </c>
      <c r="N11" s="13">
        <f t="shared" ca="1" si="4"/>
        <v>1</v>
      </c>
      <c r="O11" s="13">
        <f t="shared" ca="1" si="5"/>
        <v>-77</v>
      </c>
      <c r="P11" s="20" t="s">
        <v>744</v>
      </c>
      <c r="Q11" s="27"/>
      <c r="R11" s="27"/>
      <c r="S11" s="27"/>
      <c r="T11" s="27"/>
      <c r="U11" s="27"/>
      <c r="V11" s="27"/>
      <c r="W11" s="27"/>
      <c r="X11" s="27"/>
      <c r="Y11" s="27"/>
      <c r="Z11" s="27"/>
      <c r="AA11" s="27"/>
      <c r="AB11" s="27"/>
      <c r="AC11" s="27"/>
      <c r="AD11" s="27"/>
    </row>
    <row r="12" spans="1:246" ht="69.75" customHeight="1" x14ac:dyDescent="0.15">
      <c r="A12" s="156">
        <v>246</v>
      </c>
      <c r="B12" s="157"/>
      <c r="C12" s="158" t="s">
        <v>695</v>
      </c>
      <c r="D12" s="157" t="s">
        <v>24</v>
      </c>
      <c r="E12" s="157" t="s">
        <v>685</v>
      </c>
      <c r="F12" s="159"/>
      <c r="G12" s="159"/>
      <c r="H12" s="159"/>
      <c r="I12" s="159"/>
      <c r="J12" s="157" t="str">
        <f t="shared" ref="J12" ca="1" si="6">IF(AND(I12&lt;=$C$2,I12&lt;&gt;0),"DONE",IF(K12&lt;0,"OVERDUE",IF(AND(K12="",O12&lt;0),"OVERDUE","IN TIME")))</f>
        <v>IN TIME</v>
      </c>
      <c r="K12" s="157" t="str">
        <f t="shared" ref="K12" si="7">IF(H12&gt;0,H12-$C$2,"")</f>
        <v/>
      </c>
      <c r="L12" s="157">
        <f t="shared" ref="L12" ca="1" si="8">IF(J12="OVERDUE",1,0)</f>
        <v>0</v>
      </c>
      <c r="M12" s="157">
        <f t="shared" ref="M12" ca="1" si="9">IF(J12="IN TIME",1,0)</f>
        <v>1</v>
      </c>
      <c r="N12" s="157">
        <f t="shared" ref="N12" ca="1" si="10">IF(J12="DONE",1,0)</f>
        <v>0</v>
      </c>
      <c r="O12" s="157" t="str">
        <f t="shared" ref="O12" si="11">IF(G12&gt;0,G12-$C$2,"")</f>
        <v/>
      </c>
      <c r="P12" s="160" t="s">
        <v>700</v>
      </c>
      <c r="Q12" s="27"/>
      <c r="R12" s="27"/>
      <c r="S12" s="27"/>
      <c r="T12" s="27"/>
      <c r="U12" s="27"/>
      <c r="V12" s="27"/>
      <c r="W12" s="27"/>
      <c r="X12" s="27"/>
      <c r="Y12" s="27"/>
      <c r="Z12" s="27"/>
      <c r="AA12" s="27"/>
      <c r="AB12" s="27"/>
      <c r="AC12" s="27"/>
      <c r="AD12" s="27"/>
    </row>
    <row r="13" spans="1:246" ht="90.75" customHeight="1" x14ac:dyDescent="0.15">
      <c r="A13" s="15">
        <v>247</v>
      </c>
      <c r="B13" s="13"/>
      <c r="C13" s="16" t="s">
        <v>708</v>
      </c>
      <c r="D13" s="13" t="s">
        <v>24</v>
      </c>
      <c r="E13" s="13" t="s">
        <v>662</v>
      </c>
      <c r="F13" s="14">
        <v>44414</v>
      </c>
      <c r="G13" s="14">
        <v>44421</v>
      </c>
      <c r="H13" s="14"/>
      <c r="I13" s="14">
        <v>44427</v>
      </c>
      <c r="J13" s="13" t="str">
        <f t="shared" ref="J13" ca="1" si="12">IF(AND(I13&lt;=$C$2,I13&lt;&gt;0),"DONE",IF(K13&lt;0,"OVERDUE",IF(AND(K13="",O13&lt;0),"OVERDUE","IN TIME")))</f>
        <v>DONE</v>
      </c>
      <c r="K13" s="13" t="str">
        <f t="shared" ref="K13" si="13">IF(H13&gt;0,H13-$C$2,"")</f>
        <v/>
      </c>
      <c r="L13" s="13">
        <f t="shared" ref="L13" ca="1" si="14">IF(J13="OVERDUE",1,0)</f>
        <v>0</v>
      </c>
      <c r="M13" s="13">
        <f t="shared" ref="M13" ca="1" si="15">IF(J13="IN TIME",1,0)</f>
        <v>0</v>
      </c>
      <c r="N13" s="13">
        <f t="shared" ref="N13" ca="1" si="16">IF(J13="DONE",1,0)</f>
        <v>1</v>
      </c>
      <c r="O13" s="13">
        <f t="shared" ref="O13" ca="1" si="17">IF(G13&gt;0,G13-$C$2,"")</f>
        <v>-56</v>
      </c>
      <c r="P13" s="20" t="s">
        <v>721</v>
      </c>
      <c r="Q13" s="27"/>
      <c r="R13" s="27"/>
      <c r="S13" s="27"/>
      <c r="T13" s="27"/>
      <c r="U13" s="27"/>
      <c r="V13" s="27"/>
      <c r="W13" s="27"/>
      <c r="X13" s="27"/>
      <c r="Y13" s="27"/>
      <c r="Z13" s="27"/>
      <c r="AA13" s="27"/>
      <c r="AB13" s="27"/>
      <c r="AC13" s="27"/>
      <c r="AD13" s="27"/>
    </row>
    <row r="14" spans="1:246" ht="24.6" customHeight="1" x14ac:dyDescent="0.15">
      <c r="A14" s="15">
        <v>248</v>
      </c>
      <c r="B14" s="13"/>
      <c r="C14" s="16" t="s">
        <v>696</v>
      </c>
      <c r="D14" s="13" t="s">
        <v>20</v>
      </c>
      <c r="E14" s="13" t="s">
        <v>685</v>
      </c>
      <c r="F14" s="14"/>
      <c r="G14" s="14"/>
      <c r="H14" s="14"/>
      <c r="I14" s="14"/>
      <c r="J14" s="13" t="str">
        <f t="shared" ref="J14" ca="1" si="18">IF(AND(I14&lt;=$C$2,I14&lt;&gt;0),"DONE",IF(K14&lt;0,"OVERDUE",IF(AND(K14="",O14&lt;0),"OVERDUE","IN TIME")))</f>
        <v>IN TIME</v>
      </c>
      <c r="K14" s="13" t="str">
        <f t="shared" ref="K14" si="19">IF(H14&gt;0,H14-$C$2,"")</f>
        <v/>
      </c>
      <c r="L14" s="13">
        <f t="shared" ref="L14" ca="1" si="20">IF(J14="OVERDUE",1,0)</f>
        <v>0</v>
      </c>
      <c r="M14" s="13">
        <f t="shared" ref="M14" ca="1" si="21">IF(J14="IN TIME",1,0)</f>
        <v>1</v>
      </c>
      <c r="N14" s="13">
        <f t="shared" ref="N14" ca="1" si="22">IF(J14="DONE",1,0)</f>
        <v>0</v>
      </c>
      <c r="O14" s="13" t="str">
        <f t="shared" ref="O14" si="23">IF(G14&gt;0,G14-$C$2,"")</f>
        <v/>
      </c>
      <c r="P14" s="20" t="s">
        <v>701</v>
      </c>
      <c r="Q14" s="27"/>
      <c r="R14" s="27"/>
      <c r="S14" s="27"/>
      <c r="T14" s="27"/>
      <c r="U14" s="27"/>
      <c r="V14" s="27"/>
      <c r="W14" s="27"/>
      <c r="X14" s="27"/>
      <c r="Y14" s="27"/>
      <c r="Z14" s="27"/>
      <c r="AA14" s="27"/>
      <c r="AB14" s="27"/>
      <c r="AC14" s="27"/>
      <c r="AD14" s="27"/>
    </row>
    <row r="15" spans="1:246" ht="69.75" customHeight="1" x14ac:dyDescent="0.15">
      <c r="A15" s="156">
        <v>249</v>
      </c>
      <c r="B15" s="157"/>
      <c r="C15" s="158" t="s">
        <v>697</v>
      </c>
      <c r="D15" s="157" t="s">
        <v>37</v>
      </c>
      <c r="E15" s="157" t="s">
        <v>685</v>
      </c>
      <c r="F15" s="159"/>
      <c r="G15" s="159"/>
      <c r="H15" s="159"/>
      <c r="I15" s="159"/>
      <c r="J15" s="157" t="str">
        <f t="shared" ref="J15" ca="1" si="24">IF(AND(I15&lt;=$C$2,I15&lt;&gt;0),"DONE",IF(K15&lt;0,"OVERDUE",IF(AND(K15="",O15&lt;0),"OVERDUE","IN TIME")))</f>
        <v>IN TIME</v>
      </c>
      <c r="K15" s="157" t="str">
        <f t="shared" ref="K15" si="25">IF(H15&gt;0,H15-$C$2,"")</f>
        <v/>
      </c>
      <c r="L15" s="157">
        <f t="shared" ref="L15" ca="1" si="26">IF(J15="OVERDUE",1,0)</f>
        <v>0</v>
      </c>
      <c r="M15" s="157">
        <f t="shared" ref="M15" ca="1" si="27">IF(J15="IN TIME",1,0)</f>
        <v>1</v>
      </c>
      <c r="N15" s="157">
        <f t="shared" ref="N15" ca="1" si="28">IF(J15="DONE",1,0)</f>
        <v>0</v>
      </c>
      <c r="O15" s="157" t="str">
        <f t="shared" ref="O15" si="29">IF(G15&gt;0,G15-$C$2,"")</f>
        <v/>
      </c>
      <c r="P15" s="160" t="s">
        <v>745</v>
      </c>
      <c r="Q15" s="27"/>
      <c r="R15" s="27"/>
      <c r="S15" s="27"/>
      <c r="T15" s="27"/>
      <c r="U15" s="27"/>
      <c r="V15" s="27"/>
      <c r="W15" s="27"/>
      <c r="X15" s="27"/>
      <c r="Y15" s="27"/>
      <c r="Z15" s="27"/>
      <c r="AA15" s="27"/>
      <c r="AB15" s="27"/>
      <c r="AC15" s="27"/>
      <c r="AD15" s="27"/>
    </row>
    <row r="16" spans="1:246" ht="57" customHeight="1" x14ac:dyDescent="0.15">
      <c r="A16" s="15">
        <v>250</v>
      </c>
      <c r="B16" s="13"/>
      <c r="C16" s="16" t="s">
        <v>699</v>
      </c>
      <c r="D16" s="13"/>
      <c r="E16" s="13" t="s">
        <v>685</v>
      </c>
      <c r="F16" s="14">
        <v>44414</v>
      </c>
      <c r="G16" s="14">
        <v>44421</v>
      </c>
      <c r="H16" s="14"/>
      <c r="I16" s="14">
        <v>44477</v>
      </c>
      <c r="J16" s="13" t="str">
        <f t="shared" ref="J16" ca="1" si="30">IF(AND(I16&lt;=$C$2,I16&lt;&gt;0),"DONE",IF(K16&lt;0,"OVERDUE",IF(AND(K16="",O16&lt;0),"OVERDUE","IN TIME")))</f>
        <v>DONE</v>
      </c>
      <c r="K16" s="13" t="str">
        <f t="shared" ref="K16" si="31">IF(H16&gt;0,H16-$C$2,"")</f>
        <v/>
      </c>
      <c r="L16" s="13">
        <f t="shared" ref="L16" ca="1" si="32">IF(J16="OVERDUE",1,0)</f>
        <v>0</v>
      </c>
      <c r="M16" s="13">
        <f t="shared" ref="M16" ca="1" si="33">IF(J16="IN TIME",1,0)</f>
        <v>0</v>
      </c>
      <c r="N16" s="13">
        <f t="shared" ref="N16" ca="1" si="34">IF(J16="DONE",1,0)</f>
        <v>1</v>
      </c>
      <c r="O16" s="13">
        <f t="shared" ref="O16" ca="1" si="35">IF(G16&gt;0,G16-$C$2,"")</f>
        <v>-56</v>
      </c>
      <c r="P16" s="20" t="s">
        <v>731</v>
      </c>
      <c r="Q16" s="27"/>
      <c r="R16" s="27"/>
      <c r="S16" s="27"/>
      <c r="T16" s="27"/>
      <c r="U16" s="27"/>
      <c r="V16" s="27"/>
      <c r="W16" s="27"/>
      <c r="X16" s="27"/>
      <c r="Y16" s="27"/>
      <c r="Z16" s="27"/>
      <c r="AA16" s="27"/>
      <c r="AB16" s="27"/>
      <c r="AC16" s="27"/>
      <c r="AD16" s="27"/>
    </row>
    <row r="17" spans="1:30" ht="24.6" customHeight="1" x14ac:dyDescent="0.15">
      <c r="A17" s="15">
        <v>251</v>
      </c>
      <c r="B17" s="13"/>
      <c r="C17" s="16" t="s">
        <v>698</v>
      </c>
      <c r="D17" s="13"/>
      <c r="E17" s="13" t="s">
        <v>358</v>
      </c>
      <c r="F17" s="14">
        <v>44410</v>
      </c>
      <c r="G17" s="14"/>
      <c r="H17" s="14"/>
      <c r="I17" s="14"/>
      <c r="J17" s="13" t="str">
        <f t="shared" ref="J17" ca="1" si="36">IF(AND(I17&lt;=$C$2,I17&lt;&gt;0),"DONE",IF(K17&lt;0,"OVERDUE",IF(AND(K17="",O17&lt;0),"OVERDUE","IN TIME")))</f>
        <v>IN TIME</v>
      </c>
      <c r="K17" s="13" t="str">
        <f t="shared" ref="K17" si="37">IF(H17&gt;0,H17-$C$2,"")</f>
        <v/>
      </c>
      <c r="L17" s="13">
        <f t="shared" ref="L17" ca="1" si="38">IF(J17="OVERDUE",1,0)</f>
        <v>0</v>
      </c>
      <c r="M17" s="13">
        <f t="shared" ref="M17" ca="1" si="39">IF(J17="IN TIME",1,0)</f>
        <v>1</v>
      </c>
      <c r="N17" s="13">
        <f t="shared" ref="N17" ca="1" si="40">IF(J17="DONE",1,0)</f>
        <v>0</v>
      </c>
      <c r="O17" s="13" t="str">
        <f t="shared" ref="O17" si="41">IF(G17&gt;0,G17-$C$2,"")</f>
        <v/>
      </c>
      <c r="P17" s="20" t="s">
        <v>738</v>
      </c>
      <c r="Q17" s="27"/>
      <c r="R17" s="27"/>
      <c r="S17" s="27"/>
      <c r="T17" s="27"/>
      <c r="U17" s="27"/>
      <c r="V17" s="27"/>
      <c r="W17" s="27"/>
      <c r="X17" s="27"/>
      <c r="Y17" s="27"/>
      <c r="Z17" s="27"/>
      <c r="AA17" s="27"/>
      <c r="AB17" s="27"/>
      <c r="AC17" s="27"/>
      <c r="AD17" s="27"/>
    </row>
    <row r="18" spans="1:30" ht="24.6" customHeight="1" x14ac:dyDescent="0.15">
      <c r="A18" s="15">
        <v>252</v>
      </c>
      <c r="B18" s="13"/>
      <c r="C18" s="16"/>
      <c r="D18" s="13"/>
      <c r="E18" s="13"/>
      <c r="F18" s="14"/>
      <c r="G18" s="14"/>
      <c r="H18" s="14"/>
      <c r="I18" s="14"/>
      <c r="J18" s="13" t="str">
        <f t="shared" ref="J18" ca="1" si="42">IF(AND(I18&lt;=$C$2,I18&lt;&gt;0),"DONE",IF(K18&lt;0,"OVERDUE",IF(AND(K18="",O18&lt;0),"OVERDUE","IN TIME")))</f>
        <v>IN TIME</v>
      </c>
      <c r="K18" s="13" t="str">
        <f t="shared" ref="K18" si="43">IF(H18&gt;0,H18-$C$2,"")</f>
        <v/>
      </c>
      <c r="L18" s="13">
        <f t="shared" ref="L18" ca="1" si="44">IF(J18="OVERDUE",1,0)</f>
        <v>0</v>
      </c>
      <c r="M18" s="13">
        <f t="shared" ref="M18" ca="1" si="45">IF(J18="IN TIME",1,0)</f>
        <v>1</v>
      </c>
      <c r="N18" s="13">
        <f t="shared" ref="N18" ca="1" si="46">IF(J18="DONE",1,0)</f>
        <v>0</v>
      </c>
      <c r="O18" s="13" t="str">
        <f t="shared" ref="O18" si="47">IF(G18&gt;0,G18-$C$2,"")</f>
        <v/>
      </c>
      <c r="P18" s="20"/>
      <c r="Q18" s="27"/>
      <c r="R18" s="27"/>
      <c r="S18" s="27"/>
      <c r="T18" s="27"/>
      <c r="U18" s="27"/>
      <c r="V18" s="27"/>
      <c r="W18" s="27"/>
      <c r="X18" s="27"/>
      <c r="Y18" s="27"/>
      <c r="Z18" s="27"/>
      <c r="AA18" s="27"/>
      <c r="AB18" s="27"/>
      <c r="AC18" s="27"/>
      <c r="AD18" s="27"/>
    </row>
    <row r="19" spans="1:30" ht="24.6" customHeight="1" x14ac:dyDescent="0.15">
      <c r="A19" s="15">
        <v>253</v>
      </c>
      <c r="B19" s="13"/>
      <c r="C19" s="16"/>
      <c r="D19" s="13"/>
      <c r="E19" s="13"/>
      <c r="F19" s="14"/>
      <c r="G19" s="14"/>
      <c r="H19" s="14"/>
      <c r="I19" s="14"/>
      <c r="J19" s="13" t="str">
        <f t="shared" ref="J19:J29" ca="1" si="48">IF(AND(I19&lt;=$C$2,I19&lt;&gt;0),"DONE",IF(K19&lt;0,"OVERDUE",IF(AND(K19="",O19&lt;0),"OVERDUE","IN TIME")))</f>
        <v>IN TIME</v>
      </c>
      <c r="K19" s="13" t="str">
        <f t="shared" ref="K19" si="49">IF(H19&gt;0,H19-$C$2,"")</f>
        <v/>
      </c>
      <c r="L19" s="13">
        <f t="shared" ref="L19" ca="1" si="50">IF(J19="OVERDUE",1,0)</f>
        <v>0</v>
      </c>
      <c r="M19" s="13">
        <f t="shared" ref="M19" ca="1" si="51">IF(J19="IN TIME",1,0)</f>
        <v>1</v>
      </c>
      <c r="N19" s="13">
        <f t="shared" ref="N19" ca="1" si="52">IF(J19="DONE",1,0)</f>
        <v>0</v>
      </c>
      <c r="O19" s="13" t="str">
        <f t="shared" ref="O19" si="53">IF(G19&gt;0,G19-$C$2,"")</f>
        <v/>
      </c>
      <c r="P19" s="20"/>
      <c r="Q19" s="27"/>
      <c r="R19" s="27"/>
      <c r="S19" s="27"/>
      <c r="T19" s="27"/>
      <c r="U19" s="27"/>
      <c r="V19" s="27"/>
      <c r="W19" s="27"/>
      <c r="X19" s="27"/>
      <c r="Y19" s="27"/>
      <c r="Z19" s="27"/>
      <c r="AA19" s="27"/>
      <c r="AB19" s="27"/>
      <c r="AC19" s="27"/>
      <c r="AD19" s="27"/>
    </row>
    <row r="20" spans="1:30" ht="46.5" customHeight="1" x14ac:dyDescent="0.15">
      <c r="A20" s="15">
        <v>254</v>
      </c>
      <c r="B20" s="13"/>
      <c r="C20" s="16" t="s">
        <v>739</v>
      </c>
      <c r="D20" s="13" t="s">
        <v>24</v>
      </c>
      <c r="E20" s="13" t="s">
        <v>687</v>
      </c>
      <c r="F20" s="14"/>
      <c r="G20" s="14"/>
      <c r="H20" s="14"/>
      <c r="I20" s="14"/>
      <c r="J20" s="13" t="str">
        <f t="shared" ca="1" si="48"/>
        <v>IN TIME</v>
      </c>
      <c r="K20" s="13" t="str">
        <f t="shared" ref="K20" si="54">IF(H20&gt;0,H20-$C$2,"")</f>
        <v/>
      </c>
      <c r="L20" s="13">
        <f t="shared" ref="L20" ca="1" si="55">IF(J20="OVERDUE",1,0)</f>
        <v>0</v>
      </c>
      <c r="M20" s="13">
        <f t="shared" ref="M20" ca="1" si="56">IF(J20="IN TIME",1,0)</f>
        <v>1</v>
      </c>
      <c r="N20" s="13">
        <f t="shared" ref="N20" ca="1" si="57">IF(J20="DONE",1,0)</f>
        <v>0</v>
      </c>
      <c r="O20" s="13" t="str">
        <f t="shared" ref="O20" si="58">IF(G20&gt;0,G20-$C$2,"")</f>
        <v/>
      </c>
      <c r="P20" s="20" t="s">
        <v>722</v>
      </c>
      <c r="Q20" s="27"/>
      <c r="R20" s="27"/>
      <c r="S20" s="27"/>
      <c r="T20" s="27"/>
      <c r="U20" s="27"/>
      <c r="V20" s="27"/>
      <c r="W20" s="27"/>
      <c r="X20" s="27"/>
      <c r="Y20" s="27"/>
      <c r="Z20" s="27"/>
      <c r="AA20" s="27"/>
      <c r="AB20" s="27"/>
      <c r="AC20" s="27"/>
      <c r="AD20" s="27"/>
    </row>
    <row r="21" spans="1:30" ht="24.6" customHeight="1" x14ac:dyDescent="0.15">
      <c r="A21" s="15">
        <v>255</v>
      </c>
      <c r="B21" s="13"/>
      <c r="C21" s="16" t="s">
        <v>740</v>
      </c>
      <c r="D21" s="13" t="s">
        <v>24</v>
      </c>
      <c r="E21" s="13" t="s">
        <v>688</v>
      </c>
      <c r="F21" s="14"/>
      <c r="G21" s="14"/>
      <c r="H21" s="14"/>
      <c r="I21" s="14"/>
      <c r="J21" s="13" t="str">
        <f t="shared" ca="1" si="48"/>
        <v>IN TIME</v>
      </c>
      <c r="K21" s="13" t="str">
        <f t="shared" ref="K21" si="59">IF(H21&gt;0,H21-$C$2,"")</f>
        <v/>
      </c>
      <c r="L21" s="13">
        <f t="shared" ref="L21" ca="1" si="60">IF(J21="OVERDUE",1,0)</f>
        <v>0</v>
      </c>
      <c r="M21" s="13">
        <f t="shared" ref="M21" ca="1" si="61">IF(J21="IN TIME",1,0)</f>
        <v>1</v>
      </c>
      <c r="N21" s="13">
        <f t="shared" ref="N21" ca="1" si="62">IF(J21="DONE",1,0)</f>
        <v>0</v>
      </c>
      <c r="O21" s="13" t="str">
        <f t="shared" ref="O21" si="63">IF(G21&gt;0,G21-$C$2,"")</f>
        <v/>
      </c>
      <c r="P21" s="20" t="s">
        <v>723</v>
      </c>
      <c r="Q21" s="27"/>
      <c r="R21" s="27"/>
      <c r="S21" s="27"/>
      <c r="T21" s="27"/>
      <c r="U21" s="27"/>
      <c r="V21" s="27"/>
      <c r="W21" s="27"/>
      <c r="X21" s="27"/>
      <c r="Y21" s="27"/>
      <c r="Z21" s="27"/>
      <c r="AA21" s="27"/>
      <c r="AB21" s="27"/>
      <c r="AC21" s="27"/>
      <c r="AD21" s="27"/>
    </row>
    <row r="22" spans="1:30" ht="44.25" customHeight="1" x14ac:dyDescent="0.15">
      <c r="A22" s="15">
        <v>256</v>
      </c>
      <c r="B22" s="13"/>
      <c r="C22" s="16" t="s">
        <v>741</v>
      </c>
      <c r="D22" s="13" t="s">
        <v>24</v>
      </c>
      <c r="E22" s="13" t="s">
        <v>689</v>
      </c>
      <c r="F22" s="14"/>
      <c r="G22" s="14"/>
      <c r="H22" s="14"/>
      <c r="I22" s="14"/>
      <c r="J22" s="13" t="str">
        <f t="shared" ca="1" si="48"/>
        <v>IN TIME</v>
      </c>
      <c r="K22" s="13" t="str">
        <f t="shared" ref="K22" si="64">IF(H22&gt;0,H22-$C$2,"")</f>
        <v/>
      </c>
      <c r="L22" s="13">
        <f t="shared" ref="L22" ca="1" si="65">IF(J22="OVERDUE",1,0)</f>
        <v>0</v>
      </c>
      <c r="M22" s="13">
        <f t="shared" ref="M22" ca="1" si="66">IF(J22="IN TIME",1,0)</f>
        <v>1</v>
      </c>
      <c r="N22" s="13">
        <f t="shared" ref="N22" ca="1" si="67">IF(J22="DONE",1,0)</f>
        <v>0</v>
      </c>
      <c r="O22" s="13" t="str">
        <f t="shared" ref="O22" si="68">IF(G22&gt;0,G22-$C$2,"")</f>
        <v/>
      </c>
      <c r="P22" s="20" t="s">
        <v>724</v>
      </c>
      <c r="Q22" s="27"/>
      <c r="R22" s="27"/>
      <c r="S22" s="27"/>
      <c r="T22" s="27"/>
      <c r="U22" s="27"/>
      <c r="V22" s="27"/>
      <c r="W22" s="27"/>
      <c r="X22" s="27"/>
      <c r="Y22" s="27"/>
      <c r="Z22" s="27"/>
      <c r="AA22" s="27"/>
      <c r="AB22" s="27"/>
      <c r="AC22" s="27"/>
      <c r="AD22" s="27"/>
    </row>
    <row r="23" spans="1:30" ht="24.6" customHeight="1" x14ac:dyDescent="0.15">
      <c r="A23" s="15">
        <v>257</v>
      </c>
      <c r="B23" s="13"/>
      <c r="C23" s="16"/>
      <c r="D23" s="13"/>
      <c r="E23" s="13"/>
      <c r="F23" s="14"/>
      <c r="G23" s="14"/>
      <c r="H23" s="14"/>
      <c r="I23" s="14"/>
      <c r="J23" s="13" t="str">
        <f t="shared" ca="1" si="48"/>
        <v>IN TIME</v>
      </c>
      <c r="K23" s="13"/>
      <c r="L23" s="13"/>
      <c r="M23" s="13"/>
      <c r="N23" s="13"/>
      <c r="O23" s="13"/>
      <c r="P23" s="20"/>
      <c r="Q23" s="27"/>
      <c r="R23" s="27"/>
      <c r="S23" s="27"/>
      <c r="T23" s="27"/>
      <c r="U23" s="27"/>
      <c r="V23" s="27"/>
      <c r="W23" s="27"/>
      <c r="X23" s="27"/>
      <c r="Y23" s="27"/>
      <c r="Z23" s="27"/>
      <c r="AA23" s="27"/>
      <c r="AB23" s="27"/>
      <c r="AC23" s="27"/>
      <c r="AD23" s="27"/>
    </row>
    <row r="24" spans="1:30" ht="124.5" customHeight="1" x14ac:dyDescent="0.15">
      <c r="A24" s="15">
        <v>258</v>
      </c>
      <c r="B24" s="13"/>
      <c r="C24" s="16" t="s">
        <v>709</v>
      </c>
      <c r="D24" s="13" t="s">
        <v>37</v>
      </c>
      <c r="E24" s="13"/>
      <c r="F24" s="14"/>
      <c r="G24" s="14"/>
      <c r="H24" s="14"/>
      <c r="I24" s="14">
        <v>44477</v>
      </c>
      <c r="J24" s="13" t="str">
        <f t="shared" ca="1" si="48"/>
        <v>DONE</v>
      </c>
      <c r="K24" s="13"/>
      <c r="L24" s="13"/>
      <c r="M24" s="13"/>
      <c r="N24" s="13"/>
      <c r="O24" s="13"/>
      <c r="P24" s="148" t="s">
        <v>742</v>
      </c>
      <c r="Q24" s="27"/>
      <c r="R24" s="27"/>
      <c r="S24" s="27"/>
      <c r="T24" s="27"/>
      <c r="U24" s="27"/>
      <c r="V24" s="27"/>
      <c r="W24" s="27"/>
      <c r="X24" s="27"/>
      <c r="Y24" s="27"/>
      <c r="Z24" s="27"/>
      <c r="AA24" s="27"/>
      <c r="AB24" s="27"/>
      <c r="AC24" s="27"/>
      <c r="AD24" s="27"/>
    </row>
    <row r="25" spans="1:30" ht="24.6" customHeight="1" x14ac:dyDescent="0.15">
      <c r="A25" s="15">
        <v>259</v>
      </c>
      <c r="B25" s="13"/>
      <c r="C25" s="16" t="s">
        <v>710</v>
      </c>
      <c r="D25" s="13" t="s">
        <v>24</v>
      </c>
      <c r="E25" s="13" t="s">
        <v>725</v>
      </c>
      <c r="F25" s="14">
        <v>44427</v>
      </c>
      <c r="G25" s="14">
        <v>44440</v>
      </c>
      <c r="H25" s="14"/>
      <c r="I25" s="14">
        <v>44477</v>
      </c>
      <c r="J25" s="13" t="str">
        <f t="shared" ca="1" si="48"/>
        <v>DONE</v>
      </c>
      <c r="K25" s="13"/>
      <c r="L25" s="13"/>
      <c r="M25" s="13"/>
      <c r="N25" s="13"/>
      <c r="O25" s="13"/>
      <c r="P25" s="20" t="s">
        <v>743</v>
      </c>
      <c r="Q25" s="27"/>
      <c r="R25" s="27"/>
      <c r="S25" s="27"/>
      <c r="T25" s="27"/>
      <c r="U25" s="27"/>
      <c r="V25" s="27"/>
      <c r="W25" s="27"/>
      <c r="X25" s="27"/>
      <c r="Y25" s="27"/>
      <c r="Z25" s="27"/>
      <c r="AA25" s="27"/>
      <c r="AB25" s="27"/>
      <c r="AC25" s="27"/>
      <c r="AD25" s="27"/>
    </row>
    <row r="26" spans="1:30" ht="24.6" customHeight="1" x14ac:dyDescent="0.15">
      <c r="A26" s="15">
        <v>260</v>
      </c>
      <c r="B26" s="13"/>
      <c r="C26" s="16" t="s">
        <v>711</v>
      </c>
      <c r="D26" s="13"/>
      <c r="E26" s="13"/>
      <c r="F26" s="14"/>
      <c r="G26" s="14"/>
      <c r="H26" s="14"/>
      <c r="I26" s="14">
        <v>44477</v>
      </c>
      <c r="J26" s="13" t="str">
        <f t="shared" ca="1" si="48"/>
        <v>DONE</v>
      </c>
      <c r="K26" s="13"/>
      <c r="L26" s="13"/>
      <c r="M26" s="13"/>
      <c r="N26" s="13"/>
      <c r="O26" s="13"/>
      <c r="P26" s="20" t="s">
        <v>726</v>
      </c>
      <c r="Q26" s="27"/>
      <c r="R26" s="27"/>
      <c r="S26" s="27"/>
      <c r="T26" s="27"/>
      <c r="U26" s="27"/>
      <c r="V26" s="27"/>
      <c r="W26" s="27"/>
      <c r="X26" s="27"/>
      <c r="Y26" s="27"/>
      <c r="Z26" s="27"/>
      <c r="AA26" s="27"/>
      <c r="AB26" s="27"/>
      <c r="AC26" s="27"/>
      <c r="AD26" s="27"/>
    </row>
    <row r="27" spans="1:30" ht="24.6" customHeight="1" x14ac:dyDescent="0.15">
      <c r="A27" s="15">
        <v>261</v>
      </c>
      <c r="B27" s="13"/>
      <c r="C27" s="16" t="s">
        <v>712</v>
      </c>
      <c r="D27" s="13" t="s">
        <v>20</v>
      </c>
      <c r="E27" s="13"/>
      <c r="F27" s="14"/>
      <c r="G27" s="14"/>
      <c r="H27" s="14"/>
      <c r="I27" s="14"/>
      <c r="J27" s="13" t="str">
        <f t="shared" ca="1" si="48"/>
        <v>IN TIME</v>
      </c>
      <c r="K27" s="13"/>
      <c r="L27" s="13"/>
      <c r="M27" s="13"/>
      <c r="N27" s="13"/>
      <c r="O27" s="13"/>
      <c r="P27" s="148" t="s">
        <v>727</v>
      </c>
      <c r="Q27" s="27"/>
      <c r="R27" s="27"/>
      <c r="S27" s="27"/>
      <c r="T27" s="27"/>
      <c r="U27" s="27"/>
      <c r="V27" s="27"/>
      <c r="W27" s="27"/>
      <c r="X27" s="27"/>
      <c r="Y27" s="27"/>
      <c r="Z27" s="27"/>
      <c r="AA27" s="27"/>
      <c r="AB27" s="27"/>
      <c r="AC27" s="27"/>
      <c r="AD27" s="27"/>
    </row>
    <row r="28" spans="1:30" ht="24.6" customHeight="1" x14ac:dyDescent="0.15">
      <c r="A28" s="15">
        <v>262</v>
      </c>
      <c r="B28" s="13"/>
      <c r="C28" s="16" t="s">
        <v>713</v>
      </c>
      <c r="D28" s="13" t="s">
        <v>20</v>
      </c>
      <c r="E28" s="13"/>
      <c r="F28" s="14"/>
      <c r="G28" s="14"/>
      <c r="H28" s="14"/>
      <c r="I28" s="14"/>
      <c r="J28" s="13" t="str">
        <f t="shared" ca="1" si="48"/>
        <v>IN TIME</v>
      </c>
      <c r="K28" s="13"/>
      <c r="L28" s="13"/>
      <c r="M28" s="13"/>
      <c r="N28" s="13"/>
      <c r="O28" s="13"/>
      <c r="P28" s="20" t="s">
        <v>728</v>
      </c>
      <c r="Q28" s="27"/>
      <c r="R28" s="27"/>
      <c r="S28" s="27"/>
      <c r="T28" s="27"/>
      <c r="U28" s="27"/>
      <c r="V28" s="27"/>
      <c r="W28" s="27"/>
      <c r="X28" s="27"/>
      <c r="Y28" s="27"/>
      <c r="Z28" s="27"/>
      <c r="AA28" s="27"/>
      <c r="AB28" s="27"/>
      <c r="AC28" s="27"/>
      <c r="AD28" s="27"/>
    </row>
    <row r="29" spans="1:30" ht="24.6" customHeight="1" x14ac:dyDescent="0.15">
      <c r="A29" s="15">
        <v>263</v>
      </c>
      <c r="B29" s="13"/>
      <c r="C29" s="16" t="s">
        <v>716</v>
      </c>
      <c r="D29" s="13" t="s">
        <v>37</v>
      </c>
      <c r="E29" s="13" t="s">
        <v>717</v>
      </c>
      <c r="F29" s="14">
        <v>44427</v>
      </c>
      <c r="G29" s="14">
        <v>44442</v>
      </c>
      <c r="H29" s="14"/>
      <c r="I29" s="14"/>
      <c r="J29" s="13" t="str">
        <f t="shared" ca="1" si="48"/>
        <v>IN TIME</v>
      </c>
      <c r="K29" s="13"/>
      <c r="L29" s="13"/>
      <c r="M29" s="13"/>
      <c r="N29" s="13"/>
      <c r="O29" s="13"/>
      <c r="P29" s="20" t="s">
        <v>718</v>
      </c>
      <c r="Q29" s="27"/>
      <c r="R29" s="27"/>
      <c r="S29" s="27"/>
      <c r="T29" s="27"/>
      <c r="U29" s="27"/>
      <c r="V29" s="27"/>
      <c r="W29" s="27"/>
      <c r="X29" s="27"/>
      <c r="Y29" s="27"/>
      <c r="Z29" s="27"/>
      <c r="AA29" s="27"/>
      <c r="AB29" s="27"/>
      <c r="AC29" s="27"/>
      <c r="AD29" s="27"/>
    </row>
  </sheetData>
  <autoFilter ref="A3:P11"/>
  <mergeCells count="2">
    <mergeCell ref="A1:P1"/>
    <mergeCell ref="A2:B2"/>
  </mergeCells>
  <phoneticPr fontId="34" type="noConversion"/>
  <conditionalFormatting sqref="J4:J10">
    <cfRule type="cellIs" dxfId="41" priority="85" operator="equal">
      <formula>"OVERDUE"</formula>
    </cfRule>
    <cfRule type="cellIs" dxfId="40" priority="86" operator="equal">
      <formula>"DONE"</formula>
    </cfRule>
    <cfRule type="cellIs" dxfId="39" priority="87" operator="equal">
      <formula>"DONE"</formula>
    </cfRule>
  </conditionalFormatting>
  <conditionalFormatting sqref="J11">
    <cfRule type="cellIs" dxfId="38" priority="64" operator="equal">
      <formula>"OVERDUE"</formula>
    </cfRule>
    <cfRule type="cellIs" dxfId="37" priority="65" operator="equal">
      <formula>"DONE"</formula>
    </cfRule>
    <cfRule type="cellIs" dxfId="36" priority="66" operator="equal">
      <formula>"DONE"</formula>
    </cfRule>
  </conditionalFormatting>
  <conditionalFormatting sqref="J2:J3 J30:J1048576">
    <cfRule type="cellIs" dxfId="35" priority="88" operator="equal">
      <formula>"OVERDUE"</formula>
    </cfRule>
    <cfRule type="cellIs" dxfId="34" priority="89" operator="equal">
      <formula>"DONE"</formula>
    </cfRule>
    <cfRule type="cellIs" dxfId="33" priority="90" operator="equal">
      <formula>"DONE"</formula>
    </cfRule>
  </conditionalFormatting>
  <conditionalFormatting sqref="J12">
    <cfRule type="cellIs" dxfId="32" priority="61" operator="equal">
      <formula>"OVERDUE"</formula>
    </cfRule>
    <cfRule type="cellIs" dxfId="31" priority="62" operator="equal">
      <formula>"DONE"</formula>
    </cfRule>
    <cfRule type="cellIs" dxfId="30" priority="63" operator="equal">
      <formula>"DONE"</formula>
    </cfRule>
  </conditionalFormatting>
  <conditionalFormatting sqref="J13">
    <cfRule type="cellIs" dxfId="29" priority="58" operator="equal">
      <formula>"OVERDUE"</formula>
    </cfRule>
    <cfRule type="cellIs" dxfId="28" priority="59" operator="equal">
      <formula>"DONE"</formula>
    </cfRule>
    <cfRule type="cellIs" dxfId="27" priority="60" operator="equal">
      <formula>"DONE"</formula>
    </cfRule>
  </conditionalFormatting>
  <conditionalFormatting sqref="J14">
    <cfRule type="cellIs" dxfId="26" priority="55" operator="equal">
      <formula>"OVERDUE"</formula>
    </cfRule>
    <cfRule type="cellIs" dxfId="25" priority="56" operator="equal">
      <formula>"DONE"</formula>
    </cfRule>
    <cfRule type="cellIs" dxfId="24" priority="57" operator="equal">
      <formula>"DONE"</formula>
    </cfRule>
  </conditionalFormatting>
  <conditionalFormatting sqref="J15">
    <cfRule type="cellIs" dxfId="23" priority="52" operator="equal">
      <formula>"OVERDUE"</formula>
    </cfRule>
    <cfRule type="cellIs" dxfId="22" priority="53" operator="equal">
      <formula>"DONE"</formula>
    </cfRule>
    <cfRule type="cellIs" dxfId="21" priority="54" operator="equal">
      <formula>"DONE"</formula>
    </cfRule>
  </conditionalFormatting>
  <conditionalFormatting sqref="J16">
    <cfRule type="cellIs" dxfId="20" priority="49" operator="equal">
      <formula>"OVERDUE"</formula>
    </cfRule>
    <cfRule type="cellIs" dxfId="19" priority="50" operator="equal">
      <formula>"DONE"</formula>
    </cfRule>
    <cfRule type="cellIs" dxfId="18" priority="51" operator="equal">
      <formula>"DONE"</formula>
    </cfRule>
  </conditionalFormatting>
  <conditionalFormatting sqref="J17">
    <cfRule type="cellIs" dxfId="17" priority="46" operator="equal">
      <formula>"OVERDUE"</formula>
    </cfRule>
    <cfRule type="cellIs" dxfId="16" priority="47" operator="equal">
      <formula>"DONE"</formula>
    </cfRule>
    <cfRule type="cellIs" dxfId="15" priority="48" operator="equal">
      <formula>"DONE"</formula>
    </cfRule>
  </conditionalFormatting>
  <conditionalFormatting sqref="J18">
    <cfRule type="cellIs" dxfId="14" priority="43" operator="equal">
      <formula>"OVERDUE"</formula>
    </cfRule>
    <cfRule type="cellIs" dxfId="13" priority="44" operator="equal">
      <formula>"DONE"</formula>
    </cfRule>
    <cfRule type="cellIs" dxfId="12" priority="45" operator="equal">
      <formula>"DONE"</formula>
    </cfRule>
  </conditionalFormatting>
  <conditionalFormatting sqref="J19">
    <cfRule type="cellIs" dxfId="11" priority="40" operator="equal">
      <formula>"OVERDUE"</formula>
    </cfRule>
    <cfRule type="cellIs" dxfId="10" priority="41" operator="equal">
      <formula>"DONE"</formula>
    </cfRule>
    <cfRule type="cellIs" dxfId="9" priority="42" operator="equal">
      <formula>"DONE"</formula>
    </cfRule>
  </conditionalFormatting>
  <conditionalFormatting sqref="J20">
    <cfRule type="cellIs" dxfId="8" priority="28" operator="equal">
      <formula>"OVERDUE"</formula>
    </cfRule>
    <cfRule type="cellIs" dxfId="7" priority="29" operator="equal">
      <formula>"DONE"</formula>
    </cfRule>
    <cfRule type="cellIs" dxfId="6" priority="30" operator="equal">
      <formula>"DONE"</formula>
    </cfRule>
  </conditionalFormatting>
  <conditionalFormatting sqref="J21">
    <cfRule type="cellIs" dxfId="5" priority="25" operator="equal">
      <formula>"OVERDUE"</formula>
    </cfRule>
    <cfRule type="cellIs" dxfId="4" priority="26" operator="equal">
      <formula>"DONE"</formula>
    </cfRule>
    <cfRule type="cellIs" dxfId="3" priority="27" operator="equal">
      <formula>"DONE"</formula>
    </cfRule>
  </conditionalFormatting>
  <conditionalFormatting sqref="J22:J29">
    <cfRule type="cellIs" dxfId="2" priority="22" operator="equal">
      <formula>"OVERDUE"</formula>
    </cfRule>
    <cfRule type="cellIs" dxfId="1" priority="23" operator="equal">
      <formula>"DONE"</formula>
    </cfRule>
    <cfRule type="cellIs" dxfId="0" priority="24" operator="equal">
      <formula>"DONE"</formula>
    </cfRule>
  </conditionalFormatting>
  <dataValidations count="1">
    <dataValidation type="list" allowBlank="1" showInputMessage="1" showErrorMessage="1" sqref="D1:D1048576">
      <formula1>"高,中,低"</formula1>
    </dataValidation>
  </dataValidations>
  <pageMargins left="0.51180555555555596" right="0" top="0.35416666666666702" bottom="0.39305555555555599" header="0.31388888888888899" footer="0.31388888888888899"/>
  <pageSetup paperSize="9"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4577" r:id="rId4" name="Button 1">
              <controlPr defaultSize="0" print="0" autoPict="0" macro="[0]!Insert_Line_moban">
                <anchor moveWithCells="1">
                  <from>
                    <xdr:col>0</xdr:col>
                    <xdr:colOff>104775</xdr:colOff>
                    <xdr:row>29</xdr:row>
                    <xdr:rowOff>85725</xdr:rowOff>
                  </from>
                  <to>
                    <xdr:col>2</xdr:col>
                    <xdr:colOff>695325</xdr:colOff>
                    <xdr:row>30</xdr:row>
                    <xdr:rowOff>161925</xdr:rowOff>
                  </to>
                </anchor>
              </controlPr>
            </control>
          </mc:Choice>
        </mc:AlternateContent>
      </controls>
    </mc:Choice>
  </mc:AlternateConten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D02C0DC3323C604EAE2E7FA4965E1370" ma:contentTypeVersion="0" ma:contentTypeDescription="Create a new document." ma:contentTypeScope="" ma:versionID="6ef2ceac325efc2abf9ab58aa80908ca">
  <xsd:schema xmlns:xsd="http://www.w3.org/2001/XMLSchema" xmlns:p="http://schemas.microsoft.com/office/2006/metadata/properties" targetNamespace="http://schemas.microsoft.com/office/2006/metadata/properties" ma:root="true" ma:fieldsID="4aeb20c0e3442673af7ee10786458764">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office/internal/2005/internalDocumentation"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ma:readOnly="tru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lastPrinted" minOccurs="0" maxOccurs="1" type="xsd:dateTime"/>
        <xsd:element name="contentStatus" minOccurs="0" maxOccurs="1" type="xsd:string"/>
      </xsd:all>
    </xsd:complexType>
  </xsd:schema>
</ct:contentTypeSchema>
</file>

<file path=customXml/itemProps1.xml><?xml version="1.0" encoding="utf-8"?>
<ds:datastoreItem xmlns:ds="http://schemas.openxmlformats.org/officeDocument/2006/customXml" ds:itemID="{480F11A6-3660-43C1-99FE-060D2F124066}">
  <ds:schemaRefs/>
</ds:datastoreItem>
</file>

<file path=customXml/itemProps2.xml><?xml version="1.0" encoding="utf-8"?>
<ds:datastoreItem xmlns:ds="http://schemas.openxmlformats.org/officeDocument/2006/customXml" ds:itemID="{D28F5C45-C627-4FF7-8D08-18B70412A884}">
  <ds:schemaRefs>
    <ds:schemaRef ds:uri="http://schemas.openxmlformats.org/package/2006/metadata/core-properties"/>
    <ds:schemaRef ds:uri="http://purl.org/dc/terms/"/>
    <ds:schemaRef ds:uri="http://purl.org/dc/elements/1.1/"/>
    <ds:schemaRef ds:uri="http://www.w3.org/XML/1998/namespace"/>
    <ds:schemaRef ds:uri="http://schemas.microsoft.com/office/2006/documentManagement/types"/>
    <ds:schemaRef ds:uri="http://schemas.microsoft.com/office/2006/metadata/properties"/>
    <ds:schemaRef ds:uri="http://purl.org/dc/dcmitype/"/>
  </ds:schemaRefs>
</ds:datastoreItem>
</file>

<file path=customXml/itemProps3.xml><?xml version="1.0" encoding="utf-8"?>
<ds:datastoreItem xmlns:ds="http://schemas.openxmlformats.org/officeDocument/2006/customXml" ds:itemID="{69639A4A-ED56-479D-BBC2-24ACE46046AC}">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工作表</vt:lpstr>
      </vt:variant>
      <vt:variant>
        <vt:i4>14</vt:i4>
      </vt:variant>
      <vt:variant>
        <vt:lpstr>命名范围</vt:lpstr>
      </vt:variant>
      <vt:variant>
        <vt:i4>26</vt:i4>
      </vt:variant>
    </vt:vector>
  </HeadingPairs>
  <TitlesOfParts>
    <vt:vector size="40" baseType="lpstr">
      <vt:lpstr>newbrush SDK总任务表</vt:lpstr>
      <vt:lpstr>项目时间表</vt:lpstr>
      <vt:lpstr>newbrush studio总任务表</vt:lpstr>
      <vt:lpstr>framework</vt:lpstr>
      <vt:lpstr>opengl</vt:lpstr>
      <vt:lpstr>other</vt:lpstr>
      <vt:lpstr>newbrush SDK详细任务跟进</vt:lpstr>
      <vt:lpstr>newbrush studio详细任务跟进</vt:lpstr>
      <vt:lpstr>倒车轨迹线线OpenGL方案</vt:lpstr>
      <vt:lpstr>RadarACM</vt:lpstr>
      <vt:lpstr>福特CDX706</vt:lpstr>
      <vt:lpstr>防晕车实验软件</vt:lpstr>
      <vt:lpstr>模型换装</vt:lpstr>
      <vt:lpstr>ipu02</vt:lpstr>
      <vt:lpstr>'newbrush studio总任务表'!Display_Week</vt:lpstr>
      <vt:lpstr>Display_Week</vt:lpstr>
      <vt:lpstr>'ipu02'!EOI</vt:lpstr>
      <vt:lpstr>'newbrush SDK详细任务跟进'!EOI</vt:lpstr>
      <vt:lpstr>'newbrush studio详细任务跟进'!EOI</vt:lpstr>
      <vt:lpstr>opengl!EOI</vt:lpstr>
      <vt:lpstr>other!EOI</vt:lpstr>
      <vt:lpstr>RadarACM!EOI</vt:lpstr>
      <vt:lpstr>倒车轨迹线线OpenGL方案!EOI</vt:lpstr>
      <vt:lpstr>防晕车实验软件!EOI</vt:lpstr>
      <vt:lpstr>福特CDX706!EOI</vt:lpstr>
      <vt:lpstr>模型换装!EOI</vt:lpstr>
      <vt:lpstr>EOI</vt:lpstr>
      <vt:lpstr>项目时间表!Print_Area</vt:lpstr>
      <vt:lpstr>'newbrush SDK总任务表'!Print_Titles</vt:lpstr>
      <vt:lpstr>'newbrush studio总任务表'!Print_Titles</vt:lpstr>
      <vt:lpstr>'newbrush studio总任务表'!Project_Start</vt:lpstr>
      <vt:lpstr>Project_Start</vt:lpstr>
      <vt:lpstr>项目时间表!ProjectEnd</vt:lpstr>
      <vt:lpstr>项目时间表!ProjectStart</vt:lpstr>
      <vt:lpstr>'newbrush SDK总任务表'!task_end</vt:lpstr>
      <vt:lpstr>'newbrush studio总任务表'!task_end</vt:lpstr>
      <vt:lpstr>'newbrush SDK总任务表'!task_progress</vt:lpstr>
      <vt:lpstr>'newbrush studio总任务表'!task_progress</vt:lpstr>
      <vt:lpstr>'newbrush SDK总任务表'!task_start</vt:lpstr>
      <vt:lpstr>'newbrush studio总任务表'!task_start</vt:lpstr>
    </vt:vector>
  </TitlesOfParts>
  <Company>DESAY SV Automotive</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Tang, Dan</dc:creator>
  <cp:lastModifiedBy>windows10</cp:lastModifiedBy>
  <cp:lastPrinted>2015-01-15T10:30:00Z</cp:lastPrinted>
  <dcterms:created xsi:type="dcterms:W3CDTF">2014-11-14T05:24:00Z</dcterms:created>
  <dcterms:modified xsi:type="dcterms:W3CDTF">2021-10-08T09:01:18Z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0x010100D02C0DC3323C604EAE2E7FA4965E1370</vt:lpwstr>
  </property>
  <property fmtid="{D5CDD505-2E9C-101B-9397-08002B2CF9AE}" pid="3" name="KSOProductBuildVer">
    <vt:lpwstr>2052-11.1.0.9440</vt:lpwstr>
  </property>
</Properties>
</file>