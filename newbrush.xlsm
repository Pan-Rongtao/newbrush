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hub\newbrush\"/>
    </mc:Choice>
  </mc:AlternateContent>
  <bookViews>
    <workbookView xWindow="0" yWindow="0" windowWidth="0" windowHeight="17490" firstSheet="2" activeTab="5"/>
  </bookViews>
  <sheets>
    <sheet name="framework" sheetId="5" r:id="rId1"/>
    <sheet name="opengl" sheetId="7" r:id="rId2"/>
    <sheet name="other" sheetId="9" r:id="rId3"/>
    <sheet name="newbrush SDK总任务表" sheetId="10" r:id="rId4"/>
    <sheet name="newbrush studio总任务表" sheetId="15" r:id="rId5"/>
    <sheet name="newbrush SDK详细任务跟进" sheetId="8" r:id="rId6"/>
    <sheet name="newbrush studio详细任务跟进" sheetId="12" r:id="rId7"/>
    <sheet name="倒车轨迹线线OpenGL方案" sheetId="17" r:id="rId8"/>
    <sheet name="项目时间表" sheetId="16" r:id="rId9"/>
  </sheets>
  <externalReferences>
    <externalReference r:id="rId10"/>
  </externalReferences>
  <definedNames>
    <definedName name="_xlnm._FilterDatabase" localSheetId="0" hidden="1">framework!$A$3:$P$18</definedName>
    <definedName name="_xlnm._FilterDatabase" localSheetId="5" hidden="1">'newbrush SDK详细任务跟进'!$A$3:$P$30</definedName>
    <definedName name="_xlnm._FilterDatabase" localSheetId="6" hidden="1">'newbrush studio详细任务跟进'!$A$3:$P$30</definedName>
    <definedName name="_xlnm._FilterDatabase" localSheetId="1" hidden="1">opengl!$A$3:$P$14</definedName>
    <definedName name="_xlnm._FilterDatabase" localSheetId="2" hidden="1">other!$A$3:$P$15</definedName>
    <definedName name="_xlnm._FilterDatabase" localSheetId="7" hidden="1">倒车轨迹线线OpenGL方案!$A$3:$P$27</definedName>
    <definedName name="ActualBeyond" localSheetId="6">'newbrush studio详细任务跟进'!PeriodInActual*(#REF!&gt;0)</definedName>
    <definedName name="ActualBeyond" localSheetId="4">'newbrush studio总任务表'!PeriodInActual*(#REF!&gt;0)</definedName>
    <definedName name="ActualBeyond" localSheetId="7">倒车轨迹线线OpenGL方案!PeriodInActual*(#REF!&gt;0)</definedName>
    <definedName name="ActualBeyond">PeriodInActual*(#REF!&gt;0)</definedName>
    <definedName name="Display_Week" localSheetId="4">'newbrush studio总任务表'!$E$4</definedName>
    <definedName name="Display_Week">'newbrush SDK总任务表'!$E$4</definedName>
    <definedName name="EOI" localSheetId="5">'newbrush SDK详细任务跟进'!$A$35</definedName>
    <definedName name="EOI" localSheetId="6">'newbrush studio详细任务跟进'!$A$31</definedName>
    <definedName name="EOI" localSheetId="1">opengl!$A$15</definedName>
    <definedName name="EOI" localSheetId="2">other!$A$16</definedName>
    <definedName name="EOI" localSheetId="7">倒车轨迹线线OpenGL方案!$A$28</definedName>
    <definedName name="EOI">framework!$A$19</definedName>
    <definedName name="EOS" localSheetId="3">#REF!</definedName>
    <definedName name="EOS" localSheetId="6">#REF!</definedName>
    <definedName name="EOS" localSheetId="4">#REF!</definedName>
    <definedName name="EOS" localSheetId="7">#REF!</definedName>
    <definedName name="EOS">#REF!</definedName>
    <definedName name="EOT" localSheetId="3">#REF!</definedName>
    <definedName name="EOT" localSheetId="6">#REF!</definedName>
    <definedName name="EOT" localSheetId="4">#REF!</definedName>
    <definedName name="EOT" localSheetId="7">#REF!</definedName>
    <definedName name="EOT">#REF!</definedName>
    <definedName name="PercentComplete" localSheetId="6">'newbrush studio详细任务跟进'!PercentCompleteBeyond*'newbrush studio详细任务跟进'!PeriodInPlan</definedName>
    <definedName name="PercentComplete" localSheetId="4">'newbrush studio总任务表'!PercentCompleteBeyond*'newbrush studio总任务表'!PeriodInPlan</definedName>
    <definedName name="PercentComplete" localSheetId="7">倒车轨迹线线OpenGL方案!PercentCompleteBeyond*倒车轨迹线线OpenGL方案!PeriodInPlan</definedName>
    <definedName name="PercentComplete">PercentCompleteBeyond*PeriodInPlan</definedName>
    <definedName name="PercentCompleteBeyond" localSheetId="6">(#REF!=MEDIAN(#REF!,#REF!,#REF!+#REF!)*(#REF!&gt;0))*((#REF!&lt;(INT(#REF!+#REF!*#REF!)))+(#REF!=#REF!))*(#REF!&gt;0)</definedName>
    <definedName name="PercentCompleteBeyond" localSheetId="4">(#REF!=MEDIAN(#REF!,#REF!,#REF!+#REF!)*(#REF!&gt;0))*((#REF!&lt;(INT(#REF!+#REF!*#REF!)))+(#REF!=#REF!))*(#REF!&gt;0)</definedName>
    <definedName name="PercentCompleteBeyond" localSheetId="7">(#REF!=MEDIAN(#REF!,#REF!,#REF!+#REF!)*(#REF!&gt;0))*((#REF!&lt;(INT(#REF!+#REF!*#REF!)))+(#REF!=#REF!))*(#REF!&gt;0)</definedName>
    <definedName name="PercentCompleteBeyond">(#REF!=MEDIAN(#REF!,#REF!,#REF!+#REF!)*(#REF!&gt;0))*((#REF!&lt;(INT(#REF!+#REF!*#REF!)))+(#REF!=#REF!))*(#REF!&gt;0)</definedName>
    <definedName name="period_selected" localSheetId="6">#REF!</definedName>
    <definedName name="period_selected" localSheetId="4">#REF!</definedName>
    <definedName name="period_selected" localSheetId="7">#REF!</definedName>
    <definedName name="period_selected">#REF!</definedName>
    <definedName name="PeriodInActual" localSheetId="6">#REF!=MEDIAN(#REF!,#REF!,#REF!+#REF!-1)</definedName>
    <definedName name="PeriodInActual" localSheetId="4">#REF!=MEDIAN(#REF!,#REF!,#REF!+#REF!-1)</definedName>
    <definedName name="PeriodInActual" localSheetId="7">#REF!=MEDIAN(#REF!,#REF!,#REF!+#REF!-1)</definedName>
    <definedName name="PeriodInActual">#REF!=MEDIAN(#REF!,#REF!,#REF!+#REF!-1)</definedName>
    <definedName name="PeriodInPlan" localSheetId="6">#REF!=MEDIAN(#REF!,#REF!,#REF!+#REF!-1)</definedName>
    <definedName name="PeriodInPlan" localSheetId="4">#REF!=MEDIAN(#REF!,#REF!,#REF!+#REF!-1)</definedName>
    <definedName name="PeriodInPlan" localSheetId="7">#REF!=MEDIAN(#REF!,#REF!,#REF!+#REF!-1)</definedName>
    <definedName name="PeriodInPlan">#REF!=MEDIAN(#REF!,#REF!,#REF!+#REF!-1)</definedName>
    <definedName name="_xlnm.Print_Area" localSheetId="8">项目时间表!$A$1:$N$17</definedName>
    <definedName name="_xlnm.Print_Titles" localSheetId="3">'newbrush SDK总任务表'!$4:$6</definedName>
    <definedName name="_xlnm.Print_Titles" localSheetId="4">'newbrush studio总任务表'!$4:$6</definedName>
    <definedName name="Project_Start" localSheetId="4">'newbrush studio总任务表'!$E$3</definedName>
    <definedName name="Project_Start">'newbrush SDK总任务表'!$E$3</definedName>
    <definedName name="ProjectEnd" localSheetId="7">#REF!</definedName>
    <definedName name="ProjectEnd" localSheetId="8">项目时间表!$L$21</definedName>
    <definedName name="ProjectEnd">#REF!</definedName>
    <definedName name="ProjectStart" localSheetId="7">#REF!</definedName>
    <definedName name="ProjectStart" localSheetId="8">项目时间表!$L$19</definedName>
    <definedName name="ProjectStart">#REF!</definedName>
    <definedName name="task_end" localSheetId="3">'newbrush SDK总任务表'!$F1</definedName>
    <definedName name="task_end" localSheetId="4">'newbrush studio总任务表'!$F1</definedName>
    <definedName name="task_progress" localSheetId="3">'newbrush SDK总任务表'!$D1</definedName>
    <definedName name="task_progress" localSheetId="4">'newbrush studio总任务表'!$D1</definedName>
    <definedName name="task_start" localSheetId="3">'newbrush SDK总任务表'!$E1</definedName>
    <definedName name="task_start" localSheetId="4">'newbrush studio总任务表'!$E1</definedName>
    <definedName name="TitleRegion..BO60" localSheetId="6">#REF!</definedName>
    <definedName name="TitleRegion..BO60" localSheetId="4">#REF!</definedName>
    <definedName name="TitleRegion..BO60" localSheetId="7">#REF!</definedName>
    <definedName name="TitleRegion..BO60">#REF!</definedName>
    <definedName name="计划" localSheetId="6">'newbrush studio详细任务跟进'!PeriodInPlan*(#REF!&gt;0)</definedName>
    <definedName name="计划" localSheetId="4">'newbrush studio总任务表'!PeriodInPlan*(#REF!&gt;0)</definedName>
    <definedName name="计划" localSheetId="7">倒车轨迹线线OpenGL方案!PeriodInPlan*(#REF!&gt;0)</definedName>
    <definedName name="计划">PeriodInPlan*(#REF!&gt;0)</definedName>
    <definedName name="今天" localSheetId="3">TODAY()</definedName>
    <definedName name="今天" localSheetId="4">TODAY()</definedName>
    <definedName name="实际值" localSheetId="6">('newbrush studio详细任务跟进'!PeriodInActual*(#REF!&gt;0))*'newbrush studio详细任务跟进'!PeriodInPlan</definedName>
    <definedName name="实际值" localSheetId="4">('newbrush studio总任务表'!PeriodInActual*(#REF!&gt;0))*'newbrush studio总任务表'!PeriodInPlan</definedName>
    <definedName name="实际值" localSheetId="7">(倒车轨迹线线OpenGL方案!PeriodInActual*(#REF!&gt;0))*倒车轨迹线线OpenGL方案!PeriodInPlan</definedName>
    <definedName name="实际值">(PeriodInActual*(#REF!&gt;0))*PeriodInPlan</definedName>
    <definedName name="图表年份">YEAR([1]图表数据!$B$4)</definedName>
  </definedNames>
  <calcPr calcId="162913"/>
</workbook>
</file>

<file path=xl/calcChain.xml><?xml version="1.0" encoding="utf-8"?>
<calcChain xmlns="http://schemas.openxmlformats.org/spreadsheetml/2006/main">
  <c r="O27" i="17" l="1"/>
  <c r="K27" i="17"/>
  <c r="O26" i="17"/>
  <c r="K26" i="17"/>
  <c r="O25" i="17"/>
  <c r="K25" i="17"/>
  <c r="O24" i="17"/>
  <c r="K24" i="17"/>
  <c r="O23" i="17"/>
  <c r="K23" i="17"/>
  <c r="O22" i="17"/>
  <c r="K22" i="17"/>
  <c r="O21" i="17"/>
  <c r="K21" i="17"/>
  <c r="O20" i="17"/>
  <c r="K20" i="17"/>
  <c r="O19" i="17"/>
  <c r="K19" i="17"/>
  <c r="O18" i="17"/>
  <c r="K18" i="17"/>
  <c r="O17" i="17"/>
  <c r="K17" i="17"/>
  <c r="O16" i="17"/>
  <c r="K16" i="17"/>
  <c r="O15" i="17"/>
  <c r="K15" i="17"/>
  <c r="O14" i="17"/>
  <c r="K14" i="17"/>
  <c r="O13" i="17"/>
  <c r="K13" i="17"/>
  <c r="O12" i="17"/>
  <c r="K12" i="17"/>
  <c r="O11" i="17"/>
  <c r="K11" i="17"/>
  <c r="O10" i="17"/>
  <c r="K10" i="17"/>
  <c r="O9" i="17"/>
  <c r="K9" i="17"/>
  <c r="O6" i="17"/>
  <c r="K6" i="17"/>
  <c r="K5" i="17"/>
  <c r="K4" i="17"/>
  <c r="C2" i="17"/>
  <c r="J19" i="17" s="1"/>
  <c r="M19" i="17" l="1"/>
  <c r="L19" i="17"/>
  <c r="N19" i="17"/>
  <c r="J21" i="17"/>
  <c r="J23" i="17"/>
  <c r="J25" i="17"/>
  <c r="J27" i="17"/>
  <c r="O5" i="17"/>
  <c r="J5" i="17" s="1"/>
  <c r="J6" i="17"/>
  <c r="J10" i="17"/>
  <c r="J12" i="17"/>
  <c r="J14" i="17"/>
  <c r="J16" i="17"/>
  <c r="J18" i="17"/>
  <c r="J20" i="17"/>
  <c r="J22" i="17"/>
  <c r="J24" i="17"/>
  <c r="J26" i="17"/>
  <c r="O4" i="17"/>
  <c r="J4" i="17" s="1"/>
  <c r="J9" i="17"/>
  <c r="J11" i="17"/>
  <c r="J13" i="17"/>
  <c r="J15" i="17"/>
  <c r="J17" i="17"/>
  <c r="O34" i="8"/>
  <c r="K34" i="8"/>
  <c r="K33" i="8"/>
  <c r="K32" i="8"/>
  <c r="N4" i="17" l="1"/>
  <c r="M4" i="17"/>
  <c r="L4" i="17"/>
  <c r="N18" i="17"/>
  <c r="M18" i="17"/>
  <c r="L18" i="17"/>
  <c r="N27" i="17"/>
  <c r="M27" i="17"/>
  <c r="L27" i="17"/>
  <c r="M17" i="17"/>
  <c r="L17" i="17"/>
  <c r="N17" i="17"/>
  <c r="N24" i="17"/>
  <c r="M24" i="17"/>
  <c r="L24" i="17"/>
  <c r="M25" i="17"/>
  <c r="L25" i="17"/>
  <c r="N25" i="17"/>
  <c r="M15" i="17"/>
  <c r="L15" i="17"/>
  <c r="N15" i="17"/>
  <c r="M5" i="17"/>
  <c r="L5" i="17"/>
  <c r="N5" i="17"/>
  <c r="L22" i="17"/>
  <c r="N22" i="17"/>
  <c r="M22" i="17"/>
  <c r="N14" i="17"/>
  <c r="M14" i="17"/>
  <c r="L14" i="17"/>
  <c r="L6" i="17"/>
  <c r="N6" i="17"/>
  <c r="M6" i="17"/>
  <c r="M23" i="17"/>
  <c r="L23" i="17"/>
  <c r="N23" i="17"/>
  <c r="M11" i="17"/>
  <c r="L11" i="17"/>
  <c r="N11" i="17"/>
  <c r="N26" i="17"/>
  <c r="M26" i="17"/>
  <c r="L26" i="17"/>
  <c r="N10" i="17"/>
  <c r="M10" i="17"/>
  <c r="L10" i="17"/>
  <c r="M9" i="17"/>
  <c r="L9" i="17"/>
  <c r="N9" i="17"/>
  <c r="N16" i="17"/>
  <c r="M16" i="17"/>
  <c r="L16" i="17"/>
  <c r="M13" i="17"/>
  <c r="L13" i="17"/>
  <c r="N13" i="17"/>
  <c r="N20" i="17"/>
  <c r="M20" i="17"/>
  <c r="L20" i="17"/>
  <c r="N12" i="17"/>
  <c r="M12" i="17"/>
  <c r="L12" i="17"/>
  <c r="M21" i="17"/>
  <c r="L21" i="17"/>
  <c r="N21" i="17"/>
  <c r="K31" i="8"/>
  <c r="E30" i="16" l="1"/>
  <c r="E37" i="16"/>
  <c r="E38" i="16"/>
  <c r="E39" i="16"/>
  <c r="E40" i="16"/>
  <c r="E41" i="16"/>
  <c r="E36" i="16"/>
  <c r="E35" i="16"/>
  <c r="E42" i="16" l="1"/>
  <c r="E26" i="16"/>
  <c r="E33" i="16"/>
  <c r="E20" i="16"/>
  <c r="E21" i="16"/>
  <c r="E22" i="16"/>
  <c r="E23" i="16"/>
  <c r="E24" i="16"/>
  <c r="E25" i="16"/>
  <c r="E27" i="16"/>
  <c r="E28" i="16"/>
  <c r="E29" i="16"/>
  <c r="E31" i="16"/>
  <c r="E32" i="16"/>
  <c r="E34" i="16"/>
  <c r="F89" i="15" l="1"/>
  <c r="E90" i="15"/>
  <c r="F90" i="15"/>
  <c r="E91" i="15"/>
  <c r="F91" i="15" s="1"/>
  <c r="E92" i="15" s="1"/>
  <c r="F92" i="15" s="1"/>
  <c r="E93" i="15" s="1"/>
  <c r="F93" i="15" s="1"/>
  <c r="F94" i="15"/>
  <c r="F95" i="15"/>
  <c r="F96" i="15"/>
  <c r="F97" i="15"/>
  <c r="F98" i="15"/>
  <c r="F99" i="15"/>
  <c r="F100" i="15"/>
  <c r="F101" i="15"/>
  <c r="F102" i="15"/>
  <c r="F103" i="15"/>
  <c r="F104" i="15"/>
  <c r="F105" i="15"/>
  <c r="F106" i="15"/>
  <c r="F107" i="15"/>
  <c r="F108" i="15"/>
  <c r="F109" i="15"/>
  <c r="F110" i="15"/>
  <c r="F111" i="15"/>
  <c r="F112" i="15"/>
  <c r="F113" i="15"/>
  <c r="F114" i="15"/>
  <c r="H187" i="15" l="1"/>
  <c r="H186" i="15"/>
  <c r="H185" i="15"/>
  <c r="H182" i="15"/>
  <c r="H181" i="15"/>
  <c r="H180" i="15"/>
  <c r="H179" i="15"/>
  <c r="H178" i="15"/>
  <c r="H177" i="15"/>
  <c r="H176" i="15"/>
  <c r="H175" i="15"/>
  <c r="H174" i="15"/>
  <c r="H173" i="15"/>
  <c r="H172" i="15"/>
  <c r="H171" i="15"/>
  <c r="H170" i="15"/>
  <c r="H169" i="15"/>
  <c r="H168" i="15"/>
  <c r="H167" i="15"/>
  <c r="H166" i="15"/>
  <c r="H165" i="15"/>
  <c r="H164" i="15"/>
  <c r="H163" i="15"/>
  <c r="H162" i="15"/>
  <c r="H161" i="15"/>
  <c r="H160" i="15"/>
  <c r="H159" i="15"/>
  <c r="H158" i="15"/>
  <c r="H157" i="15"/>
  <c r="H156" i="15"/>
  <c r="H155" i="15"/>
  <c r="H154" i="15"/>
  <c r="H153" i="15"/>
  <c r="H152" i="15"/>
  <c r="H151" i="15"/>
  <c r="H150" i="15"/>
  <c r="H149" i="15"/>
  <c r="H148" i="15"/>
  <c r="H147" i="15"/>
  <c r="H146" i="15"/>
  <c r="H145" i="15"/>
  <c r="H144" i="15"/>
  <c r="H143" i="15"/>
  <c r="H142" i="15"/>
  <c r="H141" i="15"/>
  <c r="H140" i="15"/>
  <c r="H139" i="15"/>
  <c r="H138" i="15"/>
  <c r="H137" i="15"/>
  <c r="H136" i="15"/>
  <c r="H135" i="15"/>
  <c r="H134" i="15"/>
  <c r="H133" i="15"/>
  <c r="H132" i="15"/>
  <c r="H131" i="15"/>
  <c r="H130" i="15"/>
  <c r="H129" i="15"/>
  <c r="H128" i="15"/>
  <c r="H127" i="15"/>
  <c r="H126" i="15"/>
  <c r="H125" i="15"/>
  <c r="H124" i="15"/>
  <c r="H123" i="15"/>
  <c r="H122" i="15"/>
  <c r="H121" i="15"/>
  <c r="H120" i="15"/>
  <c r="H119" i="15"/>
  <c r="H118" i="15"/>
  <c r="H117" i="15"/>
  <c r="H116" i="15"/>
  <c r="H114" i="15"/>
  <c r="H113" i="15"/>
  <c r="H112" i="15"/>
  <c r="H111" i="15"/>
  <c r="H110" i="15"/>
  <c r="H109" i="15"/>
  <c r="H108" i="15"/>
  <c r="H107" i="15"/>
  <c r="H106" i="15"/>
  <c r="H105" i="15"/>
  <c r="H104" i="15"/>
  <c r="H103" i="15"/>
  <c r="H102" i="15"/>
  <c r="H101" i="15"/>
  <c r="H100" i="15"/>
  <c r="H99" i="15"/>
  <c r="H98" i="15"/>
  <c r="H97" i="15"/>
  <c r="H96" i="15"/>
  <c r="H95" i="15"/>
  <c r="H94" i="15"/>
  <c r="H89" i="15"/>
  <c r="H88" i="15"/>
  <c r="H78" i="15"/>
  <c r="H77" i="15"/>
  <c r="H76" i="15"/>
  <c r="H75" i="15"/>
  <c r="H74" i="15"/>
  <c r="H73" i="15"/>
  <c r="H72" i="15"/>
  <c r="H71" i="15"/>
  <c r="H70" i="15"/>
  <c r="H69" i="15"/>
  <c r="H68" i="15"/>
  <c r="H67" i="15"/>
  <c r="H66" i="15"/>
  <c r="H65" i="15"/>
  <c r="H64" i="15"/>
  <c r="H63" i="15"/>
  <c r="H62" i="15"/>
  <c r="H61" i="15"/>
  <c r="H60" i="15"/>
  <c r="H59" i="15"/>
  <c r="H58" i="15"/>
  <c r="H57" i="15"/>
  <c r="H56" i="15"/>
  <c r="H55" i="15"/>
  <c r="H54" i="15"/>
  <c r="H53" i="15"/>
  <c r="H52" i="15"/>
  <c r="H51" i="15"/>
  <c r="H50" i="15"/>
  <c r="H49" i="15"/>
  <c r="H48" i="15"/>
  <c r="H47" i="15"/>
  <c r="H46" i="15"/>
  <c r="H45" i="15"/>
  <c r="H44" i="15"/>
  <c r="H43" i="15"/>
  <c r="H42" i="15"/>
  <c r="H41" i="15"/>
  <c r="H40" i="15"/>
  <c r="H38" i="15"/>
  <c r="H37" i="15"/>
  <c r="H36" i="15"/>
  <c r="H35" i="15"/>
  <c r="H34" i="15"/>
  <c r="H33" i="15"/>
  <c r="H32" i="15"/>
  <c r="H31" i="15"/>
  <c r="H30" i="15"/>
  <c r="H29" i="15"/>
  <c r="H28" i="15"/>
  <c r="H26" i="15"/>
  <c r="H25" i="15"/>
  <c r="H24" i="15"/>
  <c r="H23" i="15"/>
  <c r="H22" i="15"/>
  <c r="H21" i="15"/>
  <c r="H20" i="15"/>
  <c r="H19" i="15"/>
  <c r="H18" i="15"/>
  <c r="H17" i="15"/>
  <c r="H16" i="15"/>
  <c r="F15" i="15"/>
  <c r="H15" i="15" s="1"/>
  <c r="F14" i="15"/>
  <c r="H14" i="15" s="1"/>
  <c r="F13" i="15"/>
  <c r="H13" i="15" s="1"/>
  <c r="F12" i="15"/>
  <c r="H12" i="15" s="1"/>
  <c r="F11" i="15"/>
  <c r="H11" i="15" s="1"/>
  <c r="F10" i="15"/>
  <c r="H10" i="15" s="1"/>
  <c r="F9" i="15"/>
  <c r="H9" i="15" s="1"/>
  <c r="H8" i="15"/>
  <c r="H7" i="15"/>
  <c r="J5" i="15"/>
  <c r="J6" i="15" s="1"/>
  <c r="J4" i="15" l="1"/>
  <c r="K5" i="15"/>
  <c r="L5" i="15" s="1"/>
  <c r="M5" i="15" s="1"/>
  <c r="L6" i="15"/>
  <c r="H39" i="15"/>
  <c r="H90" i="15"/>
  <c r="K6" i="15" l="1"/>
  <c r="H92" i="15"/>
  <c r="H91" i="15"/>
  <c r="H27" i="15"/>
  <c r="N5" i="15"/>
  <c r="M6" i="15"/>
  <c r="O30" i="12"/>
  <c r="K30" i="12"/>
  <c r="O29" i="12"/>
  <c r="K29" i="12"/>
  <c r="O28" i="12"/>
  <c r="K28" i="12"/>
  <c r="O27" i="12"/>
  <c r="K27" i="12"/>
  <c r="O26" i="12"/>
  <c r="K26" i="12"/>
  <c r="O25" i="12"/>
  <c r="K25" i="12"/>
  <c r="O24" i="12"/>
  <c r="K24" i="12"/>
  <c r="O23" i="12"/>
  <c r="K23" i="12"/>
  <c r="O22" i="12"/>
  <c r="K22" i="12"/>
  <c r="O21" i="12"/>
  <c r="K21" i="12"/>
  <c r="O20" i="12"/>
  <c r="K20" i="12"/>
  <c r="O19" i="12"/>
  <c r="K19" i="12"/>
  <c r="O18" i="12"/>
  <c r="K18" i="12"/>
  <c r="O17" i="12"/>
  <c r="K17" i="12"/>
  <c r="O16" i="12"/>
  <c r="K16" i="12"/>
  <c r="K15" i="12"/>
  <c r="K14" i="12"/>
  <c r="K13" i="12"/>
  <c r="K12" i="12"/>
  <c r="K11" i="12"/>
  <c r="K10" i="12"/>
  <c r="K9" i="12"/>
  <c r="K8" i="12"/>
  <c r="K7" i="12"/>
  <c r="K6" i="12"/>
  <c r="K5" i="12"/>
  <c r="K4" i="12"/>
  <c r="C2" i="12"/>
  <c r="O14" i="12" s="1"/>
  <c r="F127" i="10"/>
  <c r="H127" i="10" s="1"/>
  <c r="F126" i="10"/>
  <c r="H126" i="10" s="1"/>
  <c r="F125" i="10"/>
  <c r="H125" i="10" s="1"/>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F124" i="10"/>
  <c r="H124" i="10" s="1"/>
  <c r="F120" i="10"/>
  <c r="F119" i="10"/>
  <c r="F118" i="10"/>
  <c r="F121" i="10"/>
  <c r="H121" i="10" s="1"/>
  <c r="F122" i="10"/>
  <c r="H122" i="10" s="1"/>
  <c r="F123" i="10"/>
  <c r="H123" i="10" s="1"/>
  <c r="F128" i="10"/>
  <c r="H128" i="10" s="1"/>
  <c r="O13" i="12" l="1"/>
  <c r="J13" i="12" s="1"/>
  <c r="N6" i="15"/>
  <c r="O5" i="15"/>
  <c r="H93" i="15"/>
  <c r="O5" i="12"/>
  <c r="J5" i="12" s="1"/>
  <c r="O11" i="12"/>
  <c r="J11" i="12" s="1"/>
  <c r="J17" i="12"/>
  <c r="J19" i="12"/>
  <c r="J21" i="12"/>
  <c r="J23" i="12"/>
  <c r="J25" i="12"/>
  <c r="J27" i="12"/>
  <c r="J29" i="12"/>
  <c r="O15" i="12"/>
  <c r="J15" i="12" s="1"/>
  <c r="J14" i="12"/>
  <c r="J16" i="12"/>
  <c r="J18" i="12"/>
  <c r="J20" i="12"/>
  <c r="J22" i="12"/>
  <c r="J24" i="12"/>
  <c r="J26" i="12"/>
  <c r="J28" i="12"/>
  <c r="J30" i="12"/>
  <c r="O7" i="12"/>
  <c r="J7" i="12" s="1"/>
  <c r="O9" i="12"/>
  <c r="J9" i="12" s="1"/>
  <c r="O4" i="12"/>
  <c r="J4" i="12" s="1"/>
  <c r="O6" i="12"/>
  <c r="J6" i="12" s="1"/>
  <c r="O8" i="12"/>
  <c r="J8" i="12" s="1"/>
  <c r="O10" i="12"/>
  <c r="J10" i="12" s="1"/>
  <c r="O12" i="12"/>
  <c r="J12" i="12" s="1"/>
  <c r="F117" i="10"/>
  <c r="H117" i="10" s="1"/>
  <c r="H118" i="10"/>
  <c r="F108" i="10"/>
  <c r="F107" i="10"/>
  <c r="H107" i="10" s="1"/>
  <c r="F105" i="10"/>
  <c r="H105" i="10" s="1"/>
  <c r="F104" i="10"/>
  <c r="F103" i="10"/>
  <c r="F102" i="10"/>
  <c r="H102" i="10" s="1"/>
  <c r="F101" i="10"/>
  <c r="H101" i="10" s="1"/>
  <c r="F106" i="10"/>
  <c r="H106" i="10" s="1"/>
  <c r="F109" i="10"/>
  <c r="H109" i="10" s="1"/>
  <c r="F110" i="10"/>
  <c r="H110" i="10" s="1"/>
  <c r="F111" i="10"/>
  <c r="H111" i="10" s="1"/>
  <c r="F112" i="10"/>
  <c r="F113" i="10"/>
  <c r="H113" i="10" s="1"/>
  <c r="F114" i="10"/>
  <c r="H114" i="10" s="1"/>
  <c r="J5" i="10"/>
  <c r="J4" i="10" s="1"/>
  <c r="H7" i="10"/>
  <c r="H8" i="10"/>
  <c r="F9" i="10"/>
  <c r="H9" i="10" s="1"/>
  <c r="F10" i="10"/>
  <c r="H10" i="10" s="1"/>
  <c r="F11" i="10"/>
  <c r="H11" i="10" s="1"/>
  <c r="F12" i="10"/>
  <c r="H12" i="10" s="1"/>
  <c r="F13" i="10"/>
  <c r="H13" i="10" s="1"/>
  <c r="F14" i="10"/>
  <c r="H14" i="10" s="1"/>
  <c r="F15" i="10"/>
  <c r="H15" i="10" s="1"/>
  <c r="F16" i="10"/>
  <c r="H16" i="10" s="1"/>
  <c r="F17" i="10"/>
  <c r="H17" i="10" s="1"/>
  <c r="F18" i="10"/>
  <c r="H18" i="10" s="1"/>
  <c r="F19" i="10"/>
  <c r="H19" i="10" s="1"/>
  <c r="F20" i="10"/>
  <c r="H20" i="10" s="1"/>
  <c r="F21" i="10"/>
  <c r="H21" i="10" s="1"/>
  <c r="F22" i="10"/>
  <c r="H22" i="10" s="1"/>
  <c r="F23" i="10"/>
  <c r="H23" i="10" s="1"/>
  <c r="F24" i="10"/>
  <c r="H24" i="10" s="1"/>
  <c r="F25" i="10"/>
  <c r="H25" i="10" s="1"/>
  <c r="F26" i="10"/>
  <c r="H26" i="10" s="1"/>
  <c r="F28" i="10"/>
  <c r="H28" i="10" s="1"/>
  <c r="F29" i="10"/>
  <c r="H29" i="10" s="1"/>
  <c r="F30" i="10"/>
  <c r="H30" i="10" s="1"/>
  <c r="F31" i="10"/>
  <c r="H31" i="10" s="1"/>
  <c r="F32" i="10"/>
  <c r="H32" i="10" s="1"/>
  <c r="H33" i="10"/>
  <c r="H34" i="10"/>
  <c r="F35" i="10"/>
  <c r="H35" i="10" s="1"/>
  <c r="F36" i="10"/>
  <c r="H36" i="10" s="1"/>
  <c r="F37" i="10"/>
  <c r="H37" i="10" s="1"/>
  <c r="F38" i="10"/>
  <c r="H38" i="10" s="1"/>
  <c r="E39" i="10"/>
  <c r="F39" i="10" s="1"/>
  <c r="H39" i="10" s="1"/>
  <c r="F40" i="10"/>
  <c r="H40" i="10" s="1"/>
  <c r="F41" i="10"/>
  <c r="H41" i="10" s="1"/>
  <c r="F42" i="10"/>
  <c r="H42" i="10" s="1"/>
  <c r="F43" i="10"/>
  <c r="H43" i="10" s="1"/>
  <c r="F44" i="10"/>
  <c r="H44" i="10" s="1"/>
  <c r="F45" i="10"/>
  <c r="H45" i="10" s="1"/>
  <c r="F46" i="10"/>
  <c r="H46" i="10" s="1"/>
  <c r="F47" i="10"/>
  <c r="H47" i="10" s="1"/>
  <c r="F48" i="10"/>
  <c r="H48" i="10" s="1"/>
  <c r="F49" i="10"/>
  <c r="H49" i="10" s="1"/>
  <c r="F50" i="10"/>
  <c r="H50" i="10" s="1"/>
  <c r="F51" i="10"/>
  <c r="H51" i="10" s="1"/>
  <c r="F52" i="10"/>
  <c r="H52" i="10" s="1"/>
  <c r="F53" i="10"/>
  <c r="H53" i="10" s="1"/>
  <c r="F54" i="10"/>
  <c r="H54" i="10" s="1"/>
  <c r="F55" i="10"/>
  <c r="H55" i="10" s="1"/>
  <c r="F56" i="10"/>
  <c r="H56" i="10" s="1"/>
  <c r="F57" i="10"/>
  <c r="H57" i="10" s="1"/>
  <c r="F58" i="10"/>
  <c r="H58" i="10" s="1"/>
  <c r="F59" i="10"/>
  <c r="H59" i="10" s="1"/>
  <c r="F60" i="10"/>
  <c r="H60" i="10" s="1"/>
  <c r="F61" i="10"/>
  <c r="H61" i="10" s="1"/>
  <c r="F62" i="10"/>
  <c r="H62" i="10" s="1"/>
  <c r="F63" i="10"/>
  <c r="H63" i="10" s="1"/>
  <c r="F64" i="10"/>
  <c r="H64" i="10" s="1"/>
  <c r="F65" i="10"/>
  <c r="H65" i="10" s="1"/>
  <c r="F66" i="10"/>
  <c r="H66" i="10" s="1"/>
  <c r="F67" i="10"/>
  <c r="H67" i="10" s="1"/>
  <c r="F68" i="10"/>
  <c r="H68" i="10" s="1"/>
  <c r="F69" i="10"/>
  <c r="H69" i="10" s="1"/>
  <c r="F70" i="10"/>
  <c r="H70" i="10" s="1"/>
  <c r="F71" i="10"/>
  <c r="H71" i="10" s="1"/>
  <c r="F72" i="10"/>
  <c r="H72" i="10" s="1"/>
  <c r="F73" i="10"/>
  <c r="H73" i="10" s="1"/>
  <c r="F74" i="10"/>
  <c r="H74" i="10" s="1"/>
  <c r="F75" i="10"/>
  <c r="H75" i="10" s="1"/>
  <c r="F76" i="10"/>
  <c r="H76" i="10" s="1"/>
  <c r="F77" i="10"/>
  <c r="H77" i="10" s="1"/>
  <c r="F78" i="10"/>
  <c r="H78" i="10" s="1"/>
  <c r="H88" i="10"/>
  <c r="F89" i="10"/>
  <c r="E90" i="10" s="1"/>
  <c r="F94" i="10"/>
  <c r="H94" i="10" s="1"/>
  <c r="F95" i="10"/>
  <c r="H95" i="10" s="1"/>
  <c r="F96" i="10"/>
  <c r="H96" i="10" s="1"/>
  <c r="F97" i="10"/>
  <c r="H97" i="10" s="1"/>
  <c r="F98" i="10"/>
  <c r="H98" i="10" s="1"/>
  <c r="F99" i="10"/>
  <c r="H99" i="10" s="1"/>
  <c r="F100" i="10"/>
  <c r="H100" i="10" s="1"/>
  <c r="H103" i="10"/>
  <c r="H104" i="10"/>
  <c r="H108" i="10"/>
  <c r="H112" i="10"/>
  <c r="H116" i="10"/>
  <c r="H119" i="10"/>
  <c r="H120" i="10"/>
  <c r="H185" i="10"/>
  <c r="H186" i="10"/>
  <c r="H187" i="10"/>
  <c r="K30" i="8"/>
  <c r="K29" i="8"/>
  <c r="K28" i="8"/>
  <c r="K27" i="8"/>
  <c r="K26" i="8"/>
  <c r="K25" i="8"/>
  <c r="K24" i="8"/>
  <c r="K23" i="8"/>
  <c r="K22" i="8"/>
  <c r="K21" i="8"/>
  <c r="K20" i="8"/>
  <c r="K19" i="8"/>
  <c r="K18" i="8"/>
  <c r="K17" i="8"/>
  <c r="K16" i="8"/>
  <c r="K15" i="8"/>
  <c r="K14" i="8"/>
  <c r="O13" i="8"/>
  <c r="K13" i="8"/>
  <c r="K12" i="8"/>
  <c r="K11" i="8"/>
  <c r="K10" i="8"/>
  <c r="K9" i="8"/>
  <c r="K8" i="8"/>
  <c r="K7" i="8"/>
  <c r="K6" i="8"/>
  <c r="K5" i="8"/>
  <c r="K4" i="8"/>
  <c r="C2" i="8"/>
  <c r="O33" i="8" s="1"/>
  <c r="O15" i="9"/>
  <c r="K15" i="9"/>
  <c r="O14" i="9"/>
  <c r="K14" i="9"/>
  <c r="O13" i="9"/>
  <c r="K13" i="9"/>
  <c r="O12" i="9"/>
  <c r="K12" i="9"/>
  <c r="O11" i="9"/>
  <c r="K11" i="9"/>
  <c r="K10" i="9"/>
  <c r="K9" i="9"/>
  <c r="K8" i="9"/>
  <c r="K7" i="9"/>
  <c r="K6" i="9"/>
  <c r="C2" i="9"/>
  <c r="J12" i="9" s="1"/>
  <c r="O14" i="7"/>
  <c r="K14" i="7"/>
  <c r="O13" i="7"/>
  <c r="K13" i="7"/>
  <c r="O12" i="7"/>
  <c r="K12" i="7"/>
  <c r="O11" i="7"/>
  <c r="K11" i="7"/>
  <c r="K10" i="7"/>
  <c r="K9" i="7"/>
  <c r="K8" i="7"/>
  <c r="K7" i="7"/>
  <c r="K6" i="7"/>
  <c r="K5" i="7"/>
  <c r="K4" i="7"/>
  <c r="C2" i="7"/>
  <c r="J13" i="7" s="1"/>
  <c r="L13" i="7" s="1"/>
  <c r="O18" i="5"/>
  <c r="K18" i="5"/>
  <c r="K17" i="5"/>
  <c r="K16" i="5"/>
  <c r="K15" i="5"/>
  <c r="K14" i="5"/>
  <c r="C2" i="5"/>
  <c r="O17" i="5" s="1"/>
  <c r="J33" i="8" l="1"/>
  <c r="N33" i="8" s="1"/>
  <c r="J34" i="8"/>
  <c r="O32" i="8"/>
  <c r="J32" i="8" s="1"/>
  <c r="O18" i="8"/>
  <c r="O31" i="8"/>
  <c r="J31" i="8" s="1"/>
  <c r="O30" i="8"/>
  <c r="J30" i="8" s="1"/>
  <c r="O29" i="8"/>
  <c r="J29" i="8" s="1"/>
  <c r="O28" i="8"/>
  <c r="O27" i="8"/>
  <c r="J27" i="8" s="1"/>
  <c r="O26" i="8"/>
  <c r="J26" i="8" s="1"/>
  <c r="O25" i="8"/>
  <c r="J25" i="8" s="1"/>
  <c r="P5" i="15"/>
  <c r="O6" i="15"/>
  <c r="H89" i="10"/>
  <c r="O24" i="8"/>
  <c r="J24" i="8" s="1"/>
  <c r="O23" i="8"/>
  <c r="J23" i="8" s="1"/>
  <c r="O22" i="8"/>
  <c r="O21" i="8"/>
  <c r="J21" i="8" s="1"/>
  <c r="O20" i="8"/>
  <c r="J20" i="8" s="1"/>
  <c r="O19" i="8"/>
  <c r="J19" i="8" s="1"/>
  <c r="J18" i="8"/>
  <c r="L18" i="8" s="1"/>
  <c r="O17" i="8"/>
  <c r="J17" i="8" s="1"/>
  <c r="J17" i="5"/>
  <c r="N17" i="5" s="1"/>
  <c r="O16" i="8"/>
  <c r="M15" i="12"/>
  <c r="L15" i="12"/>
  <c r="N15" i="12"/>
  <c r="N12" i="12"/>
  <c r="M12" i="12"/>
  <c r="L12" i="12"/>
  <c r="N4" i="12"/>
  <c r="L4" i="12"/>
  <c r="M4" i="12"/>
  <c r="M26" i="12"/>
  <c r="N26" i="12"/>
  <c r="L26" i="12"/>
  <c r="M18" i="12"/>
  <c r="N18" i="12"/>
  <c r="L18" i="12"/>
  <c r="M10" i="12"/>
  <c r="N10" i="12"/>
  <c r="L10" i="12"/>
  <c r="M23" i="12"/>
  <c r="L23" i="12"/>
  <c r="N23" i="12"/>
  <c r="M7" i="12"/>
  <c r="L7" i="12"/>
  <c r="N7" i="12"/>
  <c r="M24" i="12"/>
  <c r="N24" i="12"/>
  <c r="L24" i="12"/>
  <c r="N16" i="12"/>
  <c r="M16" i="12"/>
  <c r="L16" i="12"/>
  <c r="N8" i="12"/>
  <c r="L8" i="12"/>
  <c r="M8" i="12"/>
  <c r="M29" i="12"/>
  <c r="L29" i="12"/>
  <c r="N29" i="12"/>
  <c r="M21" i="12"/>
  <c r="L21" i="12"/>
  <c r="N21" i="12"/>
  <c r="M13" i="12"/>
  <c r="L13" i="12"/>
  <c r="N13" i="12"/>
  <c r="M5" i="12"/>
  <c r="L5" i="12"/>
  <c r="N5" i="12"/>
  <c r="N30" i="12"/>
  <c r="M30" i="12"/>
  <c r="L30" i="12"/>
  <c r="N22" i="12"/>
  <c r="M22" i="12"/>
  <c r="L22" i="12"/>
  <c r="N14" i="12"/>
  <c r="L14" i="12"/>
  <c r="M14" i="12"/>
  <c r="M6" i="12"/>
  <c r="N6" i="12"/>
  <c r="L6" i="12"/>
  <c r="M27" i="12"/>
  <c r="L27" i="12"/>
  <c r="N27" i="12"/>
  <c r="M19" i="12"/>
  <c r="L19" i="12"/>
  <c r="N19" i="12"/>
  <c r="M11" i="12"/>
  <c r="L11" i="12"/>
  <c r="N11" i="12"/>
  <c r="M28" i="12"/>
  <c r="N28" i="12"/>
  <c r="L28" i="12"/>
  <c r="M20" i="12"/>
  <c r="N20" i="12"/>
  <c r="L20" i="12"/>
  <c r="M25" i="12"/>
  <c r="L25" i="12"/>
  <c r="N25" i="12"/>
  <c r="M17" i="12"/>
  <c r="L17" i="12"/>
  <c r="N17" i="12"/>
  <c r="M9" i="12"/>
  <c r="L9" i="12"/>
  <c r="N9" i="12"/>
  <c r="E27" i="10"/>
  <c r="F27" i="10" s="1"/>
  <c r="H27" i="10" s="1"/>
  <c r="O9" i="9"/>
  <c r="J6" i="10"/>
  <c r="E91" i="10"/>
  <c r="F90" i="10"/>
  <c r="H90" i="10" s="1"/>
  <c r="J15" i="5"/>
  <c r="L15" i="5" s="1"/>
  <c r="K11" i="5"/>
  <c r="K5" i="5"/>
  <c r="K5" i="10"/>
  <c r="O5" i="7"/>
  <c r="O6" i="5"/>
  <c r="K13" i="5"/>
  <c r="J8" i="9"/>
  <c r="L8" i="9" s="1"/>
  <c r="J7" i="5"/>
  <c r="L7" i="5" s="1"/>
  <c r="O13" i="5"/>
  <c r="J5" i="7"/>
  <c r="M5" i="7" s="1"/>
  <c r="J5" i="5"/>
  <c r="N5" i="5" s="1"/>
  <c r="O8" i="5"/>
  <c r="O16" i="5"/>
  <c r="J7" i="8"/>
  <c r="M7" i="8" s="1"/>
  <c r="O15" i="8"/>
  <c r="J15" i="8" s="1"/>
  <c r="O5" i="5"/>
  <c r="K12" i="5"/>
  <c r="J11" i="8"/>
  <c r="M11" i="8" s="1"/>
  <c r="K4" i="5"/>
  <c r="K6" i="5"/>
  <c r="O7" i="5"/>
  <c r="J13" i="5"/>
  <c r="M13" i="5" s="1"/>
  <c r="O14" i="5"/>
  <c r="O15" i="5"/>
  <c r="J4" i="7"/>
  <c r="N4" i="7" s="1"/>
  <c r="O9" i="7"/>
  <c r="J9" i="7" s="1"/>
  <c r="J12" i="7"/>
  <c r="M12" i="7" s="1"/>
  <c r="O8" i="9"/>
  <c r="L12" i="9"/>
  <c r="N12" i="9"/>
  <c r="M12" i="9"/>
  <c r="M13" i="7"/>
  <c r="N13" i="7"/>
  <c r="O14" i="8"/>
  <c r="O12" i="8"/>
  <c r="J12" i="8" s="1"/>
  <c r="O10" i="8"/>
  <c r="O8" i="8"/>
  <c r="O6" i="8"/>
  <c r="O4" i="8"/>
  <c r="J4" i="8" s="1"/>
  <c r="J28" i="8"/>
  <c r="J22" i="8"/>
  <c r="J14" i="8"/>
  <c r="J10" i="8"/>
  <c r="J6" i="8"/>
  <c r="J16" i="8"/>
  <c r="J13" i="8"/>
  <c r="O9" i="8"/>
  <c r="J9" i="8"/>
  <c r="O5" i="8"/>
  <c r="J5" i="8" s="1"/>
  <c r="J8" i="8"/>
  <c r="O7" i="8"/>
  <c r="O11" i="8"/>
  <c r="K7" i="5"/>
  <c r="K8" i="5"/>
  <c r="J9" i="5"/>
  <c r="O9" i="5"/>
  <c r="O10" i="5"/>
  <c r="J4" i="9"/>
  <c r="O4" i="9"/>
  <c r="O5" i="9"/>
  <c r="J15" i="9"/>
  <c r="J13" i="9"/>
  <c r="J11" i="9"/>
  <c r="J9" i="9"/>
  <c r="J7" i="9"/>
  <c r="J10" i="9"/>
  <c r="O10" i="9"/>
  <c r="J18" i="5"/>
  <c r="J16" i="5"/>
  <c r="J14" i="5"/>
  <c r="J12" i="5"/>
  <c r="J10" i="5"/>
  <c r="J8" i="5"/>
  <c r="J6" i="5"/>
  <c r="J4" i="5"/>
  <c r="O4" i="5"/>
  <c r="K9" i="5"/>
  <c r="K10" i="5"/>
  <c r="J11" i="5"/>
  <c r="O11" i="5"/>
  <c r="O12" i="5"/>
  <c r="O10" i="7"/>
  <c r="J10" i="7" s="1"/>
  <c r="O8" i="7"/>
  <c r="J8" i="7" s="1"/>
  <c r="O6" i="7"/>
  <c r="J6" i="7" s="1"/>
  <c r="O4" i="7"/>
  <c r="O7" i="7"/>
  <c r="J7" i="7" s="1"/>
  <c r="J11" i="7"/>
  <c r="J14" i="7"/>
  <c r="K4" i="9"/>
  <c r="K5" i="9"/>
  <c r="J5" i="9" s="1"/>
  <c r="J6" i="9"/>
  <c r="O6" i="9"/>
  <c r="O7" i="9"/>
  <c r="J14" i="9"/>
  <c r="M33" i="8" l="1"/>
  <c r="L33" i="8"/>
  <c r="N34" i="8"/>
  <c r="L34" i="8"/>
  <c r="M34" i="8"/>
  <c r="N32" i="8"/>
  <c r="M32" i="8"/>
  <c r="L32" i="8"/>
  <c r="N31" i="8"/>
  <c r="M31" i="8"/>
  <c r="L31" i="8"/>
  <c r="N5" i="7"/>
  <c r="M18" i="8"/>
  <c r="P6" i="15"/>
  <c r="Q5" i="15"/>
  <c r="N18" i="8"/>
  <c r="L17" i="5"/>
  <c r="M17" i="5"/>
  <c r="M15" i="5"/>
  <c r="M7" i="5"/>
  <c r="N15" i="5"/>
  <c r="L5" i="7"/>
  <c r="L7" i="8"/>
  <c r="N12" i="7"/>
  <c r="N7" i="8"/>
  <c r="M8" i="9"/>
  <c r="L5" i="5"/>
  <c r="L13" i="5"/>
  <c r="L12" i="7"/>
  <c r="K6" i="10"/>
  <c r="L5" i="10"/>
  <c r="F91" i="10"/>
  <c r="E92" i="10" s="1"/>
  <c r="H91" i="10"/>
  <c r="N7" i="5"/>
  <c r="N8" i="9"/>
  <c r="N13" i="5"/>
  <c r="L11" i="8"/>
  <c r="M5" i="5"/>
  <c r="L4" i="7"/>
  <c r="N11" i="8"/>
  <c r="M9" i="7"/>
  <c r="N9" i="7"/>
  <c r="L9" i="7"/>
  <c r="M4" i="7"/>
  <c r="N5" i="9"/>
  <c r="M5" i="9"/>
  <c r="L5" i="9"/>
  <c r="M5" i="8"/>
  <c r="N5" i="8"/>
  <c r="L5" i="8"/>
  <c r="M10" i="7"/>
  <c r="N10" i="7"/>
  <c r="L10" i="7"/>
  <c r="M11" i="7"/>
  <c r="N11" i="7"/>
  <c r="L11" i="7"/>
  <c r="L11" i="5"/>
  <c r="M11" i="5"/>
  <c r="N11" i="5"/>
  <c r="N18" i="5"/>
  <c r="M18" i="5"/>
  <c r="L18" i="5"/>
  <c r="N7" i="9"/>
  <c r="M7" i="9"/>
  <c r="L7" i="9"/>
  <c r="M27" i="8"/>
  <c r="L27" i="8"/>
  <c r="N27" i="8"/>
  <c r="N6" i="8"/>
  <c r="M6" i="8"/>
  <c r="L6" i="8"/>
  <c r="N28" i="8"/>
  <c r="M28" i="8"/>
  <c r="L28" i="8"/>
  <c r="L14" i="9"/>
  <c r="N14" i="9"/>
  <c r="M14" i="9"/>
  <c r="N4" i="5"/>
  <c r="M4" i="5"/>
  <c r="L4" i="5"/>
  <c r="N6" i="7"/>
  <c r="M6" i="7"/>
  <c r="L6" i="7"/>
  <c r="M29" i="8"/>
  <c r="L29" i="8"/>
  <c r="N29" i="8"/>
  <c r="N22" i="8"/>
  <c r="L22" i="8"/>
  <c r="M22" i="8"/>
  <c r="N30" i="8"/>
  <c r="M30" i="8"/>
  <c r="L30" i="8"/>
  <c r="N6" i="5"/>
  <c r="M6" i="5"/>
  <c r="L6" i="5"/>
  <c r="N14" i="5"/>
  <c r="M14" i="5"/>
  <c r="L14" i="5"/>
  <c r="L10" i="9"/>
  <c r="M10" i="9"/>
  <c r="N10" i="9"/>
  <c r="N11" i="9"/>
  <c r="L11" i="9"/>
  <c r="M11" i="9"/>
  <c r="M23" i="8"/>
  <c r="L23" i="8"/>
  <c r="N23" i="8"/>
  <c r="L8" i="8"/>
  <c r="N8" i="8"/>
  <c r="M8" i="8"/>
  <c r="L12" i="8"/>
  <c r="N12" i="8"/>
  <c r="M12" i="8"/>
  <c r="N14" i="8"/>
  <c r="L14" i="8"/>
  <c r="M14" i="8"/>
  <c r="N24" i="8"/>
  <c r="L24" i="8"/>
  <c r="M24" i="8"/>
  <c r="M15" i="8"/>
  <c r="N15" i="8"/>
  <c r="L15" i="8"/>
  <c r="L6" i="9"/>
  <c r="N6" i="9"/>
  <c r="M6" i="9"/>
  <c r="N10" i="5"/>
  <c r="M10" i="5"/>
  <c r="L10" i="5"/>
  <c r="N15" i="9"/>
  <c r="L15" i="9"/>
  <c r="M15" i="9"/>
  <c r="L9" i="5"/>
  <c r="N9" i="5"/>
  <c r="M9" i="5"/>
  <c r="M19" i="8"/>
  <c r="N19" i="8"/>
  <c r="L19" i="8"/>
  <c r="N20" i="8"/>
  <c r="L20" i="8"/>
  <c r="M20" i="8"/>
  <c r="N12" i="5"/>
  <c r="L12" i="5"/>
  <c r="M12" i="5"/>
  <c r="N9" i="9"/>
  <c r="M9" i="9"/>
  <c r="L9" i="9"/>
  <c r="L4" i="8"/>
  <c r="N4" i="8"/>
  <c r="M4" i="8"/>
  <c r="M9" i="8"/>
  <c r="N9" i="8"/>
  <c r="L9" i="8"/>
  <c r="N10" i="8"/>
  <c r="L10" i="8"/>
  <c r="M10" i="8"/>
  <c r="N14" i="7"/>
  <c r="M14" i="7"/>
  <c r="L14" i="7"/>
  <c r="M7" i="7"/>
  <c r="N7" i="7"/>
  <c r="L7" i="7"/>
  <c r="M8" i="7"/>
  <c r="L8" i="7"/>
  <c r="N8" i="7"/>
  <c r="N8" i="5"/>
  <c r="L8" i="5"/>
  <c r="M8" i="5"/>
  <c r="N16" i="5"/>
  <c r="L16" i="5"/>
  <c r="M16" i="5"/>
  <c r="N13" i="9"/>
  <c r="M13" i="9"/>
  <c r="L13" i="9"/>
  <c r="L4" i="9"/>
  <c r="N4" i="9"/>
  <c r="M4" i="9"/>
  <c r="M21" i="8"/>
  <c r="L21" i="8"/>
  <c r="N21" i="8"/>
  <c r="M25" i="8"/>
  <c r="L25" i="8"/>
  <c r="N25" i="8"/>
  <c r="M13" i="8"/>
  <c r="N13" i="8"/>
  <c r="L13" i="8"/>
  <c r="L16" i="8"/>
  <c r="N16" i="8"/>
  <c r="M16" i="8"/>
  <c r="M17" i="8"/>
  <c r="L17" i="8"/>
  <c r="N17" i="8"/>
  <c r="N26" i="8"/>
  <c r="M26" i="8"/>
  <c r="L26" i="8"/>
  <c r="R5" i="15" l="1"/>
  <c r="Q6" i="15"/>
  <c r="Q4" i="15"/>
  <c r="F92" i="10"/>
  <c r="E93" i="10" s="1"/>
  <c r="L6" i="10"/>
  <c r="M5" i="10"/>
  <c r="R6" i="15" l="1"/>
  <c r="S5" i="15"/>
  <c r="N5" i="10"/>
  <c r="M6" i="10"/>
  <c r="F93" i="10"/>
  <c r="H93" i="10" s="1"/>
  <c r="H92" i="10"/>
  <c r="T5" i="15" l="1"/>
  <c r="S6" i="15"/>
  <c r="O5" i="10"/>
  <c r="N6" i="10"/>
  <c r="U5" i="15" l="1"/>
  <c r="T6" i="15"/>
  <c r="O6" i="10"/>
  <c r="P5" i="10"/>
  <c r="V5" i="15" l="1"/>
  <c r="U6" i="15"/>
  <c r="P6" i="10"/>
  <c r="Q5" i="10"/>
  <c r="V6" i="15" l="1"/>
  <c r="W5" i="15"/>
  <c r="R5" i="10"/>
  <c r="Q4" i="10"/>
  <c r="Q6" i="10"/>
  <c r="X5" i="15" l="1"/>
  <c r="W6" i="15"/>
  <c r="S5" i="10"/>
  <c r="R6" i="10"/>
  <c r="Y5" i="15" l="1"/>
  <c r="X4" i="15"/>
  <c r="X6" i="15"/>
  <c r="S6" i="10"/>
  <c r="T5" i="10"/>
  <c r="Z5" i="15" l="1"/>
  <c r="Y6" i="15"/>
  <c r="T6" i="10"/>
  <c r="U5" i="10"/>
  <c r="Z6" i="15" l="1"/>
  <c r="AA5" i="15"/>
  <c r="V5" i="10"/>
  <c r="U6" i="10"/>
  <c r="AB5" i="15" l="1"/>
  <c r="AA6" i="15"/>
  <c r="W5" i="10"/>
  <c r="V6" i="10"/>
  <c r="AB6" i="15" l="1"/>
  <c r="AC5" i="15"/>
  <c r="W6" i="10"/>
  <c r="X5" i="10"/>
  <c r="AD5" i="15" l="1"/>
  <c r="AC6" i="15"/>
  <c r="X4" i="10"/>
  <c r="X6" i="10"/>
  <c r="Y5" i="10"/>
  <c r="AD6" i="15" l="1"/>
  <c r="AE5" i="15"/>
  <c r="Z5" i="10"/>
  <c r="Y6" i="10"/>
  <c r="AE4" i="15" l="1"/>
  <c r="AF5" i="15"/>
  <c r="AE6" i="15"/>
  <c r="AA5" i="10"/>
  <c r="Z6" i="10"/>
  <c r="AG5" i="15" l="1"/>
  <c r="AF6" i="15"/>
  <c r="AA6" i="10"/>
  <c r="AB5" i="10"/>
  <c r="AH5" i="15" l="1"/>
  <c r="AG6" i="15"/>
  <c r="AB6" i="10"/>
  <c r="AC5" i="10"/>
  <c r="AH6" i="15" l="1"/>
  <c r="AI5" i="15"/>
  <c r="AD5" i="10"/>
  <c r="AC6" i="10"/>
  <c r="AJ5" i="15" l="1"/>
  <c r="AI6" i="15"/>
  <c r="AE5" i="10"/>
  <c r="AD6" i="10"/>
  <c r="AK5" i="15" l="1"/>
  <c r="AJ6" i="15"/>
  <c r="AE6" i="10"/>
  <c r="AF5" i="10"/>
  <c r="AE4" i="10"/>
  <c r="AL5" i="15" l="1"/>
  <c r="AK6" i="15"/>
  <c r="AF6" i="10"/>
  <c r="AG5" i="10"/>
  <c r="AL6" i="15" l="1"/>
  <c r="AL4" i="15"/>
  <c r="AM5" i="15"/>
  <c r="AH5" i="10"/>
  <c r="AG6" i="10"/>
  <c r="AN5" i="15" l="1"/>
  <c r="AM6" i="15"/>
  <c r="AI5" i="10"/>
  <c r="AH6" i="10"/>
  <c r="AN6" i="15" l="1"/>
  <c r="AO5" i="15"/>
  <c r="AI6" i="10"/>
  <c r="AJ5" i="10"/>
  <c r="AP5" i="15" l="1"/>
  <c r="AO6" i="15"/>
  <c r="AJ6" i="10"/>
  <c r="AK5" i="10"/>
  <c r="AP6" i="15" l="1"/>
  <c r="AQ5" i="15"/>
  <c r="AL5" i="10"/>
  <c r="AK6" i="10"/>
  <c r="AR5" i="15" l="1"/>
  <c r="AQ6" i="15"/>
  <c r="AL4" i="10"/>
  <c r="AM5" i="10"/>
  <c r="AL6" i="10"/>
  <c r="AS5" i="15" l="1"/>
  <c r="AR6" i="15"/>
  <c r="AM6" i="10"/>
  <c r="AN5" i="10"/>
  <c r="AT5" i="15" l="1"/>
  <c r="AS6" i="15"/>
  <c r="AS4" i="15"/>
  <c r="AN6" i="10"/>
  <c r="AO5" i="10"/>
  <c r="AT6" i="15" l="1"/>
  <c r="AU5" i="15"/>
  <c r="AP5" i="10"/>
  <c r="AO6" i="10"/>
  <c r="AV5" i="15" l="1"/>
  <c r="AU6" i="15"/>
  <c r="AQ5" i="10"/>
  <c r="AP6" i="10"/>
  <c r="AW5" i="15" l="1"/>
  <c r="AV6" i="15"/>
  <c r="AQ6" i="10"/>
  <c r="AR5" i="10"/>
  <c r="AX5" i="15" l="1"/>
  <c r="AW6" i="15"/>
  <c r="AR6" i="10"/>
  <c r="AS5" i="10"/>
  <c r="AX6" i="15" l="1"/>
  <c r="AY5" i="15"/>
  <c r="AT5" i="10"/>
  <c r="AS4" i="10"/>
  <c r="AS6" i="10"/>
  <c r="AZ5" i="15" l="1"/>
  <c r="AY6" i="15"/>
  <c r="AU5" i="10"/>
  <c r="AT6" i="10"/>
  <c r="AZ6" i="15" l="1"/>
  <c r="AZ4" i="15"/>
  <c r="BA5" i="15"/>
  <c r="AU6" i="10"/>
  <c r="AV5" i="10"/>
  <c r="BB5" i="15" l="1"/>
  <c r="BA6" i="15"/>
  <c r="AV6" i="10"/>
  <c r="AW5" i="10"/>
  <c r="BB6" i="15" l="1"/>
  <c r="BC5" i="15"/>
  <c r="AX5" i="10"/>
  <c r="AW6" i="10"/>
  <c r="BD5" i="15" l="1"/>
  <c r="BC6" i="15"/>
  <c r="AY5" i="10"/>
  <c r="AX6" i="10"/>
  <c r="BE5" i="15" l="1"/>
  <c r="BD6" i="15"/>
  <c r="AY6" i="10"/>
  <c r="AZ5" i="10"/>
  <c r="BF5" i="15" l="1"/>
  <c r="BE6" i="15"/>
  <c r="AZ4" i="10"/>
  <c r="AZ6" i="10"/>
  <c r="BA5" i="10"/>
  <c r="BF6" i="15" l="1"/>
  <c r="BG5" i="15"/>
  <c r="BB5" i="10"/>
  <c r="BA6" i="10"/>
  <c r="BH5" i="15" l="1"/>
  <c r="BG4" i="15"/>
  <c r="BG6" i="15"/>
  <c r="BC5" i="10"/>
  <c r="BB6" i="10"/>
  <c r="BI5" i="15" l="1"/>
  <c r="BH6" i="15"/>
  <c r="BC6" i="10"/>
  <c r="BD5" i="10"/>
  <c r="BJ5" i="15" l="1"/>
  <c r="BI6" i="15"/>
  <c r="BD6" i="10"/>
  <c r="BE5" i="10"/>
  <c r="BJ6" i="15" l="1"/>
  <c r="BK5" i="15"/>
  <c r="BF5" i="10"/>
  <c r="BE6" i="10"/>
  <c r="BL5" i="15" l="1"/>
  <c r="BK6" i="15"/>
  <c r="BG5" i="10"/>
  <c r="BF6" i="10"/>
  <c r="BL6" i="15" l="1"/>
  <c r="BM5" i="15"/>
  <c r="BM6" i="15" s="1"/>
  <c r="BG6" i="10"/>
  <c r="BH5" i="10"/>
  <c r="BG4" i="10"/>
  <c r="BH6" i="10" l="1"/>
  <c r="BI5" i="10"/>
  <c r="BJ5" i="10" l="1"/>
  <c r="BI6" i="10"/>
  <c r="BK5" i="10" l="1"/>
  <c r="BJ6" i="10"/>
  <c r="BK6" i="10" l="1"/>
  <c r="BL5" i="10"/>
  <c r="BL6" i="10" l="1"/>
  <c r="BM5" i="10"/>
  <c r="BM6" i="10" s="1"/>
</calcChain>
</file>

<file path=xl/comments1.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2.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3.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4.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5.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6.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sharedStrings.xml><?xml version="1.0" encoding="utf-8"?>
<sst xmlns="http://schemas.openxmlformats.org/spreadsheetml/2006/main" count="1028" uniqueCount="523">
  <si>
    <t>&lt;UIT&gt; Action Item List</t>
  </si>
  <si>
    <t>Last update:</t>
  </si>
  <si>
    <r>
      <rPr>
        <sz val="10"/>
        <color indexed="10"/>
        <rFont val="宋体"/>
        <family val="3"/>
        <charset val="134"/>
      </rPr>
      <t>此行涉及到公式，请不要做任何动作。故设置隐藏。</t>
    </r>
  </si>
  <si>
    <t>No.</t>
  </si>
  <si>
    <t>Category</t>
  </si>
  <si>
    <t>Problem Description / Action Item</t>
  </si>
  <si>
    <t>Priority</t>
  </si>
  <si>
    <t>Responsible</t>
  </si>
  <si>
    <t>Open Date
dd-Mmm-yy</t>
  </si>
  <si>
    <t>Due Date
dd-Mmm-yy</t>
  </si>
  <si>
    <t>Revised Due Date
dd-Mmm-yy</t>
  </si>
  <si>
    <t>Closed Date
dd-Mmm-yy</t>
  </si>
  <si>
    <t>Status</t>
  </si>
  <si>
    <t>delta</t>
  </si>
  <si>
    <t>o</t>
  </si>
  <si>
    <t>i</t>
  </si>
  <si>
    <t>d</t>
  </si>
  <si>
    <t>delta2</t>
  </si>
  <si>
    <t>Comments</t>
  </si>
  <si>
    <r>
      <rPr>
        <sz val="11"/>
        <color theme="1"/>
        <rFont val="宋体"/>
        <family val="3"/>
        <charset val="134"/>
      </rPr>
      <t>确定</t>
    </r>
    <r>
      <rPr>
        <sz val="11"/>
        <color theme="1"/>
        <rFont val="Arial"/>
        <family val="2"/>
      </rPr>
      <t>UIT</t>
    </r>
    <r>
      <rPr>
        <sz val="11"/>
        <color theme="1"/>
        <rFont val="宋体"/>
        <family val="3"/>
        <charset val="134"/>
      </rPr>
      <t>数据库的位置（与</t>
    </r>
    <r>
      <rPr>
        <sz val="11"/>
        <color theme="1"/>
        <rFont val="Arial"/>
        <family val="2"/>
      </rPr>
      <t>CM</t>
    </r>
    <r>
      <rPr>
        <sz val="11"/>
        <color theme="1"/>
        <rFont val="宋体"/>
        <family val="3"/>
        <charset val="134"/>
      </rPr>
      <t>确认）</t>
    </r>
  </si>
  <si>
    <t>低</t>
  </si>
  <si>
    <t>Pan Rongtao</t>
  </si>
  <si>
    <r>
      <rPr>
        <sz val="10"/>
        <color rgb="FF000000"/>
        <rFont val="Arial"/>
        <family val="2"/>
      </rPr>
      <t>2019/6/25</t>
    </r>
    <r>
      <rPr>
        <sz val="10"/>
        <color rgb="FF000000"/>
        <rFont val="宋体"/>
        <family val="3"/>
        <charset val="134"/>
      </rPr>
      <t>：暂时使用本地工作，等待完成第一个数据库版本后再申请</t>
    </r>
    <r>
      <rPr>
        <sz val="10"/>
        <color rgb="FF000000"/>
        <rFont val="Arial"/>
        <family val="2"/>
      </rPr>
      <t xml:space="preserve">
2019/8/6</t>
    </r>
    <r>
      <rPr>
        <sz val="10"/>
        <color rgb="FF000000"/>
        <rFont val="宋体"/>
        <family val="3"/>
        <charset val="134"/>
      </rPr>
      <t xml:space="preserve">：本周完成
</t>
    </r>
    <r>
      <rPr>
        <sz val="10"/>
        <color rgb="FF000000"/>
        <rFont val="Arial"/>
        <family val="2"/>
      </rPr>
      <t>2019/8/19</t>
    </r>
    <r>
      <rPr>
        <sz val="10"/>
        <color rgb="FF000000"/>
        <rFont val="宋体"/>
        <family val="3"/>
        <charset val="134"/>
      </rPr>
      <t>：完成</t>
    </r>
  </si>
  <si>
    <t>研究Baseline机制的了解，并制定UIT的Baseline，构建第一个版本号</t>
  </si>
  <si>
    <t>高</t>
  </si>
  <si>
    <t xml:space="preserve">Pan Rongtao </t>
  </si>
  <si>
    <r>
      <rPr>
        <sz val="10"/>
        <color rgb="FF000000"/>
        <rFont val="Arial"/>
        <family val="2"/>
      </rPr>
      <t xml:space="preserve">
2019-6-25</t>
    </r>
    <r>
      <rPr>
        <sz val="10"/>
        <color rgb="FF000000"/>
        <rFont val="宋体"/>
        <family val="3"/>
        <charset val="134"/>
      </rPr>
      <t>：本周研究分支策略，并确认构建第一个</t>
    </r>
    <r>
      <rPr>
        <sz val="10"/>
        <color rgb="FF000000"/>
        <rFont val="Arial"/>
        <family val="2"/>
      </rPr>
      <t>UIT</t>
    </r>
    <r>
      <rPr>
        <sz val="10"/>
        <color rgb="FF000000"/>
        <rFont val="宋体"/>
        <family val="3"/>
        <charset val="134"/>
      </rPr>
      <t>版本；同时优化</t>
    </r>
    <r>
      <rPr>
        <sz val="10"/>
        <color rgb="FF000000"/>
        <rFont val="Arial"/>
        <family val="2"/>
      </rPr>
      <t>git</t>
    </r>
    <r>
      <rPr>
        <sz val="10"/>
        <color rgb="FF000000"/>
        <rFont val="宋体"/>
        <family val="3"/>
        <charset val="134"/>
      </rPr>
      <t>提交流程，保证多人开发低冲突。</t>
    </r>
    <r>
      <rPr>
        <sz val="10"/>
        <color rgb="FF000000"/>
        <rFont val="Arial"/>
        <family val="2"/>
      </rPr>
      <t xml:space="preserve">
2019-7-12</t>
    </r>
    <r>
      <rPr>
        <sz val="10"/>
        <color rgb="FF000000"/>
        <rFont val="宋体"/>
        <family val="3"/>
        <charset val="134"/>
      </rPr>
      <t>：已经建立</t>
    </r>
    <r>
      <rPr>
        <sz val="10"/>
        <color rgb="FF000000"/>
        <rFont val="Arial"/>
        <family val="2"/>
      </rPr>
      <t>baseline</t>
    </r>
    <r>
      <rPr>
        <sz val="10"/>
        <color rgb="FF000000"/>
        <rFont val="宋体"/>
        <family val="3"/>
        <charset val="134"/>
      </rPr>
      <t>机制，目前处于</t>
    </r>
    <r>
      <rPr>
        <sz val="10"/>
        <color rgb="FF000000"/>
        <rFont val="Arial"/>
        <family val="2"/>
      </rPr>
      <t>1.0</t>
    </r>
    <r>
      <rPr>
        <sz val="10"/>
        <color rgb="FF000000"/>
        <rFont val="宋体"/>
        <family val="3"/>
        <charset val="134"/>
      </rPr>
      <t>下</t>
    </r>
  </si>
  <si>
    <t>建立UIT数据库结构：要求根据实际开发情况进行分组，考虑不同开发人员的不同需求：框架/模块开发、ui工程开发、跨BU开发、UI工程外包开发等</t>
  </si>
  <si>
    <r>
      <rPr>
        <sz val="10"/>
        <color rgb="FF000000"/>
        <rFont val="Arial"/>
        <family val="2"/>
      </rPr>
      <t xml:space="preserve">
2019-6-25</t>
    </r>
    <r>
      <rPr>
        <sz val="10"/>
        <color rgb="FF000000"/>
        <rFont val="宋体"/>
        <family val="3"/>
        <charset val="134"/>
      </rPr>
      <t>：根据需求划分为</t>
    </r>
    <r>
      <rPr>
        <sz val="10"/>
        <color rgb="FF000000"/>
        <rFont val="Arial"/>
        <family val="2"/>
      </rPr>
      <t>uit-repo</t>
    </r>
    <r>
      <rPr>
        <sz val="10"/>
        <color rgb="FF000000"/>
        <rFont val="宋体"/>
        <family val="3"/>
        <charset val="134"/>
      </rPr>
      <t>、</t>
    </r>
    <r>
      <rPr>
        <sz val="10"/>
        <color rgb="FF000000"/>
        <rFont val="Arial"/>
        <family val="2"/>
      </rPr>
      <t>uit-dist</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shader</t>
    </r>
    <r>
      <rPr>
        <sz val="10"/>
        <color rgb="FF000000"/>
        <rFont val="宋体"/>
        <family val="3"/>
        <charset val="134"/>
      </rPr>
      <t>。下周开始实施</t>
    </r>
    <r>
      <rPr>
        <sz val="10"/>
        <color rgb="FF000000"/>
        <rFont val="Arial"/>
        <family val="2"/>
      </rPr>
      <t xml:space="preserve">
2019-7-12</t>
    </r>
    <r>
      <rPr>
        <sz val="10"/>
        <color rgb="FF000000"/>
        <rFont val="宋体"/>
        <family val="3"/>
        <charset val="134"/>
      </rPr>
      <t>：建立三个组，</t>
    </r>
    <r>
      <rPr>
        <sz val="10"/>
        <color rgb="FF000000"/>
        <rFont val="Arial"/>
        <family val="2"/>
      </rPr>
      <t>packag</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platform-sdk</t>
    </r>
  </si>
  <si>
    <t>编译配置环境的统一：支持参数platform、baseline、debug|release、arch</t>
  </si>
  <si>
    <r>
      <rPr>
        <sz val="10"/>
        <color rgb="FF000000"/>
        <rFont val="Arial"/>
        <family val="2"/>
      </rPr>
      <t>2019-6-25</t>
    </r>
    <r>
      <rPr>
        <sz val="10"/>
        <color rgb="FF000000"/>
        <rFont val="宋体"/>
        <family val="3"/>
        <charset val="134"/>
      </rPr>
      <t>：</t>
    </r>
    <r>
      <rPr>
        <sz val="10"/>
        <color rgb="FF000000"/>
        <rFont val="Arial"/>
        <family val="2"/>
      </rPr>
      <t>7-2</t>
    </r>
    <r>
      <rPr>
        <sz val="10"/>
        <color rgb="FF000000"/>
        <rFont val="宋体"/>
        <family val="3"/>
        <charset val="134"/>
      </rPr>
      <t>开始</t>
    </r>
    <r>
      <rPr>
        <sz val="10"/>
        <color rgb="FF000000"/>
        <rFont val="Arial"/>
        <family val="2"/>
      </rPr>
      <t xml:space="preserve">
2019-7-19</t>
    </r>
    <r>
      <rPr>
        <sz val="10"/>
        <color rgb="FF000000"/>
        <rFont val="宋体"/>
        <family val="3"/>
        <charset val="134"/>
      </rPr>
      <t>：</t>
    </r>
  </si>
  <si>
    <r>
      <rPr>
        <sz val="11"/>
        <color rgb="FF000000"/>
        <rFont val="宋体"/>
        <family val="3"/>
        <charset val="134"/>
        <scheme val="minor"/>
      </rPr>
      <t>UIT第三方模块的管理：</t>
    </r>
    <r>
      <rPr>
        <sz val="11"/>
        <color rgb="FF000000"/>
        <rFont val="Arial"/>
        <family val="2"/>
      </rPr>
      <t>Poco</t>
    </r>
    <r>
      <rPr>
        <sz val="11"/>
        <color rgb="FF000000"/>
        <rFont val="宋体"/>
        <family val="3"/>
        <charset val="134"/>
        <scheme val="minor"/>
      </rPr>
      <t>、</t>
    </r>
    <r>
      <rPr>
        <sz val="11"/>
        <color rgb="FF000000"/>
        <rFont val="Arial"/>
        <family val="2"/>
      </rPr>
      <t>Qt</t>
    </r>
    <r>
      <rPr>
        <sz val="11"/>
        <color rgb="FF000000"/>
        <rFont val="宋体"/>
        <family val="3"/>
        <charset val="134"/>
        <scheme val="minor"/>
      </rPr>
      <t>、</t>
    </r>
    <r>
      <rPr>
        <sz val="11"/>
        <color rgb="FF000000"/>
        <rFont val="Arial"/>
        <family val="2"/>
      </rPr>
      <t>someip</t>
    </r>
    <r>
      <rPr>
        <sz val="11"/>
        <color rgb="FF000000"/>
        <rFont val="宋体"/>
        <family val="3"/>
        <charset val="134"/>
        <scheme val="minor"/>
      </rPr>
      <t>、</t>
    </r>
    <r>
      <rPr>
        <sz val="11"/>
        <color rgb="FF000000"/>
        <rFont val="Arial"/>
        <family val="2"/>
      </rPr>
      <t>boost</t>
    </r>
  </si>
  <si>
    <t>Su Zhifei/Pan Rongtao</t>
  </si>
  <si>
    <r>
      <rPr>
        <sz val="10"/>
        <color rgb="FF000000"/>
        <rFont val="Arial"/>
        <family val="2"/>
      </rPr>
      <t>2019-6-25</t>
    </r>
    <r>
      <rPr>
        <sz val="10"/>
        <color rgb="FF000000"/>
        <rFont val="宋体"/>
        <family val="3"/>
        <charset val="134"/>
      </rPr>
      <t>：</t>
    </r>
    <r>
      <rPr>
        <sz val="10"/>
        <color rgb="FF000000"/>
        <rFont val="Arial"/>
        <family val="2"/>
      </rPr>
      <t>SZF</t>
    </r>
    <r>
      <rPr>
        <sz val="10"/>
        <color rgb="FF000000"/>
        <rFont val="宋体"/>
        <family val="3"/>
        <charset val="134"/>
      </rPr>
      <t>开始编译</t>
    </r>
    <r>
      <rPr>
        <sz val="10"/>
        <color rgb="FF000000"/>
        <rFont val="Arial"/>
        <family val="2"/>
      </rPr>
      <t>Qt for win32, linux x11</t>
    </r>
    <r>
      <rPr>
        <sz val="10"/>
        <color rgb="FF000000"/>
        <rFont val="宋体"/>
        <family val="3"/>
        <charset val="134"/>
      </rPr>
      <t>，并使用</t>
    </r>
    <r>
      <rPr>
        <sz val="10"/>
        <color rgb="FF000000"/>
        <rFont val="Arial"/>
        <family val="2"/>
      </rPr>
      <t>cmake</t>
    </r>
    <r>
      <rPr>
        <sz val="10"/>
        <color rgb="FF000000"/>
        <rFont val="宋体"/>
        <family val="3"/>
        <charset val="134"/>
      </rPr>
      <t>构建测试</t>
    </r>
    <r>
      <rPr>
        <sz val="10"/>
        <color rgb="FF000000"/>
        <rFont val="Arial"/>
        <family val="2"/>
      </rPr>
      <t>qml</t>
    </r>
    <r>
      <rPr>
        <sz val="10"/>
        <color rgb="FF000000"/>
        <rFont val="宋体"/>
        <family val="3"/>
        <charset val="134"/>
      </rPr>
      <t>工程。剩余的</t>
    </r>
    <r>
      <rPr>
        <sz val="10"/>
        <color rgb="FF000000"/>
        <rFont val="Arial"/>
        <family val="2"/>
      </rPr>
      <t>arm</t>
    </r>
    <r>
      <rPr>
        <sz val="10"/>
        <color rgb="FF000000"/>
        <rFont val="宋体"/>
        <family val="3"/>
        <charset val="134"/>
      </rPr>
      <t>版本和</t>
    </r>
    <r>
      <rPr>
        <sz val="10"/>
        <color rgb="FF000000"/>
        <rFont val="Arial"/>
        <family val="2"/>
      </rPr>
      <t>qnx</t>
    </r>
    <r>
      <rPr>
        <sz val="10"/>
        <color rgb="FF000000"/>
        <rFont val="宋体"/>
        <family val="3"/>
        <charset val="134"/>
      </rPr>
      <t>版本第二周完成。</t>
    </r>
    <r>
      <rPr>
        <sz val="10"/>
        <color rgb="FF000000"/>
        <rFont val="Arial"/>
        <family val="2"/>
      </rPr>
      <t xml:space="preserve">
2019-7-8</t>
    </r>
    <r>
      <rPr>
        <sz val="10"/>
        <color rgb="FF000000"/>
        <rFont val="宋体"/>
        <family val="3"/>
        <charset val="134"/>
      </rPr>
      <t>：由于</t>
    </r>
    <r>
      <rPr>
        <sz val="10"/>
        <color rgb="FF000000"/>
        <rFont val="Arial"/>
        <family val="2"/>
      </rPr>
      <t>Qt</t>
    </r>
    <r>
      <rPr>
        <sz val="10"/>
        <color rgb="FF000000"/>
        <rFont val="宋体"/>
        <family val="3"/>
        <charset val="134"/>
      </rPr>
      <t>编译耗时久比较麻烦，由</t>
    </r>
    <r>
      <rPr>
        <sz val="10"/>
        <color rgb="FF000000"/>
        <rFont val="Arial"/>
        <family val="2"/>
      </rPr>
      <t>SZF</t>
    </r>
    <r>
      <rPr>
        <sz val="10"/>
        <color rgb="FF000000"/>
        <rFont val="宋体"/>
        <family val="3"/>
        <charset val="134"/>
      </rPr>
      <t>专门负责</t>
    </r>
    <r>
      <rPr>
        <sz val="10"/>
        <color rgb="FF000000"/>
        <rFont val="Arial"/>
        <family val="2"/>
      </rPr>
      <t>Qt</t>
    </r>
    <r>
      <rPr>
        <sz val="10"/>
        <color rgb="FF000000"/>
        <rFont val="宋体"/>
        <family val="3"/>
        <charset val="134"/>
      </rPr>
      <t>模块的编译管理；</t>
    </r>
    <r>
      <rPr>
        <sz val="10"/>
        <color rgb="FF000000"/>
        <rFont val="Arial"/>
        <family val="2"/>
      </rPr>
      <t>Poco</t>
    </r>
    <r>
      <rPr>
        <sz val="10"/>
        <color rgb="FF000000"/>
        <rFont val="宋体"/>
        <family val="3"/>
        <charset val="134"/>
      </rPr>
      <t>、</t>
    </r>
    <r>
      <rPr>
        <sz val="10"/>
        <color rgb="FF000000"/>
        <rFont val="Arial"/>
        <family val="2"/>
      </rPr>
      <t>someip</t>
    </r>
    <r>
      <rPr>
        <sz val="10"/>
        <color rgb="FF000000"/>
        <rFont val="宋体"/>
        <family val="3"/>
        <charset val="134"/>
      </rPr>
      <t>、</t>
    </r>
    <r>
      <rPr>
        <sz val="10"/>
        <color rgb="FF000000"/>
        <rFont val="Arial"/>
        <family val="2"/>
      </rPr>
      <t>boost</t>
    </r>
    <r>
      <rPr>
        <sz val="10"/>
        <color rgb="FF000000"/>
        <rFont val="宋体"/>
        <family val="3"/>
        <charset val="134"/>
      </rPr>
      <t>由</t>
    </r>
    <r>
      <rPr>
        <sz val="10"/>
        <color rgb="FF000000"/>
        <rFont val="Arial"/>
        <family val="2"/>
      </rPr>
      <t>PRT</t>
    </r>
    <r>
      <rPr>
        <sz val="10"/>
        <color rgb="FF000000"/>
        <rFont val="宋体"/>
        <family val="3"/>
        <charset val="134"/>
      </rPr>
      <t>负责。</t>
    </r>
    <r>
      <rPr>
        <sz val="10"/>
        <color rgb="FF000000"/>
        <rFont val="Arial"/>
        <family val="2"/>
      </rPr>
      <t xml:space="preserve">
2019-7-15</t>
    </r>
    <r>
      <rPr>
        <sz val="10"/>
        <color rgb="FF000000"/>
        <rFont val="宋体"/>
        <family val="3"/>
        <charset val="134"/>
      </rPr>
      <t>：</t>
    </r>
    <r>
      <rPr>
        <sz val="10"/>
        <color rgb="FF000000"/>
        <rFont val="Arial"/>
        <family val="2"/>
      </rPr>
      <t>Poco/someip/boost for win32, for linux-x11</t>
    </r>
    <r>
      <rPr>
        <sz val="10"/>
        <color rgb="FF000000"/>
        <rFont val="宋体"/>
        <family val="3"/>
        <charset val="134"/>
      </rPr>
      <t>已经完成；</t>
    </r>
    <r>
      <rPr>
        <sz val="10"/>
        <color rgb="FF000000"/>
        <rFont val="Arial"/>
        <family val="2"/>
      </rPr>
      <t>Qt for win32</t>
    </r>
    <r>
      <rPr>
        <sz val="10"/>
        <color rgb="FF000000"/>
        <rFont val="宋体"/>
        <family val="3"/>
        <charset val="134"/>
      </rPr>
      <t>已完成</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全部编译完成</t>
    </r>
  </si>
  <si>
    <r>
      <rPr>
        <sz val="11"/>
        <color rgb="FF000000"/>
        <rFont val="Arial"/>
        <family val="2"/>
      </rPr>
      <t>UIT</t>
    </r>
    <r>
      <rPr>
        <sz val="11"/>
        <color rgb="FF000000"/>
        <rFont val="宋体"/>
        <family val="3"/>
        <charset val="134"/>
      </rPr>
      <t>运行时脚本</t>
    </r>
    <r>
      <rPr>
        <sz val="11"/>
        <color rgb="FF000000"/>
        <rFont val="Arial"/>
        <family val="2"/>
      </rPr>
      <t>for win32, linux, qnx</t>
    </r>
  </si>
  <si>
    <r>
      <rPr>
        <sz val="10"/>
        <color rgb="FF000000"/>
        <rFont val="Arial"/>
        <family val="2"/>
      </rPr>
      <t>2019-6-25</t>
    </r>
    <r>
      <rPr>
        <sz val="10"/>
        <color rgb="FF000000"/>
        <rFont val="宋体"/>
        <family val="3"/>
        <charset val="134"/>
      </rPr>
      <t>：</t>
    </r>
    <r>
      <rPr>
        <sz val="10"/>
        <color rgb="FF000000"/>
        <rFont val="Arial"/>
        <family val="2"/>
      </rPr>
      <t>8-1</t>
    </r>
    <r>
      <rPr>
        <sz val="10"/>
        <color rgb="FF000000"/>
        <rFont val="宋体"/>
        <family val="3"/>
        <charset val="134"/>
      </rPr>
      <t>开始</t>
    </r>
    <r>
      <rPr>
        <sz val="10"/>
        <color rgb="FF000000"/>
        <rFont val="Arial"/>
        <family val="2"/>
      </rPr>
      <t xml:space="preserve">
2019-7-8</t>
    </r>
    <r>
      <rPr>
        <sz val="10"/>
        <color rgb="FF000000"/>
        <rFont val="宋体"/>
        <family val="3"/>
        <charset val="134"/>
      </rPr>
      <t>：完成</t>
    </r>
    <r>
      <rPr>
        <sz val="10"/>
        <color rgb="FF000000"/>
        <rFont val="Arial"/>
        <family val="2"/>
      </rPr>
      <t>win32</t>
    </r>
    <r>
      <rPr>
        <sz val="10"/>
        <color rgb="FF000000"/>
        <rFont val="宋体"/>
        <family val="3"/>
        <charset val="134"/>
      </rPr>
      <t>版本</t>
    </r>
    <r>
      <rPr>
        <sz val="10"/>
        <color rgb="FF000000"/>
        <rFont val="Arial"/>
        <family val="2"/>
      </rPr>
      <t xml:space="preserve">
2019-7-15</t>
    </r>
    <r>
      <rPr>
        <sz val="10"/>
        <color rgb="FF000000"/>
        <rFont val="宋体"/>
        <family val="3"/>
        <charset val="134"/>
      </rPr>
      <t>：完成</t>
    </r>
    <r>
      <rPr>
        <sz val="10"/>
        <color rgb="FF000000"/>
        <rFont val="Arial"/>
        <family val="2"/>
      </rPr>
      <t>x11</t>
    </r>
    <r>
      <rPr>
        <sz val="10"/>
        <color rgb="FF000000"/>
        <rFont val="宋体"/>
        <family val="3"/>
        <charset val="134"/>
      </rPr>
      <t>版本</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全部完成测试</t>
    </r>
  </si>
  <si>
    <t>优化uit log系统，支持所有系统，并支持文件log和全局开关</t>
  </si>
  <si>
    <t>中</t>
  </si>
  <si>
    <t>Pan Rongtao/All</t>
  </si>
  <si>
    <r>
      <rPr>
        <sz val="10"/>
        <color rgb="FF000000"/>
        <rFont val="Arial"/>
        <family val="2"/>
      </rPr>
      <t>2019-6-25</t>
    </r>
    <r>
      <rPr>
        <sz val="10"/>
        <color rgb="FF000000"/>
        <rFont val="宋体"/>
        <family val="3"/>
        <charset val="134"/>
      </rPr>
      <t>：</t>
    </r>
    <r>
      <rPr>
        <sz val="10"/>
        <color rgb="FF000000"/>
        <rFont val="Arial"/>
        <family val="2"/>
      </rPr>
      <t>7-15</t>
    </r>
    <r>
      <rPr>
        <sz val="10"/>
        <color rgb="FF000000"/>
        <rFont val="宋体"/>
        <family val="3"/>
        <charset val="134"/>
      </rPr>
      <t>开始</t>
    </r>
    <r>
      <rPr>
        <sz val="10"/>
        <color rgb="FF000000"/>
        <rFont val="Arial"/>
        <family val="2"/>
      </rPr>
      <t xml:space="preserve">
2019-7-22</t>
    </r>
    <r>
      <rPr>
        <sz val="10"/>
        <color rgb="FF000000"/>
        <rFont val="宋体"/>
        <family val="3"/>
        <charset val="134"/>
      </rPr>
      <t>：完成，放在</t>
    </r>
    <r>
      <rPr>
        <sz val="10"/>
        <color rgb="FF000000"/>
        <rFont val="Arial"/>
        <family val="2"/>
      </rPr>
      <t>uit/core</t>
    </r>
    <r>
      <rPr>
        <sz val="10"/>
        <color rgb="FF000000"/>
        <rFont val="宋体"/>
        <family val="3"/>
        <charset val="134"/>
      </rPr>
      <t xml:space="preserve">模块，需要大家使用
</t>
    </r>
    <r>
      <rPr>
        <sz val="10"/>
        <color rgb="FF000000"/>
        <rFont val="Arial"/>
        <family val="2"/>
      </rPr>
      <t>2019/8/19</t>
    </r>
    <r>
      <rPr>
        <sz val="10"/>
        <color rgb="FF000000"/>
        <rFont val="宋体"/>
        <family val="3"/>
        <charset val="134"/>
      </rPr>
      <t>：完成</t>
    </r>
  </si>
  <si>
    <t>统一UIT运行时路径，支持所有系统</t>
  </si>
  <si>
    <r>
      <rPr>
        <sz val="10"/>
        <rFont val="Arial"/>
        <family val="2"/>
      </rPr>
      <t>2019-6-25</t>
    </r>
    <r>
      <rPr>
        <sz val="10"/>
        <rFont val="宋体"/>
        <family val="3"/>
        <charset val="134"/>
      </rPr>
      <t>：</t>
    </r>
    <r>
      <rPr>
        <sz val="10"/>
        <rFont val="Arial"/>
        <family val="2"/>
      </rPr>
      <t>8-7</t>
    </r>
    <r>
      <rPr>
        <sz val="10"/>
        <rFont val="宋体"/>
        <family val="3"/>
        <charset val="134"/>
      </rPr>
      <t xml:space="preserve">开始
</t>
    </r>
    <r>
      <rPr>
        <sz val="10"/>
        <rFont val="Arial"/>
        <family val="2"/>
      </rPr>
      <t>2019/8/19</t>
    </r>
    <r>
      <rPr>
        <sz val="10"/>
        <rFont val="宋体"/>
        <family val="3"/>
        <charset val="134"/>
      </rPr>
      <t>：完成各平台</t>
    </r>
  </si>
  <si>
    <t>文档存放路径的优化，需考虑新人接入时完全不知道怎么做的情况</t>
  </si>
  <si>
    <r>
      <rPr>
        <sz val="10"/>
        <color rgb="FF000000"/>
        <rFont val="Arial"/>
        <family val="2"/>
      </rPr>
      <t>2019-6-25</t>
    </r>
    <r>
      <rPr>
        <sz val="10"/>
        <color rgb="FF000000"/>
        <rFont val="宋体"/>
        <family val="3"/>
        <charset val="134"/>
      </rPr>
      <t>：</t>
    </r>
    <r>
      <rPr>
        <sz val="10"/>
        <color rgb="FF000000"/>
        <rFont val="Arial"/>
        <family val="2"/>
      </rPr>
      <t>8-19</t>
    </r>
    <r>
      <rPr>
        <sz val="10"/>
        <color rgb="FF000000"/>
        <rFont val="宋体"/>
        <family val="3"/>
        <charset val="134"/>
      </rPr>
      <t xml:space="preserve">开始
</t>
    </r>
    <r>
      <rPr>
        <sz val="10"/>
        <color rgb="FF000000"/>
        <rFont val="Arial"/>
        <family val="2"/>
      </rPr>
      <t>2019/8/19</t>
    </r>
    <r>
      <rPr>
        <sz val="10"/>
        <color rgb="FF000000"/>
        <rFont val="宋体"/>
        <family val="3"/>
        <charset val="134"/>
      </rPr>
      <t>：提高文档重要性，单独建立一个数据库存放</t>
    </r>
  </si>
  <si>
    <t>UIT框架文档</t>
  </si>
  <si>
    <r>
      <rPr>
        <sz val="10"/>
        <rFont val="Arial"/>
        <family val="2"/>
      </rPr>
      <t>2018-8-6</t>
    </r>
    <r>
      <rPr>
        <sz val="10"/>
        <rFont val="宋体"/>
        <family val="3"/>
        <charset val="134"/>
      </rPr>
      <t xml:space="preserve">：本周完成
</t>
    </r>
    <r>
      <rPr>
        <sz val="10"/>
        <rFont val="Arial"/>
        <family val="2"/>
      </rPr>
      <t>2019/8/19</t>
    </r>
    <r>
      <rPr>
        <sz val="10"/>
        <rFont val="宋体"/>
        <family val="3"/>
        <charset val="134"/>
      </rPr>
      <t>：完成</t>
    </r>
  </si>
  <si>
    <t>图层管理</t>
  </si>
  <si>
    <t>Su Zhifei</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</si>
  <si>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：研究参照</t>
    </r>
    <r>
      <rPr>
        <sz val="10"/>
        <rFont val="Arial"/>
        <family val="2"/>
      </rPr>
      <t>g6s</t>
    </r>
    <r>
      <rPr>
        <sz val="10"/>
        <rFont val="宋体"/>
        <family val="3"/>
        <charset val="134"/>
      </rPr>
      <t xml:space="preserve">图层管理结构，本周开始设计与编码
</t>
    </r>
    <r>
      <rPr>
        <sz val="10"/>
        <rFont val="Arial"/>
        <family val="2"/>
      </rPr>
      <t>2019-9-16</t>
    </r>
    <r>
      <rPr>
        <sz val="10"/>
        <rFont val="宋体"/>
        <family val="3"/>
        <charset val="134"/>
      </rPr>
      <t>：接口与设计完成初步，正在编码。本周调试</t>
    </r>
    <r>
      <rPr>
        <sz val="10"/>
        <rFont val="Arial"/>
        <family val="2"/>
      </rPr>
      <t>qnx</t>
    </r>
    <r>
      <rPr>
        <sz val="10"/>
        <rFont val="宋体"/>
        <family val="3"/>
        <charset val="134"/>
      </rPr>
      <t xml:space="preserve">下的实现
</t>
    </r>
    <r>
      <rPr>
        <sz val="10"/>
        <rFont val="Arial"/>
        <family val="2"/>
      </rPr>
      <t>2019-10-8</t>
    </r>
    <r>
      <rPr>
        <sz val="10"/>
        <rFont val="宋体"/>
        <family val="3"/>
        <charset val="134"/>
      </rPr>
      <t xml:space="preserve">：编码完成，等待调试
</t>
    </r>
    <r>
      <rPr>
        <sz val="10"/>
        <rFont val="Arial"/>
        <family val="2"/>
      </rPr>
      <t>2019-10-21</t>
    </r>
    <r>
      <rPr>
        <sz val="10"/>
        <rFont val="宋体"/>
        <family val="3"/>
        <charset val="134"/>
      </rPr>
      <t xml:space="preserve">：单元测试优先级高，完成后再继续
</t>
    </r>
    <r>
      <rPr>
        <sz val="10"/>
        <rFont val="Arial"/>
        <family val="2"/>
      </rPr>
      <t>2019-11-4</t>
    </r>
    <r>
      <rPr>
        <sz val="10"/>
        <rFont val="宋体"/>
        <family val="3"/>
        <charset val="134"/>
      </rPr>
      <t xml:space="preserve">：下周继续，本周优先处理《技术大赛》
</t>
    </r>
    <r>
      <rPr>
        <sz val="10"/>
        <rFont val="Arial"/>
        <family val="2"/>
      </rPr>
      <t>2019-11-4</t>
    </r>
    <r>
      <rPr>
        <sz val="10"/>
        <rFont val="宋体"/>
        <family val="3"/>
        <charset val="134"/>
      </rPr>
      <t xml:space="preserve">：本周开始全力进行，预计两周完成
</t>
    </r>
    <r>
      <rPr>
        <sz val="10"/>
        <rFont val="Arial"/>
        <family val="2"/>
      </rPr>
      <t>2019-12-2</t>
    </r>
    <r>
      <rPr>
        <sz val="10"/>
        <rFont val="宋体"/>
        <family val="3"/>
        <charset val="134"/>
      </rPr>
      <t xml:space="preserve">：本周三发布第一个版本。
</t>
    </r>
    <r>
      <rPr>
        <sz val="10"/>
        <rFont val="Arial"/>
        <family val="2"/>
      </rPr>
      <t>2019-12-16</t>
    </r>
    <r>
      <rPr>
        <sz val="10"/>
        <rFont val="宋体"/>
        <family val="3"/>
        <charset val="134"/>
      </rPr>
      <t>：</t>
    </r>
    <r>
      <rPr>
        <sz val="10"/>
        <rFont val="Arial"/>
        <family val="2"/>
      </rPr>
      <t>QNX</t>
    </r>
    <r>
      <rPr>
        <sz val="10"/>
        <rFont val="宋体"/>
        <family val="3"/>
        <charset val="134"/>
      </rPr>
      <t>调试完毕，windows端周三完成。本周确定get方法方案。</t>
    </r>
    <r>
      <rPr>
        <sz val="10"/>
        <rFont val="Arial"/>
        <family val="2"/>
      </rPr>
      <t xml:space="preserve">
2020-2-10</t>
    </r>
    <r>
      <rPr>
        <sz val="10"/>
        <rFont val="宋体"/>
        <family val="3"/>
        <charset val="134"/>
      </rPr>
      <t>：get暂时无法做，不做get需求，目前暂无需求</t>
    </r>
  </si>
  <si>
    <t>针对G6SH的数据驱动 数据事件定义优化：并给出第一版本的Excel说明，输出给到kanzi开发，后期由kanzi开发维护</t>
  </si>
  <si>
    <r>
      <rPr>
        <sz val="10"/>
        <rFont val="Arial"/>
        <family val="2"/>
      </rPr>
      <t>2019-11-18</t>
    </r>
    <r>
      <rPr>
        <sz val="10"/>
        <rFont val="宋体"/>
        <family val="3"/>
        <charset val="134"/>
      </rPr>
      <t xml:space="preserve">：本周完成
</t>
    </r>
    <r>
      <rPr>
        <sz val="10"/>
        <rFont val="Arial"/>
        <family val="2"/>
      </rPr>
      <t>2019-12-2</t>
    </r>
    <r>
      <rPr>
        <sz val="10"/>
        <rFont val="宋体"/>
        <family val="3"/>
        <charset val="134"/>
      </rPr>
      <t>：完成，后续交由</t>
    </r>
    <r>
      <rPr>
        <sz val="10"/>
        <rFont val="Arial"/>
        <family val="2"/>
      </rPr>
      <t>KANZI</t>
    </r>
    <r>
      <rPr>
        <sz val="10"/>
        <rFont val="宋体"/>
        <family val="3"/>
        <charset val="134"/>
      </rPr>
      <t>团队维护</t>
    </r>
  </si>
  <si>
    <r>
      <rPr>
        <sz val="11"/>
        <color theme="1"/>
        <rFont val="Arial"/>
        <family val="2"/>
      </rPr>
      <t>G6SH</t>
    </r>
    <r>
      <rPr>
        <sz val="11"/>
        <color theme="1"/>
        <rFont val="宋体"/>
        <family val="3"/>
        <charset val="134"/>
      </rPr>
      <t>，协调</t>
    </r>
    <r>
      <rPr>
        <sz val="11"/>
        <color theme="1"/>
        <rFont val="Arial"/>
        <family val="2"/>
      </rPr>
      <t>MF</t>
    </r>
    <r>
      <rPr>
        <sz val="11"/>
        <color theme="1"/>
        <rFont val="宋体"/>
        <family val="3"/>
        <charset val="134"/>
      </rPr>
      <t>把</t>
    </r>
    <r>
      <rPr>
        <sz val="11"/>
        <color theme="1"/>
        <rFont val="Arial"/>
        <family val="2"/>
      </rPr>
      <t>UIT</t>
    </r>
    <r>
      <rPr>
        <sz val="11"/>
        <color theme="1"/>
        <rFont val="宋体"/>
        <family val="3"/>
        <charset val="134"/>
      </rPr>
      <t>框架部分提取出来，保证对外发布的一致性</t>
    </r>
  </si>
  <si>
    <r>
      <rPr>
        <sz val="10"/>
        <rFont val="Arial"/>
        <family val="2"/>
      </rPr>
      <t>2019-11-18</t>
    </r>
    <r>
      <rPr>
        <sz val="10"/>
        <rFont val="宋体"/>
        <family val="3"/>
        <charset val="134"/>
      </rPr>
      <t xml:space="preserve">：下周开始
</t>
    </r>
    <r>
      <rPr>
        <sz val="10"/>
        <rFont val="Arial"/>
        <family val="2"/>
      </rPr>
      <t>2019-12-2</t>
    </r>
    <r>
      <rPr>
        <sz val="10"/>
        <rFont val="宋体"/>
        <family val="3"/>
        <charset val="134"/>
      </rPr>
      <t>：kanzi部分未调整完成，等待完成后再找CM，预计明天处理完成。
2019-12-16：已协调服务器流程。</t>
    </r>
  </si>
  <si>
    <t>基本图形的绘制（三角形、圆、球等）、矩阵变换（模型变换、视图变换、颜色等）</t>
  </si>
  <si>
    <r>
      <rPr>
        <sz val="10"/>
        <rFont val="Arial"/>
        <family val="2"/>
      </rPr>
      <t>2019-8-6</t>
    </r>
    <r>
      <rPr>
        <sz val="10"/>
        <rFont val="宋体"/>
        <family val="3"/>
        <charset val="134"/>
      </rPr>
      <t xml:space="preserve">：下周开始
</t>
    </r>
    <r>
      <rPr>
        <sz val="10"/>
        <rFont val="Arial"/>
        <family val="2"/>
      </rPr>
      <t>2019-8-19</t>
    </r>
    <r>
      <rPr>
        <sz val="10"/>
        <rFont val="宋体"/>
        <family val="3"/>
        <charset val="134"/>
      </rPr>
      <t xml:space="preserve">：基本图形绘制展示完成，变换完成。还差球的绘制，本周完成
</t>
    </r>
    <r>
      <rPr>
        <sz val="10"/>
        <rFont val="Arial"/>
        <family val="2"/>
      </rPr>
      <t>2019-9-2</t>
    </r>
    <r>
      <rPr>
        <sz val="10"/>
        <rFont val="宋体"/>
        <family val="3"/>
        <charset val="134"/>
      </rPr>
      <t>：完成</t>
    </r>
  </si>
  <si>
    <t>立方体贴图，用代码覆盖知识点（深度测试、模板测试、面剔除、抗锯齿、混合、帧缓冲）的展示</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</si>
  <si>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 xml:space="preserve">：还差模板测试、帧缓冲这两天完成
</t>
    </r>
    <r>
      <rPr>
        <sz val="10"/>
        <rFont val="Arial"/>
        <family val="2"/>
      </rPr>
      <t>2019-9-16</t>
    </r>
    <r>
      <rPr>
        <sz val="10"/>
        <rFont val="宋体"/>
        <family val="3"/>
        <charset val="134"/>
      </rPr>
      <t>：完成</t>
    </r>
  </si>
  <si>
    <r>
      <rPr>
        <sz val="10.5"/>
        <color theme="1"/>
        <rFont val="Calibri"/>
        <family val="2"/>
      </rPr>
      <t>phong</t>
    </r>
    <r>
      <rPr>
        <sz val="10.5"/>
        <color theme="1"/>
        <rFont val="宋体"/>
        <family val="3"/>
        <charset val="134"/>
        <scheme val="minor"/>
      </rPr>
      <t>光照模型、展示光照的完整程序</t>
    </r>
  </si>
  <si>
    <r>
      <rPr>
        <sz val="10"/>
        <rFont val="Arial"/>
        <family val="2"/>
      </rPr>
      <t>2019-9-16</t>
    </r>
    <r>
      <rPr>
        <sz val="10"/>
        <rFont val="宋体"/>
        <family val="3"/>
        <charset val="134"/>
      </rPr>
      <t>：看了理论知识，下一步自己写</t>
    </r>
    <r>
      <rPr>
        <sz val="10"/>
        <rFont val="Arial"/>
        <family val="2"/>
      </rPr>
      <t>demo</t>
    </r>
    <r>
      <rPr>
        <sz val="10"/>
        <rFont val="宋体"/>
        <family val="3"/>
        <charset val="134"/>
      </rPr>
      <t xml:space="preserve">实现
</t>
    </r>
    <r>
      <rPr>
        <sz val="10"/>
        <rFont val="Arial"/>
        <family val="2"/>
      </rPr>
      <t>2019-12-16</t>
    </r>
    <r>
      <rPr>
        <sz val="10"/>
        <rFont val="宋体"/>
        <family val="3"/>
        <charset val="134"/>
      </rPr>
      <t>：</t>
    </r>
    <r>
      <rPr>
        <sz val="10"/>
        <rFont val="Arial"/>
        <family val="2"/>
      </rPr>
      <t>23</t>
    </r>
    <r>
      <rPr>
        <sz val="10"/>
        <rFont val="宋体"/>
        <family val="3"/>
        <charset val="134"/>
      </rPr>
      <t>号继续本任务，预计两周输出。</t>
    </r>
  </si>
  <si>
    <r>
      <rPr>
        <sz val="10.5"/>
        <color theme="1"/>
        <rFont val="宋体"/>
        <family val="3"/>
        <charset val="134"/>
        <scheme val="minor"/>
      </rPr>
      <t>文字渲染，使用</t>
    </r>
    <r>
      <rPr>
        <sz val="10.5"/>
        <color theme="1"/>
        <rFont val="Calibri"/>
        <family val="2"/>
      </rPr>
      <t>freeType</t>
    </r>
    <r>
      <rPr>
        <sz val="10.5"/>
        <color theme="1"/>
        <rFont val="宋体"/>
        <family val="3"/>
        <charset val="134"/>
        <scheme val="minor"/>
      </rPr>
      <t>渲染文字，展示完整程序</t>
    </r>
  </si>
  <si>
    <r>
      <rPr>
        <sz val="10"/>
        <rFont val="Arial"/>
        <family val="2"/>
      </rPr>
      <t>2019-9-16</t>
    </r>
    <r>
      <rPr>
        <sz val="10"/>
        <rFont val="宋体"/>
        <family val="3"/>
        <charset val="134"/>
      </rPr>
      <t>：等待光照模型完成</t>
    </r>
  </si>
  <si>
    <r>
      <rPr>
        <sz val="10.5"/>
        <color theme="1"/>
        <rFont val="宋体"/>
        <family val="3"/>
        <charset val="134"/>
        <scheme val="minor"/>
      </rPr>
      <t>使用</t>
    </r>
    <r>
      <rPr>
        <sz val="10.5"/>
        <color theme="1"/>
        <rFont val="Calibri"/>
        <family val="2"/>
      </rPr>
      <t>Assimp</t>
    </r>
    <r>
      <rPr>
        <sz val="10.5"/>
        <color theme="1"/>
        <rFont val="宋体"/>
        <family val="3"/>
        <charset val="134"/>
        <scheme val="minor"/>
      </rPr>
      <t>加载模型</t>
    </r>
  </si>
  <si>
    <t>展示简单粒子效果</t>
  </si>
  <si>
    <r>
      <rPr>
        <sz val="10.5"/>
        <color theme="1"/>
        <rFont val="宋体"/>
        <family val="3"/>
        <charset val="134"/>
        <scheme val="minor"/>
      </rPr>
      <t>高级数据、高级光照、高级</t>
    </r>
    <r>
      <rPr>
        <sz val="10.5"/>
        <color theme="1"/>
        <rFont val="Calibri"/>
        <family val="2"/>
      </rPr>
      <t>GLSL</t>
    </r>
    <r>
      <rPr>
        <sz val="10.5"/>
        <color theme="1"/>
        <rFont val="宋体"/>
        <family val="3"/>
        <charset val="134"/>
        <scheme val="minor"/>
      </rPr>
      <t>、几何着色器、实例化</t>
    </r>
    <r>
      <rPr>
        <sz val="10.5"/>
        <color theme="1"/>
        <rFont val="Calibri"/>
        <family val="2"/>
      </rPr>
      <t>     ---</t>
    </r>
    <r>
      <rPr>
        <sz val="10.5"/>
        <color theme="1"/>
        <rFont val="宋体"/>
        <family val="3"/>
        <charset val="134"/>
        <scheme val="minor"/>
      </rPr>
      <t>暂时作为了解，先了解原理</t>
    </r>
  </si>
  <si>
    <t>确认项目开发周期慢的原因（UIT相关）</t>
  </si>
  <si>
    <r>
      <rPr>
        <sz val="10"/>
        <rFont val="Arial"/>
        <family val="2"/>
      </rPr>
      <t>2019/6/25</t>
    </r>
    <r>
      <rPr>
        <sz val="10"/>
        <rFont val="宋体"/>
        <family val="3"/>
        <charset val="134"/>
      </rPr>
      <t>：</t>
    </r>
    <r>
      <rPr>
        <sz val="10"/>
        <rFont val="Arial"/>
        <family val="2"/>
      </rPr>
      <t xml:space="preserve">8-1 </t>
    </r>
    <r>
      <rPr>
        <sz val="10"/>
        <rFont val="宋体"/>
        <family val="3"/>
        <charset val="134"/>
      </rPr>
      <t xml:space="preserve">开始
</t>
    </r>
    <r>
      <rPr>
        <sz val="10"/>
        <rFont val="Arial"/>
        <family val="2"/>
      </rPr>
      <t>2019/8/19</t>
    </r>
    <r>
      <rPr>
        <sz val="10"/>
        <rFont val="宋体"/>
        <family val="3"/>
        <charset val="134"/>
      </rPr>
      <t>：</t>
    </r>
    <r>
      <rPr>
        <sz val="10"/>
        <rFont val="Arial"/>
        <family val="2"/>
      </rPr>
      <t>SZF</t>
    </r>
    <r>
      <rPr>
        <sz val="10"/>
        <rFont val="宋体"/>
        <family val="3"/>
        <charset val="134"/>
      </rPr>
      <t>已经与</t>
    </r>
    <r>
      <rPr>
        <sz val="10"/>
        <rFont val="Arial"/>
        <family val="2"/>
      </rPr>
      <t>RN1</t>
    </r>
    <r>
      <rPr>
        <sz val="10"/>
        <rFont val="宋体"/>
        <family val="3"/>
        <charset val="134"/>
      </rPr>
      <t>相关同事了解：与数据驱动相关的问题较少，时间花在</t>
    </r>
    <r>
      <rPr>
        <sz val="10"/>
        <rFont val="Arial"/>
        <family val="2"/>
      </rPr>
      <t xml:space="preserve">KANZI </t>
    </r>
    <r>
      <rPr>
        <sz val="10"/>
        <rFont val="宋体"/>
        <family val="3"/>
        <charset val="134"/>
      </rPr>
      <t>插件和</t>
    </r>
    <r>
      <rPr>
        <sz val="10"/>
        <rFont val="Arial"/>
        <family val="2"/>
      </rPr>
      <t xml:space="preserve">KANZI </t>
    </r>
    <r>
      <rPr>
        <sz val="10"/>
        <rFont val="宋体"/>
        <family val="3"/>
        <charset val="134"/>
      </rPr>
      <t>工程。如有需要，后续</t>
    </r>
    <r>
      <rPr>
        <sz val="10"/>
        <rFont val="Arial"/>
        <family val="2"/>
      </rPr>
      <t>UIT</t>
    </r>
    <r>
      <rPr>
        <sz val="10"/>
        <rFont val="宋体"/>
        <family val="3"/>
        <charset val="134"/>
      </rPr>
      <t>内部再针对此反馈进行讨论。</t>
    </r>
    <r>
      <rPr>
        <sz val="10"/>
        <rFont val="Arial"/>
        <family val="2"/>
      </rPr>
      <t xml:space="preserve">
2019-9-16</t>
    </r>
    <r>
      <rPr>
        <sz val="10"/>
        <rFont val="宋体"/>
        <family val="3"/>
        <charset val="134"/>
      </rPr>
      <t>：</t>
    </r>
    <r>
      <rPr>
        <sz val="10"/>
        <rFont val="Arial"/>
        <family val="2"/>
      </rPr>
      <t>IVI</t>
    </r>
    <r>
      <rPr>
        <sz val="10"/>
        <rFont val="宋体"/>
        <family val="3"/>
        <charset val="134"/>
      </rPr>
      <t>项目让项目自己维护数据事件；</t>
    </r>
    <r>
      <rPr>
        <sz val="10"/>
        <rFont val="Arial"/>
        <family val="2"/>
      </rPr>
      <t>BIC</t>
    </r>
    <r>
      <rPr>
        <sz val="10"/>
        <rFont val="宋体"/>
        <family val="3"/>
        <charset val="134"/>
      </rPr>
      <t>第一个项目由</t>
    </r>
    <r>
      <rPr>
        <sz val="10"/>
        <rFont val="Arial"/>
        <family val="2"/>
      </rPr>
      <t>UIT</t>
    </r>
    <r>
      <rPr>
        <sz val="10"/>
        <rFont val="宋体"/>
        <family val="3"/>
        <charset val="134"/>
      </rPr>
      <t>定义，保持迭代</t>
    </r>
  </si>
  <si>
    <t>评估Altia（从数据驱动、customer shader、粒子效果，以及工具的易用性等方面）</t>
  </si>
  <si>
    <r>
      <rPr>
        <strike/>
        <sz val="10"/>
        <rFont val="Arial"/>
        <family val="2"/>
      </rPr>
      <t>2019-8-19:</t>
    </r>
    <r>
      <rPr>
        <strike/>
        <sz val="10"/>
        <rFont val="宋体"/>
        <family val="3"/>
        <charset val="134"/>
      </rPr>
      <t>挂起</t>
    </r>
  </si>
  <si>
    <t>单元测试</t>
  </si>
  <si>
    <r>
      <rPr>
        <sz val="10"/>
        <rFont val="Arial"/>
        <family val="2"/>
      </rPr>
      <t>2019-8-19</t>
    </r>
    <r>
      <rPr>
        <sz val="10"/>
        <rFont val="宋体"/>
        <family val="3"/>
        <charset val="134"/>
      </rPr>
      <t xml:space="preserve">：供应商解决了编译问题，链接问题未解决等待反馈
</t>
    </r>
    <r>
      <rPr>
        <sz val="10"/>
        <rFont val="Arial"/>
        <family val="2"/>
      </rPr>
      <t>2019-9-2</t>
    </r>
    <r>
      <rPr>
        <sz val="10"/>
        <rFont val="宋体"/>
        <family val="3"/>
        <charset val="134"/>
      </rPr>
      <t xml:space="preserve">：供应商问题已经解决，现在做文本控件单元测试，预计本周完成
</t>
    </r>
    <r>
      <rPr>
        <sz val="10"/>
        <rFont val="Arial"/>
        <family val="2"/>
      </rPr>
      <t>2019-9-16</t>
    </r>
    <r>
      <rPr>
        <sz val="10"/>
        <rFont val="宋体"/>
        <family val="3"/>
        <charset val="134"/>
      </rPr>
      <t>：已经跟</t>
    </r>
    <r>
      <rPr>
        <sz val="10"/>
        <rFont val="Arial"/>
        <family val="2"/>
      </rPr>
      <t>kanzi</t>
    </r>
    <r>
      <rPr>
        <sz val="10"/>
        <rFont val="宋体"/>
        <family val="3"/>
        <charset val="134"/>
      </rPr>
      <t>做了反馈，</t>
    </r>
    <r>
      <rPr>
        <sz val="10"/>
        <rFont val="Arial"/>
        <family val="2"/>
      </rPr>
      <t>kanzi</t>
    </r>
    <r>
      <rPr>
        <sz val="10"/>
        <rFont val="宋体"/>
        <family val="3"/>
        <charset val="134"/>
      </rPr>
      <t>还没回复。自己也再做一些尝试看能否把</t>
    </r>
    <r>
      <rPr>
        <sz val="10"/>
        <rFont val="Arial"/>
        <family val="2"/>
      </rPr>
      <t>kanzi</t>
    </r>
    <r>
      <rPr>
        <sz val="10"/>
        <rFont val="宋体"/>
        <family val="3"/>
        <charset val="134"/>
      </rPr>
      <t xml:space="preserve">代码嵌入到单元测试中
</t>
    </r>
    <r>
      <rPr>
        <sz val="10"/>
        <rFont val="Arial"/>
        <family val="2"/>
      </rPr>
      <t>2019-10-8</t>
    </r>
    <r>
      <rPr>
        <sz val="10"/>
        <rFont val="宋体"/>
        <family val="3"/>
        <charset val="134"/>
      </rPr>
      <t>：由于</t>
    </r>
    <r>
      <rPr>
        <sz val="10"/>
        <rFont val="Arial"/>
        <family val="2"/>
      </rPr>
      <t>kanzi</t>
    </r>
    <r>
      <rPr>
        <sz val="10"/>
        <rFont val="宋体"/>
        <family val="3"/>
        <charset val="134"/>
      </rPr>
      <t>与</t>
    </r>
    <r>
      <rPr>
        <sz val="10"/>
        <rFont val="Arial"/>
        <family val="2"/>
      </rPr>
      <t>testcpp</t>
    </r>
    <r>
      <rPr>
        <sz val="10"/>
        <rFont val="宋体"/>
        <family val="3"/>
        <charset val="134"/>
      </rPr>
      <t>都是封闭框架，因此测试案例覆盖率低下的问题已经无法解决。此研究以此结论结束，后续再研究其他测试框架比如</t>
    </r>
    <r>
      <rPr>
        <sz val="10"/>
        <rFont val="Arial"/>
        <family val="2"/>
      </rPr>
      <t>gtest</t>
    </r>
  </si>
  <si>
    <r>
      <rPr>
        <sz val="11"/>
        <color theme="1"/>
        <rFont val="Arial"/>
        <family val="2"/>
      </rPr>
      <t>MyCar demo</t>
    </r>
    <r>
      <rPr>
        <sz val="11"/>
        <color theme="1"/>
        <rFont val="宋体"/>
        <family val="3"/>
        <charset val="134"/>
      </rPr>
      <t>云服务</t>
    </r>
  </si>
  <si>
    <r>
      <rPr>
        <sz val="10"/>
        <rFont val="Arial"/>
        <family val="2"/>
      </rPr>
      <t>2019-9-16</t>
    </r>
    <r>
      <rPr>
        <sz val="10"/>
        <rFont val="宋体"/>
        <family val="3"/>
        <charset val="134"/>
      </rPr>
      <t>：云服务程序，划分为账号子系统、</t>
    </r>
    <r>
      <rPr>
        <sz val="10"/>
        <rFont val="Arial"/>
        <family val="2"/>
      </rPr>
      <t>IM</t>
    </r>
    <r>
      <rPr>
        <sz val="10"/>
        <rFont val="宋体"/>
        <family val="3"/>
        <charset val="134"/>
      </rPr>
      <t xml:space="preserve">及时通信子系统、我的车子系统。
</t>
    </r>
    <r>
      <rPr>
        <sz val="10"/>
        <rFont val="Arial"/>
        <family val="2"/>
      </rPr>
      <t>2019-10-8</t>
    </r>
    <r>
      <rPr>
        <sz val="10"/>
        <rFont val="宋体"/>
        <family val="3"/>
        <charset val="134"/>
      </rPr>
      <t>：服务端初步完成了账号子系统、终端子系统、剩下</t>
    </r>
    <r>
      <rPr>
        <sz val="10"/>
        <rFont val="Arial"/>
        <family val="2"/>
      </rPr>
      <t>IM</t>
    </r>
    <r>
      <rPr>
        <sz val="10"/>
        <rFont val="宋体"/>
        <family val="3"/>
        <charset val="134"/>
      </rPr>
      <t xml:space="preserve">即时通讯子系统
</t>
    </r>
    <r>
      <rPr>
        <sz val="10"/>
        <rFont val="Arial"/>
        <family val="2"/>
      </rPr>
      <t>2019-10-21</t>
    </r>
    <r>
      <rPr>
        <sz val="10"/>
        <rFont val="宋体"/>
        <family val="3"/>
        <charset val="134"/>
      </rPr>
      <t xml:space="preserve">：基本完成
</t>
    </r>
    <r>
      <rPr>
        <sz val="10"/>
        <rFont val="Arial"/>
        <family val="2"/>
      </rPr>
      <t>2019-11-4</t>
    </r>
    <r>
      <rPr>
        <sz val="10"/>
        <rFont val="宋体"/>
        <family val="3"/>
        <charset val="134"/>
      </rPr>
      <t>：完成并展示，等待后续应用</t>
    </r>
  </si>
  <si>
    <r>
      <rPr>
        <sz val="11"/>
        <color theme="1"/>
        <rFont val="Arial"/>
        <family val="2"/>
      </rPr>
      <t>MyCar demo PC</t>
    </r>
    <r>
      <rPr>
        <sz val="11"/>
        <color theme="1"/>
        <rFont val="宋体"/>
        <family val="3"/>
        <charset val="134"/>
      </rPr>
      <t>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</si>
  <si>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：完成了账号子系统的调试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t>
    </r>
  </si>
  <si>
    <r>
      <rPr>
        <sz val="11"/>
        <color theme="1"/>
        <rFont val="Arial"/>
        <family val="2"/>
      </rPr>
      <t xml:space="preserve">MyCar demo </t>
    </r>
    <r>
      <rPr>
        <sz val="11"/>
        <color theme="1"/>
        <rFont val="宋体"/>
        <family val="3"/>
        <charset val="134"/>
      </rPr>
      <t>车机客户端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</si>
  <si>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：初步移植到车机，未有功能调试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
2019-11-4：完成并展示，等待后续应用</t>
    </r>
  </si>
  <si>
    <r>
      <rPr>
        <sz val="11"/>
        <color theme="1"/>
        <rFont val="Arial"/>
        <family val="2"/>
      </rPr>
      <t xml:space="preserve">MyCar demo </t>
    </r>
    <r>
      <rPr>
        <sz val="11"/>
        <color theme="1"/>
        <rFont val="宋体"/>
        <family val="3"/>
        <charset val="134"/>
      </rPr>
      <t>手机</t>
    </r>
    <r>
      <rPr>
        <sz val="11"/>
        <color theme="1"/>
        <rFont val="Arial"/>
        <family val="2"/>
      </rPr>
      <t>Android</t>
    </r>
    <r>
      <rPr>
        <sz val="11"/>
        <color theme="1"/>
        <rFont val="宋体"/>
        <family val="3"/>
        <charset val="134"/>
      </rPr>
      <t>客户端</t>
    </r>
  </si>
  <si>
    <t xml:space="preserve">Su Zhifei/Pan Rongtao </t>
  </si>
  <si>
    <r>
      <rPr>
        <sz val="10"/>
        <rFont val="Arial"/>
        <family val="2"/>
      </rPr>
      <t>2019-9-16</t>
    </r>
    <r>
      <rPr>
        <sz val="10"/>
        <rFont val="宋体"/>
        <family val="3"/>
        <charset val="134"/>
      </rPr>
      <t xml:space="preserve">：方案待定
</t>
    </r>
    <r>
      <rPr>
        <sz val="10"/>
        <rFont val="Arial"/>
        <family val="2"/>
      </rPr>
      <t>2019-10-8</t>
    </r>
    <r>
      <rPr>
        <sz val="10"/>
        <rFont val="宋体"/>
        <family val="3"/>
        <charset val="134"/>
      </rPr>
      <t>：使用</t>
    </r>
    <r>
      <rPr>
        <sz val="10"/>
        <rFont val="Arial"/>
        <family val="2"/>
      </rPr>
      <t>Qt</t>
    </r>
    <r>
      <rPr>
        <sz val="10"/>
        <rFont val="宋体"/>
        <family val="3"/>
        <charset val="134"/>
      </rPr>
      <t xml:space="preserve">方案移植，初步运行成功，未有实际功能的调试
</t>
    </r>
    <r>
      <rPr>
        <sz val="10"/>
        <rFont val="Arial"/>
        <family val="2"/>
      </rPr>
      <t>2019-10-21</t>
    </r>
    <r>
      <rPr>
        <sz val="10"/>
        <rFont val="宋体"/>
        <family val="3"/>
        <charset val="134"/>
      </rPr>
      <t>：已在</t>
    </r>
    <r>
      <rPr>
        <sz val="10"/>
        <rFont val="Arial"/>
        <family val="2"/>
      </rPr>
      <t>Android</t>
    </r>
    <r>
      <rPr>
        <sz val="10"/>
        <rFont val="宋体"/>
        <family val="3"/>
        <charset val="134"/>
      </rPr>
      <t xml:space="preserve">模拟器完成基本调试，本周完成实机的全部测试
2019-11-4：完成并展示，等待后续应用
</t>
    </r>
  </si>
  <si>
    <t>研究主流单元测试方案，替换CPPTest</t>
  </si>
  <si>
    <r>
      <rPr>
        <sz val="10"/>
        <rFont val="Arial"/>
        <family val="2"/>
      </rPr>
      <t>2019-10-8</t>
    </r>
    <r>
      <rPr>
        <sz val="10"/>
        <rFont val="宋体"/>
        <family val="3"/>
        <charset val="134"/>
      </rPr>
      <t xml:space="preserve">：本周给出计划
</t>
    </r>
    <r>
      <rPr>
        <sz val="10"/>
        <rFont val="Arial"/>
        <family val="2"/>
      </rPr>
      <t>2019-10-21</t>
    </r>
    <r>
      <rPr>
        <sz val="10"/>
        <rFont val="宋体"/>
        <family val="3"/>
        <charset val="134"/>
      </rPr>
      <t>：研究</t>
    </r>
    <r>
      <rPr>
        <sz val="10"/>
        <rFont val="Arial"/>
        <family val="2"/>
      </rPr>
      <t>gtest</t>
    </r>
    <r>
      <rPr>
        <sz val="10"/>
        <rFont val="宋体"/>
        <family val="3"/>
        <charset val="134"/>
      </rPr>
      <t>，基本问题不大，可以测试之前</t>
    </r>
    <r>
      <rPr>
        <sz val="10"/>
        <rFont val="Arial"/>
        <family val="2"/>
      </rPr>
      <t>CPPTest</t>
    </r>
    <r>
      <rPr>
        <sz val="10"/>
        <rFont val="宋体"/>
        <family val="3"/>
        <charset val="134"/>
      </rPr>
      <t>无法达成的测试</t>
    </r>
    <r>
      <rPr>
        <sz val="10"/>
        <rFont val="Arial"/>
        <family val="2"/>
      </rPr>
      <t>case</t>
    </r>
    <r>
      <rPr>
        <sz val="10"/>
        <rFont val="宋体"/>
        <family val="3"/>
        <charset val="134"/>
      </rPr>
      <t>。本周完成</t>
    </r>
    <r>
      <rPr>
        <sz val="10"/>
        <rFont val="Arial"/>
        <family val="2"/>
      </rPr>
      <t>TextBrowser</t>
    </r>
    <r>
      <rPr>
        <sz val="10"/>
        <rFont val="宋体"/>
        <family val="3"/>
        <charset val="134"/>
      </rPr>
      <t xml:space="preserve">控件的流程测试
</t>
    </r>
    <r>
      <rPr>
        <sz val="10"/>
        <rFont val="Arial"/>
        <family val="2"/>
      </rPr>
      <t>2019-11-4</t>
    </r>
    <r>
      <rPr>
        <sz val="10"/>
        <rFont val="宋体"/>
        <family val="3"/>
        <charset val="134"/>
      </rPr>
      <t>：</t>
    </r>
    <r>
      <rPr>
        <sz val="10"/>
        <rFont val="Arial"/>
        <family val="2"/>
      </rPr>
      <t>TextBrowser</t>
    </r>
    <r>
      <rPr>
        <sz val="10"/>
        <rFont val="宋体"/>
        <family val="3"/>
        <charset val="134"/>
      </rPr>
      <t>已经可达成</t>
    </r>
    <r>
      <rPr>
        <sz val="10"/>
        <rFont val="Arial"/>
        <family val="2"/>
      </rPr>
      <t>80%+</t>
    </r>
    <r>
      <rPr>
        <sz val="10"/>
        <rFont val="宋体"/>
        <family val="3"/>
        <charset val="134"/>
      </rPr>
      <t>的覆盖率，该控件的工作到此结束。后续跟进其他控件的使用和支持。</t>
    </r>
  </si>
  <si>
    <r>
      <rPr>
        <sz val="11"/>
        <color theme="1"/>
        <rFont val="Arial"/>
        <family val="2"/>
      </rPr>
      <t>kanzi2.8.13</t>
    </r>
    <r>
      <rPr>
        <sz val="11"/>
        <color theme="1"/>
        <rFont val="宋体"/>
        <family val="3"/>
        <charset val="134"/>
      </rPr>
      <t>升级</t>
    </r>
  </si>
  <si>
    <r>
      <rPr>
        <sz val="10"/>
        <rFont val="Arial"/>
        <family val="2"/>
      </rPr>
      <t>2019-11-18</t>
    </r>
    <r>
      <rPr>
        <sz val="10"/>
        <rFont val="宋体"/>
        <family val="3"/>
        <charset val="134"/>
      </rPr>
      <t xml:space="preserve">：正在进行
</t>
    </r>
    <r>
      <rPr>
        <sz val="10"/>
        <rFont val="Arial"/>
        <family val="2"/>
      </rPr>
      <t>2019-12-2</t>
    </r>
    <r>
      <rPr>
        <sz val="10"/>
        <rFont val="宋体"/>
        <family val="3"/>
        <charset val="134"/>
      </rPr>
      <t>：升级到</t>
    </r>
    <r>
      <rPr>
        <sz val="10"/>
        <rFont val="Arial"/>
        <family val="2"/>
      </rPr>
      <t>2.8.13</t>
    </r>
    <r>
      <rPr>
        <sz val="10"/>
        <rFont val="宋体"/>
        <family val="3"/>
        <charset val="134"/>
      </rPr>
      <t>，但是项目概率挂死。</t>
    </r>
  </si>
  <si>
    <t>窗口系统</t>
  </si>
  <si>
    <t>【3rdparty|窗口系统】</t>
  </si>
  <si>
    <r>
      <rPr>
        <sz val="11"/>
        <color theme="1"/>
        <rFont val="Arial"/>
        <family val="2"/>
      </rPr>
      <t>glfw</t>
    </r>
    <r>
      <rPr>
        <sz val="11"/>
        <color theme="1"/>
        <rFont val="宋体"/>
        <family val="3"/>
        <charset val="134"/>
      </rPr>
      <t>多平台编译与测试（Windows、LINUX-X11、linux-arm、qnx、MAC）</t>
    </r>
  </si>
  <si>
    <r>
      <t>2020-1-7</t>
    </r>
    <r>
      <rPr>
        <sz val="10"/>
        <rFont val="宋体"/>
        <family val="3"/>
        <charset val="134"/>
      </rPr>
      <t>：下周开始</t>
    </r>
    <r>
      <rPr>
        <sz val="10"/>
        <rFont val="Arial"/>
        <family val="2"/>
      </rPr>
      <t xml:space="preserve">
2020-2-10</t>
    </r>
    <r>
      <rPr>
        <sz val="10"/>
        <rFont val="宋体"/>
        <family val="3"/>
        <charset val="134"/>
      </rPr>
      <t>：windows、linux-x11已结测试调试通过，目前编译glfw for linux-arm，遇到g6s环境Wayland版本过低的问题，需要自己编译新版本的Wayland for amr
2020-2-24：支持windows/linux-x11/linux-arm/Mac/，</t>
    </r>
    <r>
      <rPr>
        <sz val="10"/>
        <rFont val="Arial"/>
        <family val="2"/>
      </rPr>
      <t>QNX</t>
    </r>
    <r>
      <rPr>
        <sz val="10"/>
        <rFont val="宋体"/>
        <family val="3"/>
        <charset val="134"/>
      </rPr>
      <t>不支持，</t>
    </r>
    <r>
      <rPr>
        <sz val="10"/>
        <color theme="3" tint="0.59999389629810485"/>
        <rFont val="宋体"/>
        <family val="3"/>
        <charset val="134"/>
      </rPr>
      <t>linux-arm尝试多次后编译不过，后续由PRT接手，本任务挂起</t>
    </r>
    <r>
      <rPr>
        <sz val="10"/>
        <rFont val="宋体"/>
        <family val="3"/>
        <charset val="134"/>
      </rPr>
      <t>。</t>
    </r>
  </si>
  <si>
    <t>【熟悉框架】</t>
  </si>
  <si>
    <t>研究现有newbrush结构，并提出探讨性问题</t>
  </si>
  <si>
    <t>【gui|UIElement】</t>
  </si>
  <si>
    <r>
      <rPr>
        <sz val="11"/>
        <color theme="1"/>
        <rFont val="Arial"/>
        <family val="2"/>
      </rPr>
      <t>UIElement</t>
    </r>
    <r>
      <rPr>
        <sz val="11"/>
        <color theme="1"/>
        <rFont val="宋体"/>
        <family val="3"/>
        <charset val="134"/>
      </rPr>
      <t>基类完善所有的属性和事件</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</si>
  <si>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：完成</t>
    </r>
  </si>
  <si>
    <r>
      <rPr>
        <sz val="10"/>
        <rFont val="宋体"/>
        <family val="3"/>
        <charset val="134"/>
      </rPr>
      <t>【</t>
    </r>
    <r>
      <rPr>
        <sz val="10"/>
        <rFont val="Arial"/>
        <family val="2"/>
      </rPr>
      <t>3rdparty|Poco</t>
    </r>
    <r>
      <rPr>
        <sz val="10"/>
        <rFont val="宋体"/>
        <family val="3"/>
        <charset val="134"/>
      </rPr>
      <t>库】</t>
    </r>
  </si>
  <si>
    <r>
      <rPr>
        <sz val="11"/>
        <color theme="1"/>
        <rFont val="宋体"/>
        <family val="3"/>
        <charset val="134"/>
      </rPr>
      <t>加入</t>
    </r>
    <r>
      <rPr>
        <sz val="11"/>
        <color theme="1"/>
        <rFont val="Arial"/>
        <family val="2"/>
      </rPr>
      <t>Poco</t>
    </r>
    <r>
      <rPr>
        <sz val="11"/>
        <color theme="1"/>
        <rFont val="宋体"/>
        <family val="3"/>
        <charset val="134"/>
      </rPr>
      <t>支持，替代一些基础类，如</t>
    </r>
    <r>
      <rPr>
        <sz val="11"/>
        <color theme="1"/>
        <rFont val="Arial"/>
        <family val="2"/>
      </rPr>
      <t>Poco::Var</t>
    </r>
    <r>
      <rPr>
        <sz val="11"/>
        <color theme="1"/>
        <rFont val="宋体"/>
        <family val="3"/>
        <charset val="134"/>
      </rPr>
      <t>替代any</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</si>
  <si>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：替换</t>
    </r>
    <r>
      <rPr>
        <sz val="10"/>
        <rFont val="Arial"/>
        <family val="2"/>
      </rPr>
      <t>nb::any</t>
    </r>
    <r>
      <rPr>
        <sz val="10"/>
        <rFont val="宋体"/>
        <family val="3"/>
        <charset val="134"/>
      </rPr>
      <t>，使用在DependencyObject等地方，完成</t>
    </r>
  </si>
  <si>
    <t>绑定系统</t>
  </si>
  <si>
    <t>【core|绑定系统】</t>
  </si>
  <si>
    <t>绑定系统（初版，能驱动依赖属性的变化）</t>
  </si>
  <si>
    <r>
      <rPr>
        <sz val="10"/>
        <rFont val="Arial"/>
        <family val="2"/>
      </rPr>
      <t>2020-2-10</t>
    </r>
    <r>
      <rPr>
        <sz val="10"/>
        <rFont val="宋体"/>
        <family val="3"/>
        <charset val="134"/>
      </rPr>
      <t>：DateContent绑定数据系统已经可以驱动</t>
    </r>
    <r>
      <rPr>
        <sz val="10"/>
        <rFont val="Arial"/>
        <family val="2"/>
      </rPr>
      <t>UI</t>
    </r>
    <r>
      <rPr>
        <sz val="10"/>
        <rFont val="宋体"/>
        <family val="3"/>
        <charset val="134"/>
      </rPr>
      <t>元素的属性。包括任何类型（bool、int、float、string以及自定义和智能指针类型）</t>
    </r>
  </si>
  <si>
    <t>动画系统</t>
  </si>
  <si>
    <t>【core|动画系统】</t>
  </si>
  <si>
    <t>动画系统-Timeline</t>
  </si>
  <si>
    <r>
      <rPr>
        <sz val="10"/>
        <rFont val="Arial"/>
        <family val="2"/>
      </rPr>
      <t>2020-2-10</t>
    </r>
    <r>
      <rPr>
        <sz val="10"/>
        <rFont val="宋体"/>
        <family val="3"/>
        <charset val="134"/>
      </rPr>
      <t>：完成</t>
    </r>
  </si>
  <si>
    <r>
      <rPr>
        <sz val="11"/>
        <color theme="1"/>
        <rFont val="宋体"/>
        <family val="3"/>
        <charset val="134"/>
      </rPr>
      <t>动画系统</t>
    </r>
    <r>
      <rPr>
        <sz val="11"/>
        <color theme="1"/>
        <rFont val="Arial"/>
        <family val="2"/>
      </rPr>
      <t>-</t>
    </r>
    <r>
      <rPr>
        <sz val="11"/>
        <color theme="1"/>
        <rFont val="宋体"/>
        <family val="3"/>
        <charset val="134"/>
      </rPr>
      <t>属性动画</t>
    </r>
  </si>
  <si>
    <r>
      <t>2020-2-10</t>
    </r>
    <r>
      <rPr>
        <sz val="10"/>
        <rFont val="宋体"/>
        <family val="3"/>
        <charset val="134"/>
      </rPr>
      <t>：包括大多数基础类型动画（bool、int、float等），本周开始</t>
    </r>
    <r>
      <rPr>
        <sz val="10"/>
        <rFont val="Arial"/>
        <family val="2"/>
      </rPr>
      <t xml:space="preserve">
2020-2-24</t>
    </r>
    <r>
      <rPr>
        <sz val="10"/>
        <rFont val="宋体"/>
        <family val="3"/>
        <charset val="134"/>
      </rPr>
      <t>：完成第一版</t>
    </r>
  </si>
  <si>
    <r>
      <rPr>
        <sz val="11"/>
        <color theme="1"/>
        <rFont val="宋体"/>
        <family val="3"/>
        <charset val="134"/>
      </rPr>
      <t>动画系统</t>
    </r>
    <r>
      <rPr>
        <sz val="11"/>
        <color theme="1"/>
        <rFont val="Arial"/>
        <family val="2"/>
      </rPr>
      <t>-</t>
    </r>
    <r>
      <rPr>
        <sz val="11"/>
        <color theme="1"/>
        <rFont val="宋体"/>
        <family val="3"/>
        <charset val="134"/>
      </rPr>
      <t>故事板</t>
    </r>
  </si>
  <si>
    <r>
      <t>2020-2-24</t>
    </r>
    <r>
      <rPr>
        <sz val="10"/>
        <rFont val="宋体"/>
        <family val="3"/>
        <charset val="134"/>
      </rPr>
      <t>：完成第一版</t>
    </r>
  </si>
  <si>
    <t>【studio|shader editor】</t>
  </si>
  <si>
    <t>Su Shifei</t>
  </si>
  <si>
    <t>【core|资源】</t>
  </si>
  <si>
    <t>资源系统，为后续的“样式”和“模板”的基础</t>
  </si>
  <si>
    <r>
      <t>2020-2-24</t>
    </r>
    <r>
      <rPr>
        <sz val="10"/>
        <rFont val="宋体"/>
        <family val="3"/>
        <charset val="134"/>
      </rPr>
      <t>：完成</t>
    </r>
  </si>
  <si>
    <t>【gui|样式系统】</t>
  </si>
  <si>
    <t>样式</t>
  </si>
  <si>
    <t>【gles|外部模型】</t>
  </si>
  <si>
    <t>寻找加载模型的方案，要求支持windows，android,QNX等</t>
  </si>
  <si>
    <t>在此行上方插入新行</t>
  </si>
  <si>
    <t>此行标记项目日程安排的结尾。请勿在此行中输入任何内容。
在此行上方插入新行，以继续构建项目日程安排。</t>
  </si>
  <si>
    <t>这是一个空行</t>
  </si>
  <si>
    <t>日期</t>
  </si>
  <si>
    <t>任务 5</t>
  </si>
  <si>
    <t>潘荣涛</t>
    <phoneticPr fontId="34" type="noConversion"/>
  </si>
  <si>
    <t>状态机StateMachine</t>
    <phoneticPr fontId="34" type="noConversion"/>
  </si>
  <si>
    <t>触发器行为TriggerAction</t>
    <phoneticPr fontId="34" type="noConversion"/>
  </si>
  <si>
    <t>事件触发器EventTrigger</t>
    <phoneticPr fontId="34" type="noConversion"/>
  </si>
  <si>
    <t>多条件数据触发器MultiDataTrigger</t>
    <phoneticPr fontId="34" type="noConversion"/>
  </si>
  <si>
    <t>数据触发器DataTrigger</t>
    <phoneticPr fontId="34" type="noConversion"/>
  </si>
  <si>
    <t>多条件属性触发器MultiTrigger</t>
    <phoneticPr fontId="34" type="noConversion"/>
  </si>
  <si>
    <t>属性触发器Trigger</t>
    <phoneticPr fontId="34" type="noConversion"/>
  </si>
  <si>
    <t>触发器基类TriggerBase</t>
    <phoneticPr fontId="34" type="noConversion"/>
  </si>
  <si>
    <t>事件设置器EventSetter</t>
    <phoneticPr fontId="34" type="noConversion"/>
  </si>
  <si>
    <t>普通设置器Setter</t>
    <phoneticPr fontId="34" type="noConversion"/>
  </si>
  <si>
    <t>设置器基类SetterBase</t>
    <phoneticPr fontId="34" type="noConversion"/>
  </si>
  <si>
    <t>样式Style</t>
    <phoneticPr fontId="34" type="noConversion"/>
  </si>
  <si>
    <t>可视树助手VisualTreeHelper</t>
    <phoneticPr fontId="34" type="noConversion"/>
  </si>
  <si>
    <t>装饰类值边框Border</t>
    <phoneticPr fontId="34" type="noConversion"/>
  </si>
  <si>
    <t>装饰类Decorator基类</t>
    <phoneticPr fontId="34" type="noConversion"/>
  </si>
  <si>
    <t>形状UI元素之椭圆Ellipse</t>
    <phoneticPr fontId="34" type="noConversion"/>
  </si>
  <si>
    <t>形状UI元素之矩形Rectangle</t>
    <phoneticPr fontId="34" type="noConversion"/>
  </si>
  <si>
    <t>形状UI元素之路径Path</t>
    <phoneticPr fontId="34" type="noConversion"/>
  </si>
  <si>
    <t>形状UI元素之多边形Polygen</t>
    <phoneticPr fontId="34" type="noConversion"/>
  </si>
  <si>
    <t>形状UI元素之多段线Polyline</t>
    <phoneticPr fontId="34" type="noConversion"/>
  </si>
  <si>
    <t>形状UI元素之线Line</t>
    <phoneticPr fontId="34" type="noConversion"/>
  </si>
  <si>
    <t>形状类基类Shape</t>
    <phoneticPr fontId="34" type="noConversion"/>
  </si>
  <si>
    <t>富文本框控件RickTextBox</t>
    <phoneticPr fontId="34" type="noConversion"/>
  </si>
  <si>
    <t>文本框控件TextBox</t>
    <phoneticPr fontId="34" type="noConversion"/>
  </si>
  <si>
    <t>文本控件基类TextBoxBase</t>
    <phoneticPr fontId="34" type="noConversion"/>
  </si>
  <si>
    <t>范围控件之拖动条SlideBar</t>
    <phoneticPr fontId="34" type="noConversion"/>
  </si>
  <si>
    <t>范围控件之进度条ProgressBar</t>
    <phoneticPr fontId="34" type="noConversion"/>
  </si>
  <si>
    <t>范围控件之滚动条ScrollBar</t>
    <phoneticPr fontId="34" type="noConversion"/>
  </si>
  <si>
    <t>范围控件基类RangeBase</t>
    <phoneticPr fontId="34" type="noConversion"/>
  </si>
  <si>
    <t>多项控件之菜单Menu</t>
    <phoneticPr fontId="34" type="noConversion"/>
  </si>
  <si>
    <t>多项控件之状态栏StatusBar</t>
    <phoneticPr fontId="34" type="noConversion"/>
  </si>
  <si>
    <t>多项控件之树形视图TreeView</t>
    <phoneticPr fontId="34" type="noConversion"/>
  </si>
  <si>
    <t>多项控件之列表框ListBox</t>
    <phoneticPr fontId="34" type="noConversion"/>
  </si>
  <si>
    <t>多项控件之下拉框ComboBox</t>
    <phoneticPr fontId="34" type="noConversion"/>
  </si>
  <si>
    <t>多项控件基类ItemsControl</t>
    <phoneticPr fontId="34" type="noConversion"/>
  </si>
  <si>
    <t>标题内容控件之Tab项TabItem</t>
    <phoneticPr fontId="34" type="noConversion"/>
  </si>
  <si>
    <t>标题内容控件之拓展器Expander</t>
    <phoneticPr fontId="34" type="noConversion"/>
  </si>
  <si>
    <t>标题内容控件之分组框GroupBox</t>
    <phoneticPr fontId="34" type="noConversion"/>
  </si>
  <si>
    <t>内容控件之带标题控件HeaderedContentControl</t>
    <phoneticPr fontId="34" type="noConversion"/>
  </si>
  <si>
    <t>内容控件之列表框项ListBoxItem</t>
    <phoneticPr fontId="34" type="noConversion"/>
  </si>
  <si>
    <t>内容控件之下拉框项ComboBoxItem</t>
    <phoneticPr fontId="34" type="noConversion"/>
  </si>
  <si>
    <t>内容控件之提示栏ToolTip</t>
    <phoneticPr fontId="34" type="noConversion"/>
  </si>
  <si>
    <t>内容控件之内容滚动控件ScrollViewer</t>
    <phoneticPr fontId="34" type="noConversion"/>
  </si>
  <si>
    <t>内容控件之复选框CheckBox</t>
    <phoneticPr fontId="34" type="noConversion"/>
  </si>
  <si>
    <t>内容控件之单选框RadioBox</t>
    <phoneticPr fontId="34" type="noConversion"/>
  </si>
  <si>
    <t>内容控件之开关按钮ToggleButton</t>
    <phoneticPr fontId="34" type="noConversion"/>
  </si>
  <si>
    <t>内容控件之重复按钮RepeatButton</t>
    <phoneticPr fontId="34" type="noConversion"/>
  </si>
  <si>
    <t>内容控件之普通按钮Button</t>
    <phoneticPr fontId="34" type="noConversion"/>
  </si>
  <si>
    <t>内容控件之按钮基类ButtonBase</t>
    <phoneticPr fontId="34" type="noConversion"/>
  </si>
  <si>
    <t>内容控件之标签控件Label</t>
    <phoneticPr fontId="34" type="noConversion"/>
  </si>
  <si>
    <t>内容控件基类ContentControl</t>
    <phoneticPr fontId="34" type="noConversion"/>
  </si>
  <si>
    <t>控件基类Control</t>
    <phoneticPr fontId="34" type="noConversion"/>
  </si>
  <si>
    <t>容器之均匀网格UniformGrid</t>
    <phoneticPr fontId="34" type="noConversion"/>
  </si>
  <si>
    <t>容器之网格Grid</t>
    <phoneticPr fontId="34" type="noConversion"/>
  </si>
  <si>
    <t>容器之栈容器StackPanel</t>
    <phoneticPr fontId="34" type="noConversion"/>
  </si>
  <si>
    <t>容器之自动换行/列容器WrapPanel</t>
    <phoneticPr fontId="34" type="noConversion"/>
  </si>
  <si>
    <t>容器之停靠容器DockPanel</t>
    <phoneticPr fontId="34" type="noConversion"/>
  </si>
  <si>
    <t>容器之画板Cavas</t>
    <phoneticPr fontId="34" type="noConversion"/>
  </si>
  <si>
    <t>容器类型基类Panel</t>
    <phoneticPr fontId="34" type="noConversion"/>
  </si>
  <si>
    <t>潘荣涛</t>
    <phoneticPr fontId="34" type="noConversion"/>
  </si>
  <si>
    <t>UI元素基类UIElement</t>
    <phoneticPr fontId="34" type="noConversion"/>
  </si>
  <si>
    <t>窗口Window</t>
    <phoneticPr fontId="34" type="noConversion"/>
  </si>
  <si>
    <t>应用程序Application</t>
    <phoneticPr fontId="34" type="noConversion"/>
  </si>
  <si>
    <t>GUI高级用户接口</t>
    <phoneticPr fontId="34" type="noConversion"/>
  </si>
  <si>
    <t>示例阶段标题块</t>
  </si>
  <si>
    <t>粒子系统之粒子系统管理ParticleSystem</t>
    <phoneticPr fontId="34" type="noConversion"/>
  </si>
  <si>
    <t>粒子系统之粒子效果器Affector</t>
    <phoneticPr fontId="34" type="noConversion"/>
  </si>
  <si>
    <t>粒子系统之粒子发射器Emitter</t>
    <phoneticPr fontId="34" type="noConversion"/>
  </si>
  <si>
    <t>粒子系统之粒子Particle</t>
    <phoneticPr fontId="34" type="noConversion"/>
  </si>
  <si>
    <t>VAO顶点数组缓存技术VAO</t>
    <phoneticPr fontId="34" type="noConversion"/>
  </si>
  <si>
    <t>VBO顶点缓存VBO</t>
    <phoneticPr fontId="34" type="noConversion"/>
  </si>
  <si>
    <t>字形工厂（字形缓存）GlyphFactory</t>
    <phoneticPr fontId="34" type="noConversion"/>
  </si>
  <si>
    <t>材质Material</t>
    <phoneticPr fontId="34" type="noConversion"/>
  </si>
  <si>
    <t>研究第三方库Clipper用作不规则形状的顶点获取</t>
    <phoneticPr fontId="34" type="noConversion"/>
  </si>
  <si>
    <t>多级纹理TextureMipmap</t>
    <phoneticPr fontId="34" type="noConversion"/>
  </si>
  <si>
    <t>立方体纹理TextureCubmap</t>
    <phoneticPr fontId="34" type="noConversion"/>
  </si>
  <si>
    <t>2D纹理Texture2D</t>
    <phoneticPr fontId="34" type="noConversion"/>
  </si>
  <si>
    <t>纹理基类Texture</t>
    <phoneticPr fontId="34" type="noConversion"/>
  </si>
  <si>
    <t>苏志飞</t>
    <phoneticPr fontId="34" type="noConversion"/>
  </si>
  <si>
    <t>渲染物：从外部模型加载（依赖于assimp）</t>
    <phoneticPr fontId="34" type="noConversion"/>
  </si>
  <si>
    <t>渲染物RenderObject</t>
    <phoneticPr fontId="34" type="noConversion"/>
  </si>
  <si>
    <t>投射Projection</t>
    <phoneticPr fontId="34" type="noConversion"/>
  </si>
  <si>
    <t>摄像头Camera</t>
    <phoneticPr fontId="34" type="noConversion"/>
  </si>
  <si>
    <t>未有实际应用</t>
    <phoneticPr fontId="34" type="noConversion"/>
  </si>
  <si>
    <t>GLSL程序实体之立方体程序</t>
    <phoneticPr fontId="34" type="noConversion"/>
  </si>
  <si>
    <t>多光源未做考虑</t>
    <phoneticPr fontId="34" type="noConversion"/>
  </si>
  <si>
    <t>GLSL程序实体之光照程序</t>
    <phoneticPr fontId="34" type="noConversion"/>
  </si>
  <si>
    <t>GLSL程序实体之图片程序</t>
    <phoneticPr fontId="34" type="noConversion"/>
  </si>
  <si>
    <t>GLSL程序实体之渐变程序</t>
    <phoneticPr fontId="34" type="noConversion"/>
  </si>
  <si>
    <t>GLSL程序实体之图元程序</t>
    <phoneticPr fontId="34" type="noConversion"/>
  </si>
  <si>
    <t>GLSL程序Program</t>
    <phoneticPr fontId="34" type="noConversion"/>
  </si>
  <si>
    <t>片段着色器FragmentShader</t>
    <phoneticPr fontId="34" type="noConversion"/>
  </si>
  <si>
    <t>顶点着色器VertexShader</t>
    <phoneticPr fontId="34" type="noConversion"/>
  </si>
  <si>
    <t>着色器基类Shader</t>
    <phoneticPr fontId="34" type="noConversion"/>
  </si>
  <si>
    <t>Opengl 渲染实现</t>
    <phoneticPr fontId="34" type="noConversion"/>
  </si>
  <si>
    <t>矩阵组TransformGroup</t>
    <phoneticPr fontId="34" type="noConversion"/>
  </si>
  <si>
    <t>旋转矩阵RotateTransform</t>
    <phoneticPr fontId="34" type="noConversion"/>
  </si>
  <si>
    <t>伸缩矩阵ScaleTransform</t>
    <phoneticPr fontId="34" type="noConversion"/>
  </si>
  <si>
    <t>平移矩阵TranslateTransform</t>
    <phoneticPr fontId="34" type="noConversion"/>
  </si>
  <si>
    <t>矩阵Transform</t>
    <phoneticPr fontId="34" type="noConversion"/>
  </si>
  <si>
    <t>字体相关信息目前应用较少，
仅研究了可生产Bitmap的基础api</t>
    <phoneticPr fontId="34" type="noConversion"/>
  </si>
  <si>
    <t>字形信息GlyphMetrics</t>
    <phoneticPr fontId="34" type="noConversion"/>
  </si>
  <si>
    <t>潘荣涛</t>
    <phoneticPr fontId="34" type="noConversion"/>
  </si>
  <si>
    <t>字体（依赖于FreeType）</t>
    <phoneticPr fontId="34" type="noConversion"/>
  </si>
  <si>
    <t>故事板动画Storyboard</t>
  </si>
  <si>
    <t>点路径动画-PointAnimationUsingPath</t>
    <phoneticPr fontId="34" type="noConversion"/>
  </si>
  <si>
    <t>矩阵路径动画-MatrixAnimationUsingPath</t>
    <phoneticPr fontId="34" type="noConversion"/>
  </si>
  <si>
    <t>浮点路径动画-DoubleAnimationUsingPath</t>
    <phoneticPr fontId="34" type="noConversion"/>
  </si>
  <si>
    <t>浮点路径动画-FloatAnimationUsingPath</t>
    <phoneticPr fontId="34" type="noConversion"/>
  </si>
  <si>
    <t>字符串关键帧动画-StringAnimationUsingKeyFrames</t>
    <phoneticPr fontId="34" type="noConversion"/>
  </si>
  <si>
    <t>颜色关键帧动画-ColorAnimationUsingKeyFrames</t>
    <phoneticPr fontId="34" type="noConversion"/>
  </si>
  <si>
    <t>厚度关键帧动画-ThicknessAnimationUsingKeyFrames</t>
    <phoneticPr fontId="34" type="noConversion"/>
  </si>
  <si>
    <t>矩形关键帧动画-RectAnimationUsingKeyFrames</t>
    <phoneticPr fontId="34" type="noConversion"/>
  </si>
  <si>
    <t>尺寸关键帧动画-SizeAnimationUsingKeyFrames</t>
    <phoneticPr fontId="34" type="noConversion"/>
  </si>
  <si>
    <t>点关键帧动画-PointAnimationUsingKeyFrames</t>
    <phoneticPr fontId="34" type="noConversion"/>
  </si>
  <si>
    <t>浮点关键帧动画-DoubleAnimationUsingKeyFrames</t>
    <phoneticPr fontId="34" type="noConversion"/>
  </si>
  <si>
    <t>浮点关键帧动画-FloatAnimationUsingKeyFrames</t>
    <phoneticPr fontId="34" type="noConversion"/>
  </si>
  <si>
    <t>整型关键帧动画-Int64AnimationUsingKeyFrames</t>
    <phoneticPr fontId="34" type="noConversion"/>
  </si>
  <si>
    <t>整型关键帧动画-Int32AnimationUsingKeyFrames</t>
    <phoneticPr fontId="34" type="noConversion"/>
  </si>
  <si>
    <t>整型关键帧动画-Int16AnimationUsingKeyFrames</t>
    <phoneticPr fontId="34" type="noConversion"/>
  </si>
  <si>
    <t>整型关键帧动画-Int8AnimationUsingKeyFrames</t>
    <phoneticPr fontId="34" type="noConversion"/>
  </si>
  <si>
    <t>布尔关键帧动画-BoolAnimationUsingKeyFrames</t>
    <phoneticPr fontId="34" type="noConversion"/>
  </si>
  <si>
    <t>关键帧动画KeyFrame</t>
    <phoneticPr fontId="34" type="noConversion"/>
  </si>
  <si>
    <t>颜色属性动画-ColorAnimation</t>
    <phoneticPr fontId="34" type="noConversion"/>
  </si>
  <si>
    <t>厚度属性动画-ThicknessAnimation</t>
    <phoneticPr fontId="34" type="noConversion"/>
  </si>
  <si>
    <t>矩形属性动画-RectAnimation</t>
    <phoneticPr fontId="34" type="noConversion"/>
  </si>
  <si>
    <t>尺寸属性动画-SizeAnimation</t>
    <phoneticPr fontId="34" type="noConversion"/>
  </si>
  <si>
    <t>点属性动画-PointAnimation</t>
    <phoneticPr fontId="34" type="noConversion"/>
  </si>
  <si>
    <t>浮点属性动画-FloatAnimation</t>
    <phoneticPr fontId="34" type="noConversion"/>
  </si>
  <si>
    <t>整型属性动画-Int64Animation</t>
    <phoneticPr fontId="34" type="noConversion"/>
  </si>
  <si>
    <t>整型属性动画-Int32Animation</t>
    <phoneticPr fontId="34" type="noConversion"/>
  </si>
  <si>
    <t>整型属性动画-Int16Animation</t>
    <phoneticPr fontId="34" type="noConversion"/>
  </si>
  <si>
    <t>整型属性动画-Int8Animation</t>
    <phoneticPr fontId="34" type="noConversion"/>
  </si>
  <si>
    <t>属性动画基类AnimationTimeline</t>
    <phoneticPr fontId="34" type="noConversion"/>
  </si>
  <si>
    <t>后期可能需要把变量改成依赖属性，
根据后续Studio或应用的感受后决定</t>
    <phoneticPr fontId="34" type="noConversion"/>
  </si>
  <si>
    <t>时间线Timeline</t>
    <phoneticPr fontId="34" type="noConversion"/>
  </si>
  <si>
    <t>遗留部分参数未调试，但不是必要的。
比如弹簧函数的弹跳次数</t>
    <phoneticPr fontId="34" type="noConversion"/>
  </si>
  <si>
    <t>缓动函数Easing，可让动画呈现各种缓动效果</t>
    <phoneticPr fontId="34" type="noConversion"/>
  </si>
  <si>
    <t>图片画刷ImageBrush</t>
    <phoneticPr fontId="34" type="noConversion"/>
  </si>
  <si>
    <t>后续优化不适用依赖属性，且可能不保留BM为变量</t>
    <phoneticPr fontId="34" type="noConversion"/>
  </si>
  <si>
    <t>图片源ImageSource</t>
    <phoneticPr fontId="34" type="noConversion"/>
  </si>
  <si>
    <t>辐射渐变画刷RadialGradientBrush</t>
    <phoneticPr fontId="34" type="noConversion"/>
  </si>
  <si>
    <t>需要shader的参数配合，
但目前找了资料不太好实现</t>
    <phoneticPr fontId="34" type="noConversion"/>
  </si>
  <si>
    <t>线性渐变画刷LinearGradientBrush</t>
    <phoneticPr fontId="34" type="noConversion"/>
  </si>
  <si>
    <t>颜色画刷SolidColorBrush</t>
    <phoneticPr fontId="34" type="noConversion"/>
  </si>
  <si>
    <t>opacity属性和Transform属性都未调试
但目前不影响主线</t>
    <phoneticPr fontId="34" type="noConversion"/>
  </si>
  <si>
    <t>画刷基类Brush</t>
    <phoneticPr fontId="34" type="noConversion"/>
  </si>
  <si>
    <t>厚度Thickness</t>
    <phoneticPr fontId="34" type="noConversion"/>
  </si>
  <si>
    <t>基于stb_image目前发现某些格式兼容性不好，考虑是否替换成SOLID方案</t>
    <phoneticPr fontId="34" type="noConversion"/>
  </si>
  <si>
    <t>位图Bitmap（基于stb_image）</t>
    <phoneticPr fontId="34" type="noConversion"/>
  </si>
  <si>
    <t>完成度很高，不影响主线</t>
    <phoneticPr fontId="34" type="noConversion"/>
  </si>
  <si>
    <t>颜色Color</t>
    <phoneticPr fontId="34" type="noConversion"/>
  </si>
  <si>
    <t>媒体相关</t>
    <phoneticPr fontId="34" type="noConversion"/>
  </si>
  <si>
    <t>右侧的单元格包含第 2 阶段示例标题。
可随时在 B 列中创建新阶段。此项目日程安排不需要阶段。要删除阶段，只需删除该行即可。
要在此行中创建新的阶段块，请在右侧的单元格中输入新的标题。
要继续向上述阶段添加任务，请在此行上方输入一个新行，并按照单元格 A9 的指令填写任务数据。
根据单元格 A8 的指令更新右侧单元格中的阶段详细信息。
继续向下浏览 A 列单元格，了解更多信息。
如果尚未在此工作表中添加任何新行，将在单元格 B20 和 B26 中找到已创建的 2 个其他示例阶段块。否则，请浏览 A 列单元格以查找其他块。
在需要时重复单元格 A8 和 A9 的说明进行操作。</t>
  </si>
  <si>
    <t>还有很多函数未实现，如取消某元素的绑定，多绑定等</t>
    <phoneticPr fontId="34" type="noConversion"/>
  </si>
  <si>
    <t>绑定管理BindingMaster</t>
    <phoneticPr fontId="34" type="noConversion"/>
  </si>
  <si>
    <t>还不确定多数据绑定是否要做</t>
    <phoneticPr fontId="34" type="noConversion"/>
  </si>
  <si>
    <t xml:space="preserve">多绑定MultiBinding </t>
    <phoneticPr fontId="34" type="noConversion"/>
  </si>
  <si>
    <t>未考虑属性绑定属性的情况，
双向绑定情况等</t>
    <phoneticPr fontId="34" type="noConversion"/>
  </si>
  <si>
    <t>绑定Bingding</t>
    <phoneticPr fontId="34" type="noConversion"/>
  </si>
  <si>
    <t>可能遗留部分bug</t>
    <phoneticPr fontId="34" type="noConversion"/>
  </si>
  <si>
    <t>数据上下文DataContent</t>
    <phoneticPr fontId="34" type="noConversion"/>
  </si>
  <si>
    <t>不影响主线较高完成度</t>
    <phoneticPr fontId="34" type="noConversion"/>
  </si>
  <si>
    <t>资源字典ResourceDictionary</t>
    <phoneticPr fontId="34" type="noConversion"/>
  </si>
  <si>
    <t>目前仅支持输出到标准输出设备，后续做Studio后，需要考虑重定向输出到工具窗口</t>
    <phoneticPr fontId="34" type="noConversion"/>
  </si>
  <si>
    <t>潘荣涛</t>
    <phoneticPr fontId="42" type="noConversion"/>
  </si>
  <si>
    <t>日志Log</t>
    <phoneticPr fontId="34" type="noConversion"/>
  </si>
  <si>
    <t>字符串整数RandomS</t>
    <phoneticPr fontId="34" type="noConversion"/>
  </si>
  <si>
    <t>浮点数随机器RandomF</t>
    <phoneticPr fontId="34" type="noConversion"/>
  </si>
  <si>
    <t>整数随机器Random</t>
    <phoneticPr fontId="34" type="noConversion"/>
  </si>
  <si>
    <t>未考虑属性值的多种情况，比如动画设置的值，模板设置的值，样式设置的值等优先级区分。后续跟进</t>
    <phoneticPr fontId="34" type="noConversion"/>
  </si>
  <si>
    <t>依赖属性值容器EffectiveValueEntry</t>
    <phoneticPr fontId="34" type="noConversion"/>
  </si>
  <si>
    <t>依赖属性DependencyProperty</t>
    <phoneticPr fontId="34" type="noConversion"/>
  </si>
  <si>
    <t>不影响主线</t>
    <phoneticPr fontId="34" type="noConversion"/>
  </si>
  <si>
    <t>依赖属性DependencyObject</t>
    <phoneticPr fontId="34" type="noConversion"/>
  </si>
  <si>
    <t>按需添加，不影响主线</t>
    <phoneticPr fontId="34" type="noConversion"/>
  </si>
  <si>
    <t>事件参数EventArgs，包含常用的类型如键盘鼠标触摸事件等</t>
    <phoneticPr fontId="34" type="noConversion"/>
  </si>
  <si>
    <t>路由事件贯穿真个框架的使用，
目前仅限于单元测试，未有很多的实际使用</t>
    <phoneticPr fontId="34" type="noConversion"/>
  </si>
  <si>
    <t>路由事件RoutedEvent</t>
    <phoneticPr fontId="34" type="noConversion"/>
  </si>
  <si>
    <t>不影响主线的部分瑕疵，
后续可能优化为不使用模板</t>
    <phoneticPr fontId="34" type="noConversion"/>
  </si>
  <si>
    <t>普通事件Event</t>
    <phoneticPr fontId="34" type="noConversion"/>
  </si>
  <si>
    <t>矩形Rect</t>
    <phoneticPr fontId="34" type="noConversion"/>
  </si>
  <si>
    <t>尺寸Size</t>
    <phoneticPr fontId="34" type="noConversion"/>
  </si>
  <si>
    <t>点Point</t>
    <phoneticPr fontId="34" type="noConversion"/>
  </si>
  <si>
    <t>时间片段TimeSpan</t>
    <phoneticPr fontId="34" type="noConversion"/>
  </si>
  <si>
    <t>剩下时区相关支持，
不影响主线</t>
    <phoneticPr fontId="34" type="noConversion"/>
  </si>
  <si>
    <t>时间日期DateTime</t>
    <phoneticPr fontId="34" type="noConversion"/>
  </si>
  <si>
    <t>定时器Timer</t>
    <phoneticPr fontId="34" type="noConversion"/>
  </si>
  <si>
    <t>单例数据结构Singleton</t>
    <phoneticPr fontId="34" type="noConversion"/>
  </si>
  <si>
    <t>第 10 行到第 13 行重复第 9 行的模式。
请对此工作表中的所有任务行重复单元格 A9 中的指令。覆盖任何示例数据。
另一个阶段的示例从单元格 A14 开始。
继续在单元格 A10 到 A13 中输入任务或转到单元格 A14 了解详细信息。</t>
  </si>
  <si>
    <t>超级基类Object</t>
    <phoneticPr fontId="34" type="noConversion"/>
  </si>
  <si>
    <t>根据后续需要逐步添加某些全局方法</t>
    <phoneticPr fontId="34" type="noConversion"/>
  </si>
  <si>
    <t>全局宏、函数与方法Def</t>
    <phoneticPr fontId="34" type="noConversion"/>
  </si>
  <si>
    <t xml:space="preserve">单元格 B9 包含示例任务“任务 1”。
在单元格 B9 中输入新的任务名称。
在单元格 C9 中输入任务负责人。
在单元格 D9 中输入任务进度。进度条出现在单元格中，并根据单元格中的数字进行着色。例如，50% 的进度将着色一半的单元格。
在单元格 E9 中输入任务开始日期。
在单元格 F9 中输入任务结束日期。
从单元格 I9 到 BL9 的块中显示输入日期的已着色状态栏。 </t>
  </si>
  <si>
    <t>CORE（相对独立的基础数据结构）</t>
    <phoneticPr fontId="42" type="noConversion"/>
  </si>
  <si>
    <t>单元格 B8 包含第 1 阶段示例标题。
在单元格 B8 中输入新标题。
如果适用于你的项目，请在单元格 C8 中输入名称以指定阶段。
如果适用于你的项目，请在单元格 D8 中输入整个阶段的进度。
如果适用于你的项目，请在单元格 E8 和 F8 中输入整个阶段的开始和结束日期。
甘特图将根据输入的进度自动填充适当的日期和着色。
要仅从任务中删除阶段和工作，只需删除此行即可。</t>
  </si>
  <si>
    <t xml:space="preserve">请勿删除此行。隐藏了此行，以保留用于突出显示项目日程安排中当天的公式。 </t>
  </si>
  <si>
    <t>备注</t>
    <phoneticPr fontId="34" type="noConversion"/>
  </si>
  <si>
    <t>天数</t>
  </si>
  <si>
    <t>结束日期</t>
  </si>
  <si>
    <t>开始日期</t>
  </si>
  <si>
    <t>进度</t>
  </si>
  <si>
    <t>分配
到</t>
  </si>
  <si>
    <t>任务</t>
  </si>
  <si>
    <t>此行包含其后面的项目日程安排的标题。
从 B6 浏览到 BL6 以获取内容。该标题上方日期一周中每一天的首字母，从单元格 I6 开始，直到单元格 BL6。
所有项目日程表图表都是根据输入的开始和结束日期使用条件格式自动生成的。
从单元格 I7 开始的列 I 之后，请勿修改列内单元格中的内容。</t>
  </si>
  <si>
    <t>单元格 I5 到 BL5 包含每个日期单元格上方单元格块中表示的星期的日期数字并且是自动计算得出的。
请勿修改这些单元格。
今天的日期带有红色（十六进制 #AD3815）轮廓（从第 5 行中显示今天日期的列及至项目日程安排结尾的该列）。</t>
  </si>
  <si>
    <t>显示周数：</t>
  </si>
  <si>
    <t>单元格 E4 中的显示周数表示单元格 I4 中项目日程安排内显示的起始周数。项目开始日期视为第 1 周。要更改显示周数，只需单元格 E4 中输入新的周数。
从单元格 E4 的显示周数开始，每周的开始日期从单元格 I4 开始并且说自动计算得出的。在该视图中，从单元格 I4 到单元格 BF4 共有 8 周的时间。
请勿修改这些单元格。
显示周数：标签位于单元格 C4 中。</t>
  </si>
  <si>
    <t>项目开始：</t>
  </si>
  <si>
    <t>UIT</t>
    <phoneticPr fontId="34" type="noConversion"/>
  </si>
  <si>
    <t>在单元格 B3 中输入项目主管的姓名。在单元格 E3 中输入项目开始日期。项目开始：标签位于单元格 C3 中。</t>
  </si>
  <si>
    <t>https://www.vertex42.com/ExcelTemplates/simple-gantt-chart.html</t>
  </si>
  <si>
    <t>德赛西威</t>
    <phoneticPr fontId="34" type="noConversion"/>
  </si>
  <si>
    <t>在单元格 B2 中输入公司名称。</t>
  </si>
  <si>
    <t>Vertex42.com 提供的简单甘特图</t>
  </si>
  <si>
    <t>Newbrush SDK 项目任务管理</t>
    <phoneticPr fontId="34" type="noConversion"/>
  </si>
  <si>
    <t>在此工作表中创建项目日程安排。
在单元格 B1 中输入此项目的标题。
有关如何使用此工作表（包括屏幕阅读器的说明）以及此工作簿作者的信息包含在“关于”工作表中。
继续向下浏览 A 列，获取进一步指示。</t>
  </si>
  <si>
    <t>还未处理多光源</t>
    <phoneticPr fontId="34" type="noConversion"/>
  </si>
  <si>
    <t>未处理调试多光源</t>
    <phoneticPr fontId="34" type="noConversion"/>
  </si>
  <si>
    <t>后续调整是否保留BM变量</t>
    <phoneticPr fontId="34" type="noConversion"/>
  </si>
  <si>
    <t>多级纹理不一定需要，看后续需求</t>
    <phoneticPr fontId="34" type="noConversion"/>
  </si>
  <si>
    <t>仅写了代码，体系未建立</t>
    <phoneticPr fontId="34" type="noConversion"/>
  </si>
  <si>
    <t>属于优化内容，后期做</t>
    <phoneticPr fontId="34" type="noConversion"/>
  </si>
  <si>
    <t>不同的字库不同的缓存问题。仍有大量问题需要考虑</t>
    <phoneticPr fontId="34" type="noConversion"/>
  </si>
  <si>
    <t>未处理多窗口的焦点管理等问题</t>
    <phoneticPr fontId="34" type="noConversion"/>
  </si>
  <si>
    <t>遗留焦点问题，滚轮事件，键盘事件等</t>
    <phoneticPr fontId="34" type="noConversion"/>
  </si>
  <si>
    <t>路由事件未调试节点树</t>
    <phoneticPr fontId="34" type="noConversion"/>
  </si>
  <si>
    <t>后续调整附件属性的方式</t>
    <phoneticPr fontId="34" type="noConversion"/>
  </si>
  <si>
    <t>一些参数边界为做判定</t>
    <phoneticPr fontId="34" type="noConversion"/>
  </si>
  <si>
    <t>大多属性并非做处理</t>
    <phoneticPr fontId="34" type="noConversion"/>
  </si>
  <si>
    <t>图片UI元素Image</t>
    <phoneticPr fontId="34" type="noConversion"/>
  </si>
  <si>
    <t>密码框控件PasswordBox</t>
    <phoneticPr fontId="34" type="noConversion"/>
  </si>
  <si>
    <t>文本块UI元素TextBlock</t>
    <phoneticPr fontId="34" type="noConversion"/>
  </si>
  <si>
    <t>很多属性未考虑，仅显示一行文本</t>
    <phoneticPr fontId="34" type="noConversion"/>
  </si>
  <si>
    <t>在Canvas和非Canvas上坐标点不一样</t>
    <phoneticPr fontId="34" type="noConversion"/>
  </si>
  <si>
    <t>控件模板ControlTemplate</t>
    <phoneticPr fontId="34" type="noConversion"/>
  </si>
  <si>
    <t>&lt;newbrush sdk&gt; Action Item List</t>
    <phoneticPr fontId="34" type="noConversion"/>
  </si>
  <si>
    <t>&lt;newbrush studio&gt; Action Item List</t>
    <phoneticPr fontId="34" type="noConversion"/>
  </si>
  <si>
    <t>Pan Rongtao</t>
    <phoneticPr fontId="34" type="noConversion"/>
  </si>
  <si>
    <t>本表仅记录任务的进度，方便全局的观察整个进度。任务细节请查看【详细任务跟进】</t>
    <phoneticPr fontId="34" type="noConversion"/>
  </si>
  <si>
    <t>里程碑</t>
  </si>
  <si>
    <r>
      <t>2020-2-24</t>
    </r>
    <r>
      <rPr>
        <sz val="10"/>
        <rFont val="宋体"/>
        <family val="3"/>
        <charset val="134"/>
      </rPr>
      <t>：已经找到模型轮子纹理显示异常的原因：模型使用了8位的灰度图片，而转到Opengl纹理时使用32格式引起的。另外，轮子坐标偏移的问题还在查找原因，后续将优先解决轮子坐标偏移的问题
2020-3-9：第一个版本，基本没有大的问题。遗留的一些问题待实际项目需要再升入研究：多光源的处理、锯齿等细节、性能评估，骨骼动画会产生坐标偏移问题</t>
    </r>
    <phoneticPr fontId="34" type="noConversion"/>
  </si>
  <si>
    <r>
      <t>2020-3-9</t>
    </r>
    <r>
      <rPr>
        <sz val="10"/>
        <rFont val="宋体"/>
        <family val="3"/>
        <charset val="134"/>
      </rPr>
      <t>：第一个版本完成，后续更多控件使用样式后进行进一步调试</t>
    </r>
    <phoneticPr fontId="34" type="noConversion"/>
  </si>
  <si>
    <r>
      <t>2020-1-7</t>
    </r>
    <r>
      <rPr>
        <sz val="10"/>
        <rFont val="宋体"/>
        <family val="3"/>
        <charset val="134"/>
      </rPr>
      <t>：持续</t>
    </r>
    <r>
      <rPr>
        <sz val="10"/>
        <rFont val="Arial"/>
        <family val="2"/>
      </rPr>
      <t>1</t>
    </r>
    <r>
      <rPr>
        <sz val="10"/>
        <rFont val="宋体"/>
        <family val="3"/>
        <charset val="134"/>
      </rPr>
      <t>个多月，每周都需要有反馈探讨</t>
    </r>
    <r>
      <rPr>
        <sz val="10"/>
        <rFont val="Arial"/>
        <family val="2"/>
      </rPr>
      <t xml:space="preserve">
2020-2-10</t>
    </r>
    <r>
      <rPr>
        <sz val="10"/>
        <rFont val="宋体"/>
        <family val="3"/>
        <charset val="134"/>
      </rPr>
      <t>：每日讨论相关话题，</t>
    </r>
    <r>
      <rPr>
        <sz val="10"/>
        <rFont val="Arial"/>
        <family val="2"/>
      </rPr>
      <t>PRT</t>
    </r>
    <r>
      <rPr>
        <sz val="10"/>
        <rFont val="宋体"/>
        <family val="3"/>
        <charset val="134"/>
      </rPr>
      <t>跟进</t>
    </r>
    <r>
      <rPr>
        <sz val="10"/>
        <rFont val="Arial"/>
        <family val="2"/>
      </rPr>
      <t>SZF</t>
    </r>
    <r>
      <rPr>
        <sz val="10"/>
        <rFont val="宋体"/>
        <family val="3"/>
        <charset val="134"/>
      </rPr>
      <t>引出的话题进行相关交流</t>
    </r>
    <r>
      <rPr>
        <sz val="10"/>
        <rFont val="Arial"/>
        <family val="2"/>
      </rPr>
      <t xml:space="preserve">
2020-2-24</t>
    </r>
    <r>
      <rPr>
        <sz val="10"/>
        <rFont val="宋体"/>
        <family val="3"/>
        <charset val="134"/>
      </rPr>
      <t xml:space="preserve">：每日进行交流中
</t>
    </r>
    <r>
      <rPr>
        <sz val="10"/>
        <rFont val="Arial"/>
        <family val="2"/>
      </rPr>
      <t>2020-3-9</t>
    </r>
    <r>
      <rPr>
        <sz val="10"/>
        <rFont val="宋体"/>
        <family val="3"/>
        <charset val="134"/>
      </rPr>
      <t>：熟悉并了解了core/gles工程，后续直接参与编码将进一步深入了解</t>
    </r>
    <phoneticPr fontId="34" type="noConversion"/>
  </si>
  <si>
    <r>
      <rPr>
        <sz val="11"/>
        <color theme="1"/>
        <rFont val="宋体"/>
        <family val="3"/>
        <charset val="134"/>
      </rPr>
      <t>针对</t>
    </r>
    <r>
      <rPr>
        <sz val="11"/>
        <color theme="1"/>
        <rFont val="Arial"/>
        <family val="2"/>
      </rPr>
      <t>G6SH</t>
    </r>
    <r>
      <rPr>
        <sz val="11"/>
        <color theme="1"/>
        <rFont val="宋体"/>
        <family val="3"/>
        <charset val="134"/>
      </rPr>
      <t>图层管理模块的单元测试</t>
    </r>
    <phoneticPr fontId="34" type="noConversion"/>
  </si>
  <si>
    <t>Su Zhifei</t>
    <phoneticPr fontId="34" type="noConversion"/>
  </si>
  <si>
    <t>【模型】</t>
    <phoneticPr fontId="34" type="noConversion"/>
  </si>
  <si>
    <t>将模型嵌入到当前框架中</t>
    <phoneticPr fontId="34" type="noConversion"/>
  </si>
  <si>
    <t>Su Zhifei</t>
    <phoneticPr fontId="34" type="noConversion"/>
  </si>
  <si>
    <t>Su Zhifei</t>
    <phoneticPr fontId="34" type="noConversion"/>
  </si>
  <si>
    <t>【矩阵变换】</t>
    <phoneticPr fontId="34" type="noConversion"/>
  </si>
  <si>
    <r>
      <t>Bitmap</t>
    </r>
    <r>
      <rPr>
        <sz val="11"/>
        <color theme="1"/>
        <rFont val="宋体"/>
        <family val="3"/>
        <charset val="134"/>
      </rPr>
      <t>替换原来的stb_image方案为SIOL</t>
    </r>
    <phoneticPr fontId="34" type="noConversion"/>
  </si>
  <si>
    <t>【Bitmap图片加载解析】</t>
    <phoneticPr fontId="34" type="noConversion"/>
  </si>
  <si>
    <t>Su Zhifei</t>
    <phoneticPr fontId="34" type="noConversion"/>
  </si>
  <si>
    <t>Suz Zhifei</t>
    <phoneticPr fontId="34" type="noConversion"/>
  </si>
  <si>
    <t>256</t>
    <phoneticPr fontId="34" type="noConversion"/>
  </si>
  <si>
    <t>【控件|Button】</t>
    <phoneticPr fontId="34" type="noConversion"/>
  </si>
  <si>
    <t>Pan Rongtao</t>
    <phoneticPr fontId="34" type="noConversion"/>
  </si>
  <si>
    <t>【控件|RepeatButton】</t>
    <phoneticPr fontId="34" type="noConversion"/>
  </si>
  <si>
    <r>
      <rPr>
        <sz val="11"/>
        <color theme="1"/>
        <rFont val="宋体"/>
        <family val="3"/>
        <charset val="134"/>
      </rPr>
      <t>实现</t>
    </r>
    <r>
      <rPr>
        <sz val="11"/>
        <color theme="1"/>
        <rFont val="Arial"/>
        <family val="2"/>
      </rPr>
      <t>Button</t>
    </r>
    <r>
      <rPr>
        <sz val="11"/>
        <color theme="1"/>
        <rFont val="宋体"/>
        <family val="3"/>
        <charset val="134"/>
      </rPr>
      <t>类，要求应用模板、样式</t>
    </r>
    <phoneticPr fontId="34" type="noConversion"/>
  </si>
  <si>
    <r>
      <rPr>
        <sz val="11"/>
        <color theme="1"/>
        <rFont val="宋体"/>
        <family val="3"/>
        <charset val="134"/>
      </rPr>
      <t>实现Repeat</t>
    </r>
    <r>
      <rPr>
        <sz val="11"/>
        <color theme="1"/>
        <rFont val="Arial"/>
        <family val="2"/>
      </rPr>
      <t>Button</t>
    </r>
    <r>
      <rPr>
        <sz val="11"/>
        <color theme="1"/>
        <rFont val="宋体"/>
        <family val="3"/>
        <charset val="134"/>
      </rPr>
      <t>类，要求应用模板、样式</t>
    </r>
    <phoneticPr fontId="34" type="noConversion"/>
  </si>
  <si>
    <t>【控件|Image】</t>
    <phoneticPr fontId="34" type="noConversion"/>
  </si>
  <si>
    <t>实现图片类Image</t>
    <phoneticPr fontId="34" type="noConversion"/>
  </si>
  <si>
    <t>【控件|Slider】</t>
    <phoneticPr fontId="34" type="noConversion"/>
  </si>
  <si>
    <r>
      <rPr>
        <sz val="11"/>
        <color theme="1"/>
        <rFont val="宋体"/>
        <family val="3"/>
        <charset val="134"/>
      </rPr>
      <t>实现</t>
    </r>
    <r>
      <rPr>
        <sz val="11"/>
        <color theme="1"/>
        <rFont val="Arial"/>
        <family val="2"/>
      </rPr>
      <t>Slider</t>
    </r>
    <phoneticPr fontId="34" type="noConversion"/>
  </si>
  <si>
    <t>Pan Rongtao</t>
    <phoneticPr fontId="34"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</si>
  <si>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34"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</si>
  <si>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</si>
  <si>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：本周开始
</t>
    </r>
    <r>
      <rPr>
        <sz val="10"/>
        <rFont val="Arial"/>
        <family val="2"/>
      </rPr>
      <t/>
    </r>
    <phoneticPr fontId="34" type="noConversion"/>
  </si>
  <si>
    <t>实现Transform、ScaleTransform、RotationTransform、TranslateTransform、TransformGroup</t>
    <phoneticPr fontId="34" type="noConversion"/>
  </si>
  <si>
    <r>
      <rPr>
        <sz val="11"/>
        <color theme="1"/>
        <rFont val="宋体"/>
        <family val="3"/>
        <charset val="134"/>
      </rPr>
      <t>使用</t>
    </r>
    <r>
      <rPr>
        <sz val="11"/>
        <color theme="1"/>
        <rFont val="Arial"/>
        <family val="2"/>
      </rPr>
      <t>WPF</t>
    </r>
    <r>
      <rPr>
        <sz val="11"/>
        <color theme="1"/>
        <rFont val="宋体"/>
        <family val="3"/>
        <charset val="134"/>
      </rPr>
      <t>实现shader Editor，类似于kanzi中的shader编辑器</t>
    </r>
    <phoneticPr fontId="34" type="noConversion"/>
  </si>
  <si>
    <r>
      <t>2020-3-9</t>
    </r>
    <r>
      <rPr>
        <sz val="10"/>
        <rFont val="宋体"/>
        <family val="3"/>
        <charset val="134"/>
      </rPr>
      <t xml:space="preserve">：未开始
</t>
    </r>
    <r>
      <rPr>
        <sz val="10"/>
        <rFont val="Arial"/>
        <family val="2"/>
      </rPr>
      <t>2020-4-3</t>
    </r>
    <r>
      <rPr>
        <sz val="10"/>
        <rFont val="宋体"/>
        <family val="3"/>
        <charset val="134"/>
      </rPr>
      <t>：完成第一版本，可根据自定义shader，自动获取uniform变量，进行调参工作</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</si>
  <si>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：还存在轮胎偏移问题，纹理渲染问题
</t>
    </r>
    <r>
      <rPr>
        <sz val="10"/>
        <rFont val="Arial"/>
        <family val="2"/>
      </rPr>
      <t>2020-4-3</t>
    </r>
    <r>
      <rPr>
        <sz val="10"/>
        <rFont val="宋体"/>
        <family val="3"/>
        <charset val="134"/>
      </rPr>
      <t>：完成</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</si>
  <si>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：完成</t>
    </r>
    <phoneticPr fontId="34"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</si>
  <si>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：除了</t>
    </r>
    <r>
      <rPr>
        <sz val="10"/>
        <rFont val="Arial"/>
        <family val="2"/>
      </rPr>
      <t>SkewTransform</t>
    </r>
    <r>
      <rPr>
        <sz val="10"/>
        <rFont val="宋体"/>
        <family val="3"/>
        <charset val="134"/>
      </rPr>
      <t>，其他都完成调试</t>
    </r>
    <phoneticPr fontId="34" type="noConversion"/>
  </si>
  <si>
    <t>主菜单栏设计与命令，要求实现完整的菜单外观，在每个菜单项执行log操作输出</t>
    <phoneticPr fontId="34" type="noConversion"/>
  </si>
  <si>
    <t>Su Zhifei</t>
    <phoneticPr fontId="34" type="noConversion"/>
  </si>
  <si>
    <t>底部状态栏的设计与外观实现</t>
    <phoneticPr fontId="34" type="noConversion"/>
  </si>
  <si>
    <t>Su Zhifei</t>
    <phoneticPr fontId="34" type="noConversion"/>
  </si>
  <si>
    <t>起始页</t>
    <phoneticPr fontId="34" type="noConversion"/>
  </si>
  <si>
    <t>Su Zhifei</t>
    <phoneticPr fontId="34" type="noConversion"/>
  </si>
  <si>
    <t>启动开机界面</t>
    <phoneticPr fontId="34" type="noConversion"/>
  </si>
  <si>
    <t>设计主窗口布局，包括菜单栏区域，节点树区域，nbPlayer区域</t>
    <phoneticPr fontId="34" type="noConversion"/>
  </si>
  <si>
    <r>
      <rPr>
        <sz val="11"/>
        <color theme="1"/>
        <rFont val="宋体"/>
        <family val="3"/>
        <charset val="134"/>
      </rPr>
      <t>实现提供给</t>
    </r>
    <r>
      <rPr>
        <sz val="11"/>
        <color theme="1"/>
        <rFont val="Arial"/>
        <family val="2"/>
      </rPr>
      <t>Studio</t>
    </r>
    <r>
      <rPr>
        <sz val="11"/>
        <color theme="1"/>
        <rFont val="宋体"/>
        <family val="3"/>
        <charset val="134"/>
      </rPr>
      <t>加载的插件机制，提供studio读取控件部分的信息</t>
    </r>
    <phoneticPr fontId="34" type="noConversion"/>
  </si>
  <si>
    <t>提供给studio读取控件属性的能力和接口</t>
    <phoneticPr fontId="34" type="noConversion"/>
  </si>
  <si>
    <r>
      <rPr>
        <sz val="11"/>
        <color theme="1"/>
        <rFont val="宋体"/>
        <family val="3"/>
        <charset val="134"/>
      </rPr>
      <t>提供给</t>
    </r>
    <r>
      <rPr>
        <sz val="11"/>
        <color theme="1"/>
        <rFont val="Arial"/>
        <family val="2"/>
      </rPr>
      <t>studio</t>
    </r>
    <r>
      <rPr>
        <sz val="11"/>
        <color theme="1"/>
        <rFont val="宋体"/>
        <family val="3"/>
        <charset val="134"/>
      </rPr>
      <t>读取控件的能力和接口</t>
    </r>
    <phoneticPr fontId="34" type="noConversion"/>
  </si>
  <si>
    <t>苏志飞</t>
    <phoneticPr fontId="42" type="noConversion"/>
  </si>
  <si>
    <t>苏志飞</t>
    <phoneticPr fontId="42" type="noConversion"/>
  </si>
  <si>
    <t>开机启动界面</t>
    <phoneticPr fontId="34" type="noConversion"/>
  </si>
  <si>
    <t>初始界面（打开项目、新建项目、example等）</t>
    <phoneticPr fontId="34" type="noConversion"/>
  </si>
  <si>
    <t>新建项目界面</t>
    <phoneticPr fontId="34" type="noConversion"/>
  </si>
  <si>
    <t>打开项目界面</t>
    <phoneticPr fontId="34" type="noConversion"/>
  </si>
  <si>
    <t>文档加载与显示</t>
    <phoneticPr fontId="34" type="noConversion"/>
  </si>
  <si>
    <t>开机、项目与状态</t>
    <phoneticPr fontId="42" type="noConversion"/>
  </si>
  <si>
    <t>项目另存为</t>
    <phoneticPr fontId="34" type="noConversion"/>
  </si>
  <si>
    <t>项目设置/状态的保存与设置</t>
    <phoneticPr fontId="34" type="noConversion"/>
  </si>
  <si>
    <t>菜单、工作区、状态栏</t>
    <phoneticPr fontId="34" type="noConversion"/>
  </si>
  <si>
    <t>主菜单</t>
    <phoneticPr fontId="34" type="noConversion"/>
  </si>
  <si>
    <t>状态栏</t>
    <phoneticPr fontId="34" type="noConversion"/>
  </si>
  <si>
    <t>苏志飞</t>
    <phoneticPr fontId="34" type="noConversion"/>
  </si>
  <si>
    <t>可视化节点树界面</t>
  </si>
  <si>
    <t>工作区的整体布局（窗口可内嵌、浮动、伸缩、添加、删除）</t>
    <phoneticPr fontId="34" type="noConversion"/>
  </si>
  <si>
    <t>属性展示与编辑窗口</t>
    <phoneticPr fontId="34" type="noConversion"/>
  </si>
  <si>
    <t>预览渲染窗口</t>
    <phoneticPr fontId="34" type="noConversion"/>
  </si>
  <si>
    <t>潘荣涛</t>
    <phoneticPr fontId="34" type="noConversion"/>
  </si>
  <si>
    <t>输出窗口</t>
    <phoneticPr fontId="34" type="noConversion"/>
  </si>
  <si>
    <t>Resource字典窗口</t>
    <phoneticPr fontId="34" type="noConversion"/>
  </si>
  <si>
    <t>动画编辑窗口</t>
    <phoneticPr fontId="34" type="noConversion"/>
  </si>
  <si>
    <t>动画列表窗口</t>
    <phoneticPr fontId="34" type="noConversion"/>
  </si>
  <si>
    <t>模板窗口</t>
    <phoneticPr fontId="34" type="noConversion"/>
  </si>
  <si>
    <t>资源字典窗口</t>
    <phoneticPr fontId="34" type="noConversion"/>
  </si>
  <si>
    <t>资产窗口（整合各窗口）</t>
    <phoneticPr fontId="34" type="noConversion"/>
  </si>
  <si>
    <t>样式窗口</t>
    <phoneticPr fontId="34" type="noConversion"/>
  </si>
  <si>
    <t>纹理和材质窗口</t>
    <phoneticPr fontId="34" type="noConversion"/>
  </si>
  <si>
    <t>媒体文件窗口</t>
    <phoneticPr fontId="34" type="noConversion"/>
  </si>
  <si>
    <t>状态机窗口</t>
    <phoneticPr fontId="34" type="noConversion"/>
  </si>
  <si>
    <t>数据上下文窗口</t>
    <phoneticPr fontId="34" type="noConversion"/>
  </si>
  <si>
    <t>Newbrush Studio 项目任务管理</t>
    <phoneticPr fontId="34" type="noConversion"/>
  </si>
  <si>
    <t>数据与后台</t>
    <phoneticPr fontId="34" type="noConversion"/>
  </si>
  <si>
    <t>控件元素管理</t>
    <phoneticPr fontId="34" type="noConversion"/>
  </si>
  <si>
    <t>可视化节点树数据</t>
    <phoneticPr fontId="34" type="noConversion"/>
  </si>
  <si>
    <t>模板数据管理</t>
    <phoneticPr fontId="34" type="noConversion"/>
  </si>
  <si>
    <t>属性数据</t>
    <phoneticPr fontId="34" type="noConversion"/>
  </si>
  <si>
    <t>资源字典数据</t>
    <phoneticPr fontId="34" type="noConversion"/>
  </si>
  <si>
    <t>样式管理</t>
    <phoneticPr fontId="34" type="noConversion"/>
  </si>
  <si>
    <t>媒体数据管理-字体</t>
    <phoneticPr fontId="34" type="noConversion"/>
  </si>
  <si>
    <t>媒体数据管理-图片</t>
    <phoneticPr fontId="34" type="noConversion"/>
  </si>
  <si>
    <t>媒体数据管理-音频</t>
    <phoneticPr fontId="34" type="noConversion"/>
  </si>
  <si>
    <t>媒体数据管理-视频</t>
    <phoneticPr fontId="34" type="noConversion"/>
  </si>
  <si>
    <t>媒体数据管理-3D模型</t>
    <phoneticPr fontId="34" type="noConversion"/>
  </si>
  <si>
    <t>动画管理</t>
    <phoneticPr fontId="34" type="noConversion"/>
  </si>
  <si>
    <t>比较基准</t>
    <phoneticPr fontId="34" type="noConversion"/>
  </si>
  <si>
    <t>位置</t>
  </si>
  <si>
    <t>项目详细信息</t>
  </si>
  <si>
    <t>时间表</t>
  </si>
  <si>
    <t xml:space="preserve"> 您的项目</t>
  </si>
  <si>
    <t>媒体相关：动画，画刷达60%成熟度</t>
    <phoneticPr fontId="34" type="noConversion"/>
  </si>
  <si>
    <t>高级用户接口GUI准备好基础类型搭建</t>
    <phoneticPr fontId="34" type="noConversion"/>
  </si>
  <si>
    <t>控件成熟度50%
&gt;常用控件
&gt;模板应用</t>
    <phoneticPr fontId="34" type="noConversion"/>
  </si>
  <si>
    <t>与Studio通信的基础RPC框架可用</t>
    <phoneticPr fontId="34" type="noConversion"/>
  </si>
  <si>
    <t>常用控件成熟度60%，Studio完成基本静态布局</t>
    <phoneticPr fontId="34" type="noConversion"/>
  </si>
  <si>
    <t>SDK启动</t>
    <phoneticPr fontId="34" type="noConversion"/>
  </si>
  <si>
    <t>SDK基础数据结构达到60%成熟度</t>
    <phoneticPr fontId="34" type="noConversion"/>
  </si>
  <si>
    <t>SDK成熟度80%</t>
    <phoneticPr fontId="34" type="noConversion"/>
  </si>
  <si>
    <t>nbb工程文件关联</t>
    <phoneticPr fontId="34" type="noConversion"/>
  </si>
  <si>
    <t>Studio可进行较为完整的工程设计，成熟度50%</t>
    <phoneticPr fontId="34" type="noConversion"/>
  </si>
  <si>
    <t>OpenGL渲染基础达成
成熟度50%</t>
    <phoneticPr fontId="34" type="noConversion"/>
  </si>
  <si>
    <t>Studio项目启动</t>
    <phoneticPr fontId="34" type="noConversion"/>
  </si>
  <si>
    <t>2021-2-30</t>
    <phoneticPr fontId="34" type="noConversion"/>
  </si>
  <si>
    <t>第二次优化</t>
    <phoneticPr fontId="34" type="noConversion"/>
  </si>
  <si>
    <t>多国语言与本地化</t>
    <phoneticPr fontId="34" type="noConversion"/>
  </si>
  <si>
    <t>多主题支持</t>
    <phoneticPr fontId="34" type="noConversion"/>
  </si>
  <si>
    <t>插件机制基本完善</t>
    <phoneticPr fontId="34" type="noConversion"/>
  </si>
  <si>
    <t>第一次SDK优化</t>
    <phoneticPr fontId="34" type="noConversion"/>
  </si>
  <si>
    <t>第二个demo项目</t>
    <phoneticPr fontId="34" type="noConversion"/>
  </si>
  <si>
    <t>第一个ADAS或ID项目demo</t>
    <phoneticPr fontId="34" type="noConversion"/>
  </si>
  <si>
    <t>提升SDK成熟度，
进行结构整合与调整</t>
    <phoneticPr fontId="34" type="noConversion"/>
  </si>
  <si>
    <t>Studio成熟度70%，
包含导出，资源加载部分
序列化</t>
    <phoneticPr fontId="34" type="noConversion"/>
  </si>
  <si>
    <t>Su Zhifei</t>
    <phoneticPr fontId="34" type="noConversion"/>
  </si>
  <si>
    <t>光照和材质</t>
    <phoneticPr fontId="34" type="noConversion"/>
  </si>
  <si>
    <t>研究光照模型，包括多光源等。
实现多种材质叠加的混合效果（比如颜色和纹理）</t>
    <phoneticPr fontId="34" type="noConversion"/>
  </si>
  <si>
    <t>高级光照</t>
    <phoneticPr fontId="34" type="noConversion"/>
  </si>
  <si>
    <t>阴影、法线贴图、UV坐标等</t>
    <phoneticPr fontId="34" type="noConversion"/>
  </si>
  <si>
    <t>模型动画</t>
    <phoneticPr fontId="34" type="noConversion"/>
  </si>
  <si>
    <t>研究模型的动画原理并code实现</t>
    <phoneticPr fontId="34" type="noConversion"/>
  </si>
  <si>
    <t>Pan Rongtao</t>
    <phoneticPr fontId="34" type="noConversion"/>
  </si>
  <si>
    <t>接口定义</t>
    <phoneticPr fontId="34" type="noConversion"/>
  </si>
  <si>
    <t>根据交互需求，定义接口，以头文件和库的形式对外输出</t>
    <phoneticPr fontId="34" type="noConversion"/>
  </si>
  <si>
    <t>研究模型交互需求，为接口定义做准备</t>
    <phoneticPr fontId="34" type="noConversion"/>
  </si>
  <si>
    <t>模型交互需求</t>
    <phoneticPr fontId="34" type="noConversion"/>
  </si>
  <si>
    <t>263</t>
    <phoneticPr fontId="34" type="noConversion"/>
  </si>
  <si>
    <r>
      <t>2020-5-4</t>
    </r>
    <r>
      <rPr>
        <sz val="10"/>
        <rFont val="宋体"/>
        <family val="3"/>
        <charset val="134"/>
      </rPr>
      <t>：已经可以读取类信息</t>
    </r>
    <phoneticPr fontId="34" type="noConversion"/>
  </si>
  <si>
    <r>
      <t>2020-4-7</t>
    </r>
    <r>
      <rPr>
        <sz val="10"/>
        <rFont val="宋体"/>
        <family val="3"/>
        <charset val="134"/>
      </rPr>
      <t xml:space="preserve">：本周开始
</t>
    </r>
    <r>
      <rPr>
        <sz val="10"/>
        <rFont val="Arial"/>
        <family val="2"/>
      </rPr>
      <t>2020-5-4</t>
    </r>
    <r>
      <rPr>
        <sz val="10"/>
        <rFont val="宋体"/>
        <family val="3"/>
        <charset val="134"/>
      </rPr>
      <t>：已完成</t>
    </r>
    <phoneticPr fontId="34" type="noConversion"/>
  </si>
  <si>
    <r>
      <t>2020-3-9</t>
    </r>
    <r>
      <rPr>
        <sz val="10"/>
        <rFont val="宋体"/>
        <family val="3"/>
        <charset val="134"/>
      </rPr>
      <t xml:space="preserve">：本周开始
</t>
    </r>
    <r>
      <rPr>
        <sz val="10"/>
        <rFont val="Arial"/>
        <family val="2"/>
      </rPr>
      <t>2020-4-3</t>
    </r>
    <r>
      <rPr>
        <sz val="10"/>
        <rFont val="宋体"/>
        <family val="3"/>
        <charset val="134"/>
      </rPr>
      <t xml:space="preserve">：下周开始
</t>
    </r>
    <r>
      <rPr>
        <sz val="10"/>
        <rFont val="Arial"/>
        <family val="2"/>
      </rPr>
      <t>2020-5-4</t>
    </r>
    <r>
      <rPr>
        <sz val="10"/>
        <rFont val="宋体"/>
        <family val="3"/>
        <charset val="134"/>
      </rPr>
      <t>：挂起，优先处理插件问题</t>
    </r>
    <phoneticPr fontId="34" type="noConversion"/>
  </si>
  <si>
    <t>Brush属性类型editor定制</t>
    <phoneticPr fontId="34" type="noConversion"/>
  </si>
  <si>
    <t>Pan Rongtao</t>
    <phoneticPr fontId="34" type="noConversion"/>
  </si>
  <si>
    <r>
      <t>2020-5-4</t>
    </r>
    <r>
      <rPr>
        <sz val="10"/>
        <rFont val="宋体"/>
        <family val="3"/>
        <charset val="134"/>
      </rPr>
      <t>：sdk信息已有，还在调试dll获取的方式</t>
    </r>
    <phoneticPr fontId="34" type="noConversion"/>
  </si>
  <si>
    <t>Window图标Icon的编辑格定制和调试</t>
    <phoneticPr fontId="34" type="noConversion"/>
  </si>
  <si>
    <t>模型格式文件全面覆盖测试（FBX,OBJ,fbx;obj;3DS;STL;xml)</t>
    <phoneticPr fontId="34" type="noConversion"/>
  </si>
  <si>
    <r>
      <t>2020-5-4</t>
    </r>
    <r>
      <rPr>
        <sz val="10"/>
        <rFont val="宋体"/>
        <family val="3"/>
        <charset val="134"/>
      </rPr>
      <t>：目前只能读取完整的数据，由于暂时没有模型调试。待后续实际项目完善。</t>
    </r>
    <phoneticPr fontId="34" type="noConversion"/>
  </si>
  <si>
    <r>
      <t>2020-5-4</t>
    </r>
    <r>
      <rPr>
        <sz val="10"/>
        <rFont val="宋体"/>
        <family val="3"/>
        <charset val="134"/>
      </rPr>
      <t xml:space="preserve">：
</t>
    </r>
    <r>
      <rPr>
        <sz val="10"/>
        <rFont val="Arial"/>
        <family val="2"/>
      </rPr>
      <t>2020-6-8</t>
    </r>
    <r>
      <rPr>
        <sz val="10"/>
        <rFont val="宋体"/>
        <family val="3"/>
        <charset val="134"/>
      </rPr>
      <t xml:space="preserve">：本周整理好
</t>
    </r>
    <r>
      <rPr>
        <sz val="10"/>
        <rFont val="Arial"/>
        <family val="2"/>
      </rPr>
      <t>2020-6-22</t>
    </r>
    <r>
      <rPr>
        <sz val="10"/>
        <rFont val="宋体"/>
        <family val="3"/>
        <charset val="134"/>
      </rPr>
      <t>：已经整理好月底输出的需求</t>
    </r>
    <phoneticPr fontId="34" type="noConversion"/>
  </si>
  <si>
    <t>在AB02项目上跑通OpenGL demo</t>
    <phoneticPr fontId="34" type="noConversion"/>
  </si>
  <si>
    <t>调试PC版本的Demo</t>
    <phoneticPr fontId="34" type="noConversion"/>
  </si>
  <si>
    <t>Pan Rongtao</t>
    <phoneticPr fontId="34" type="noConversion"/>
  </si>
  <si>
    <r>
      <t>nb</t>
    </r>
    <r>
      <rPr>
        <sz val="11"/>
        <color theme="1"/>
        <rFont val="宋体"/>
        <family val="2"/>
        <charset val="134"/>
        <scheme val="minor"/>
      </rPr>
      <t>::Point属性类型的单元编辑格定制</t>
    </r>
    <phoneticPr fontId="34" type="noConversion"/>
  </si>
  <si>
    <t>Pan Rongtao</t>
    <phoneticPr fontId="34" type="noConversion"/>
  </si>
  <si>
    <r>
      <t>2020-6-8</t>
    </r>
    <r>
      <rPr>
        <sz val="10"/>
        <rFont val="宋体"/>
        <family val="3"/>
        <charset val="134"/>
      </rPr>
      <t xml:space="preserve">：开始实施
</t>
    </r>
    <r>
      <rPr>
        <sz val="10"/>
        <rFont val="Arial"/>
        <family val="2"/>
      </rPr>
      <t>2020-6-22</t>
    </r>
    <r>
      <rPr>
        <sz val="10"/>
        <rFont val="宋体"/>
        <family val="3"/>
        <charset val="134"/>
      </rPr>
      <t>：完成第一版</t>
    </r>
    <phoneticPr fontId="34" type="noConversion"/>
  </si>
  <si>
    <r>
      <t>2020-6-29</t>
    </r>
    <r>
      <rPr>
        <sz val="10"/>
        <rFont val="宋体"/>
        <family val="3"/>
        <charset val="134"/>
      </rPr>
      <t>：完成</t>
    </r>
    <phoneticPr fontId="34" type="noConversion"/>
  </si>
  <si>
    <t>nb::Transform属性类型单元编辑格定制</t>
    <phoneticPr fontId="34" type="noConversion"/>
  </si>
  <si>
    <r>
      <t>2020-6-29</t>
    </r>
    <r>
      <rPr>
        <sz val="10"/>
        <rFont val="宋体"/>
        <family val="3"/>
        <charset val="134"/>
      </rPr>
      <t>：完成</t>
    </r>
    <phoneticPr fontId="34" type="noConversion"/>
  </si>
  <si>
    <t>普通数据类型（Int8、Int16、Int32、Int64、float、double、string等）的单元编辑格定制</t>
  </si>
  <si>
    <r>
      <t>2020-5-4</t>
    </r>
    <r>
      <rPr>
        <sz val="10"/>
        <rFont val="宋体"/>
        <family val="3"/>
        <charset val="134"/>
      </rPr>
      <t>：</t>
    </r>
    <phoneticPr fontId="34" type="noConversion"/>
  </si>
  <si>
    <r>
      <t>&lt;</t>
    </r>
    <r>
      <rPr>
        <b/>
        <sz val="18"/>
        <rFont val="宋体"/>
        <family val="3"/>
        <charset val="134"/>
      </rPr>
      <t>倒车轨迹线</t>
    </r>
    <r>
      <rPr>
        <b/>
        <sz val="18"/>
        <rFont val="Arial"/>
        <family val="2"/>
      </rPr>
      <t>OpenGL</t>
    </r>
    <r>
      <rPr>
        <b/>
        <sz val="18"/>
        <rFont val="宋体"/>
        <family val="3"/>
        <charset val="134"/>
      </rPr>
      <t>方案</t>
    </r>
    <r>
      <rPr>
        <b/>
        <sz val="18"/>
        <rFont val="Arial"/>
        <family val="2"/>
      </rPr>
      <t>&gt; Action Item List</t>
    </r>
    <phoneticPr fontId="34" type="noConversion"/>
  </si>
  <si>
    <r>
      <t>2020-5-4</t>
    </r>
    <r>
      <rPr>
        <sz val="10"/>
        <rFont val="宋体"/>
        <family val="3"/>
        <charset val="134"/>
      </rPr>
      <t xml:space="preserve">：
</t>
    </r>
    <r>
      <rPr>
        <sz val="10"/>
        <rFont val="Arial"/>
        <family val="2"/>
      </rPr>
      <t>2020-6-29</t>
    </r>
    <r>
      <rPr>
        <sz val="10"/>
        <rFont val="宋体"/>
        <family val="3"/>
        <charset val="134"/>
      </rPr>
      <t xml:space="preserve">：
</t>
    </r>
    <r>
      <rPr>
        <sz val="10"/>
        <rFont val="Arial"/>
        <family val="2"/>
      </rPr>
      <t>2020-7-6</t>
    </r>
    <r>
      <rPr>
        <sz val="10"/>
        <rFont val="宋体"/>
        <family val="3"/>
        <charset val="134"/>
      </rPr>
      <t>：</t>
    </r>
    <phoneticPr fontId="34" type="noConversion"/>
  </si>
  <si>
    <r>
      <t>2020-6-29</t>
    </r>
    <r>
      <rPr>
        <sz val="10"/>
        <rFont val="宋体"/>
        <family val="3"/>
        <charset val="134"/>
      </rPr>
      <t xml:space="preserve">：沟通一下项目，包括机器分配的情况，立项进展
</t>
    </r>
    <r>
      <rPr>
        <sz val="10"/>
        <rFont val="Arial"/>
        <family val="2"/>
      </rPr>
      <t>2020-7-6</t>
    </r>
    <r>
      <rPr>
        <sz val="10"/>
        <rFont val="宋体"/>
        <family val="3"/>
        <charset val="134"/>
      </rPr>
      <t>：机器已经拿到，缺摄像头，后续拿到</t>
    </r>
    <phoneticPr fontId="34" type="noConversion"/>
  </si>
  <si>
    <r>
      <t>2020-5-4</t>
    </r>
    <r>
      <rPr>
        <sz val="10"/>
        <rFont val="宋体"/>
        <family val="3"/>
        <charset val="134"/>
      </rPr>
      <t xml:space="preserve">：
</t>
    </r>
    <r>
      <rPr>
        <sz val="10"/>
        <rFont val="Arial"/>
        <family val="2"/>
      </rPr>
      <t>2020-6-8</t>
    </r>
    <r>
      <rPr>
        <sz val="10"/>
        <rFont val="宋体"/>
        <family val="3"/>
        <charset val="134"/>
      </rPr>
      <t xml:space="preserve">：调通了，但是动画未对象化，不可控制
</t>
    </r>
    <r>
      <rPr>
        <sz val="10"/>
        <rFont val="Arial"/>
        <family val="2"/>
      </rPr>
      <t>2020-6-22</t>
    </r>
    <r>
      <rPr>
        <sz val="10"/>
        <rFont val="宋体"/>
        <family val="3"/>
        <charset val="134"/>
      </rPr>
      <t xml:space="preserve">：
</t>
    </r>
    <r>
      <rPr>
        <sz val="10"/>
        <rFont val="Arial"/>
        <family val="2"/>
      </rPr>
      <t>2020-6-29</t>
    </r>
    <r>
      <rPr>
        <sz val="10"/>
        <rFont val="宋体"/>
        <family val="3"/>
        <charset val="134"/>
      </rPr>
      <t>：本周调通（会后</t>
    </r>
    <r>
      <rPr>
        <sz val="10"/>
        <rFont val="Arial"/>
        <family val="2"/>
      </rPr>
      <t>PRT</t>
    </r>
    <r>
      <rPr>
        <sz val="10"/>
        <rFont val="宋体"/>
        <family val="3"/>
        <charset val="134"/>
      </rPr>
      <t xml:space="preserve">与SZF review当前代码，以提高调试效率）
2020-7-6：本周完成动画对象化，以便可控制任意节点的动画
2020-7-13：动画已经对象化，本周直接在android车机上调试
</t>
    </r>
    <phoneticPr fontId="34" type="noConversion"/>
  </si>
  <si>
    <r>
      <t>2020-6-29</t>
    </r>
    <r>
      <rPr>
        <sz val="10"/>
        <rFont val="宋体"/>
        <family val="3"/>
        <charset val="134"/>
      </rPr>
      <t xml:space="preserve">：本周开始
</t>
    </r>
    <r>
      <rPr>
        <sz val="10"/>
        <rFont val="Arial"/>
        <family val="2"/>
      </rPr>
      <t>2020-7-6</t>
    </r>
    <r>
      <rPr>
        <sz val="10"/>
        <rFont val="宋体"/>
        <family val="3"/>
        <charset val="134"/>
      </rPr>
      <t xml:space="preserve">：
</t>
    </r>
    <r>
      <rPr>
        <sz val="10"/>
        <rFont val="Arial"/>
        <family val="2"/>
      </rPr>
      <t>2020-7-13</t>
    </r>
    <r>
      <rPr>
        <sz val="10"/>
        <rFont val="宋体"/>
        <family val="3"/>
        <charset val="134"/>
      </rPr>
      <t>：基本的线基本可以绘制，接下来研究渐变</t>
    </r>
    <phoneticPr fontId="34" type="noConversion"/>
  </si>
  <si>
    <t>Pan Rongtao</t>
    <phoneticPr fontId="34" type="noConversion"/>
  </si>
  <si>
    <r>
      <t>2020-3-9</t>
    </r>
    <r>
      <rPr>
        <sz val="10"/>
        <rFont val="宋体"/>
        <family val="3"/>
        <charset val="134"/>
      </rPr>
      <t>：使用catch2完善原来的测试案例
2020-3-23：已处理了单元测试用例，还需要统计覆盖率输出
2020-7-13：模块未使用，已不需要做单元测试</t>
    </r>
    <phoneticPr fontId="34" type="noConversion"/>
  </si>
  <si>
    <r>
      <t>2020-7-13</t>
    </r>
    <r>
      <rPr>
        <sz val="10"/>
        <rFont val="宋体"/>
        <family val="3"/>
        <charset val="134"/>
      </rPr>
      <t>：本周开始review代码，整理model部分</t>
    </r>
    <phoneticPr fontId="34" type="noConversion"/>
  </si>
  <si>
    <t>3D模型代码整合入NB框架中</t>
    <phoneticPr fontId="3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</si>
</sst>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76" formatCode="[$-409]d/mmm/yy;@"/>
    <numFmt numFmtId="177" formatCode="m/d/yy;@"/>
    <numFmt numFmtId="178" formatCode="yy/m/d;@"/>
    <numFmt numFmtId="179" formatCode="d"/>
    <numFmt numFmtId="180" formatCode="aaa\,\ yyyy/m/d"/>
    <numFmt numFmtId="181" formatCode="dd/mm/yyyy"/>
  </numFmts>
  <fonts count="62" x14ac:knownFonts="1">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Arial"/>
      <family val="2"/>
    </font>
    <font>
      <b/>
      <sz val="18"/>
      <name val="Arial"/>
      <family val="2"/>
    </font>
    <font>
      <b/>
      <sz val="10"/>
      <name val="Arial"/>
      <family val="2"/>
    </font>
    <font>
      <sz val="10"/>
      <color rgb="FFFF0000"/>
      <name val="Arial"/>
      <family val="2"/>
    </font>
    <font>
      <sz val="10"/>
      <name val="Arial"/>
      <family val="2"/>
    </font>
    <font>
      <sz val="11"/>
      <color rgb="FFFFFFFF"/>
      <name val="宋体"/>
      <family val="3"/>
      <charset val="134"/>
      <scheme val="minor"/>
    </font>
    <font>
      <sz val="10"/>
      <name val="宋体"/>
      <family val="3"/>
      <charset val="134"/>
    </font>
    <font>
      <sz val="11"/>
      <color theme="1"/>
      <name val="宋体"/>
      <family val="3"/>
      <charset val="134"/>
    </font>
    <font>
      <sz val="12"/>
      <name val="Arial"/>
      <family val="2"/>
    </font>
    <font>
      <sz val="11"/>
      <color rgb="FF000000"/>
      <name val="宋体"/>
      <family val="3"/>
      <charset val="134"/>
      <scheme val="minor"/>
    </font>
    <font>
      <sz val="10"/>
      <color rgb="FF000000"/>
      <name val="宋体"/>
      <family val="3"/>
      <charset val="134"/>
    </font>
    <font>
      <sz val="10"/>
      <color rgb="FF000000"/>
      <name val="Arial"/>
      <family val="2"/>
    </font>
    <font>
      <strike/>
      <sz val="10"/>
      <name val="Arial"/>
      <family val="2"/>
    </font>
    <font>
      <strike/>
      <sz val="11"/>
      <color rgb="FF000000"/>
      <name val="宋体"/>
      <family val="3"/>
      <charset val="134"/>
      <scheme val="minor"/>
    </font>
    <font>
      <strike/>
      <sz val="10"/>
      <color rgb="FF000000"/>
      <name val="宋体"/>
      <family val="3"/>
      <charset val="134"/>
    </font>
    <font>
      <strike/>
      <sz val="10"/>
      <color rgb="FF000000"/>
      <name val="Arial"/>
      <family val="2"/>
    </font>
    <font>
      <sz val="10.5"/>
      <color theme="1"/>
      <name val="Calibri"/>
      <family val="2"/>
    </font>
    <font>
      <sz val="10.5"/>
      <color theme="1"/>
      <name val="宋体"/>
      <family val="3"/>
      <charset val="134"/>
      <scheme val="minor"/>
    </font>
    <font>
      <sz val="11"/>
      <color rgb="FF000000"/>
      <name val="Arial"/>
      <family val="2"/>
    </font>
    <font>
      <sz val="11"/>
      <name val="Arial"/>
      <family val="2"/>
    </font>
    <font>
      <sz val="12"/>
      <name val="宋体"/>
      <family val="3"/>
      <charset val="134"/>
    </font>
    <font>
      <sz val="11"/>
      <color theme="1"/>
      <name val="宋体"/>
      <family val="3"/>
      <charset val="134"/>
      <scheme val="minor"/>
    </font>
    <font>
      <sz val="10"/>
      <color indexed="10"/>
      <name val="宋体"/>
      <family val="3"/>
      <charset val="134"/>
    </font>
    <font>
      <sz val="10"/>
      <color theme="3" tint="0.59999389629810485"/>
      <name val="宋体"/>
      <family val="3"/>
      <charset val="134"/>
    </font>
    <font>
      <strike/>
      <sz val="10"/>
      <name val="宋体"/>
      <family val="3"/>
      <charset val="134"/>
    </font>
    <font>
      <sz val="11"/>
      <color rgb="FF000000"/>
      <name val="宋体"/>
      <family val="3"/>
      <charset val="134"/>
    </font>
    <font>
      <sz val="9"/>
      <name val="宋体"/>
      <family val="3"/>
      <charset val="134"/>
    </font>
    <font>
      <b/>
      <sz val="9"/>
      <name val="宋体"/>
      <family val="3"/>
      <charset val="134"/>
    </font>
    <font>
      <sz val="11"/>
      <color theme="1"/>
      <name val="宋体"/>
      <family val="3"/>
      <charset val="134"/>
      <scheme val="minor"/>
    </font>
    <font>
      <b/>
      <sz val="11"/>
      <color rgb="FF000000"/>
      <name val="Arial"/>
      <family val="2"/>
    </font>
    <font>
      <sz val="11"/>
      <color theme="1"/>
      <name val="Microsoft YaHei UI"/>
      <family val="2"/>
      <charset val="134"/>
    </font>
    <font>
      <sz val="9"/>
      <name val="宋体"/>
      <family val="3"/>
      <charset val="134"/>
      <scheme val="minor"/>
    </font>
    <font>
      <sz val="11"/>
      <color theme="0"/>
      <name val="Microsoft YaHei UI"/>
      <family val="2"/>
      <charset val="134"/>
    </font>
    <font>
      <u/>
      <sz val="11"/>
      <color indexed="12"/>
      <name val="Microsoft YaHei UI"/>
      <family val="2"/>
      <charset val="134"/>
    </font>
    <font>
      <sz val="10"/>
      <color theme="1" tint="0.499984740745262"/>
      <name val="Microsoft YaHei UI"/>
      <family val="2"/>
      <charset val="134"/>
    </font>
    <font>
      <b/>
      <sz val="11"/>
      <color theme="1" tint="0.499984740745262"/>
      <name val="Microsoft YaHei UI"/>
      <family val="2"/>
      <charset val="134"/>
    </font>
    <font>
      <sz val="11"/>
      <name val="Microsoft YaHei UI"/>
      <family val="2"/>
      <charset val="134"/>
    </font>
    <font>
      <i/>
      <sz val="9"/>
      <color theme="1"/>
      <name val="Microsoft YaHei UI"/>
      <family val="2"/>
      <charset val="134"/>
    </font>
    <font>
      <b/>
      <sz val="11"/>
      <color rgb="FF3F3F3F"/>
      <name val="宋体"/>
      <family val="2"/>
      <charset val="134"/>
      <scheme val="minor"/>
    </font>
    <font>
      <sz val="9"/>
      <name val="Microsoft YaHei UI"/>
      <family val="2"/>
      <charset val="134"/>
    </font>
    <font>
      <b/>
      <sz val="11"/>
      <color theme="1"/>
      <name val="Microsoft YaHei UI"/>
      <family val="2"/>
      <charset val="134"/>
    </font>
    <font>
      <sz val="8"/>
      <color theme="0"/>
      <name val="Microsoft YaHei UI"/>
      <family val="2"/>
      <charset val="134"/>
    </font>
    <font>
      <b/>
      <sz val="9"/>
      <color theme="0"/>
      <name val="Microsoft YaHei UI"/>
      <family val="2"/>
      <charset val="134"/>
    </font>
    <font>
      <sz val="14"/>
      <color theme="1"/>
      <name val="Microsoft YaHei UI"/>
      <family val="2"/>
      <charset val="134"/>
    </font>
    <font>
      <sz val="10"/>
      <name val="Microsoft YaHei UI"/>
      <family val="2"/>
      <charset val="134"/>
    </font>
    <font>
      <b/>
      <sz val="20"/>
      <color theme="4" tint="-0.249977111117893"/>
      <name val="Microsoft YaHei UI"/>
      <family val="2"/>
      <charset val="134"/>
    </font>
    <font>
      <b/>
      <sz val="22"/>
      <color theme="1" tint="0.34998626667073579"/>
      <name val="Microsoft YaHei UI"/>
      <family val="2"/>
      <charset val="134"/>
    </font>
    <font>
      <sz val="11"/>
      <color rgb="FFFF0000"/>
      <name val="Microsoft YaHei UI"/>
      <family val="2"/>
      <charset val="134"/>
    </font>
    <font>
      <b/>
      <sz val="18"/>
      <color theme="8"/>
      <name val="Microsoft YaHei UI"/>
      <family val="2"/>
      <charset val="134"/>
    </font>
    <font>
      <sz val="11"/>
      <color theme="8" tint="0.79998168889431442"/>
      <name val="Microsoft YaHei UI"/>
      <family val="2"/>
      <charset val="134"/>
    </font>
    <font>
      <b/>
      <sz val="12"/>
      <color theme="0"/>
      <name val="Microsoft YaHei UI"/>
      <family val="2"/>
      <charset val="134"/>
    </font>
    <font>
      <sz val="10"/>
      <color theme="1" tint="0.499984740745262"/>
      <name val="宋体"/>
      <family val="2"/>
      <scheme val="minor"/>
    </font>
    <font>
      <b/>
      <sz val="11"/>
      <color theme="5"/>
      <name val="宋体"/>
      <family val="2"/>
      <scheme val="minor"/>
    </font>
    <font>
      <b/>
      <sz val="20"/>
      <color theme="0"/>
      <name val="宋体"/>
      <family val="2"/>
      <scheme val="minor"/>
    </font>
    <font>
      <sz val="10"/>
      <color theme="5"/>
      <name val="宋体"/>
      <family val="2"/>
      <scheme val="major"/>
    </font>
    <font>
      <sz val="10"/>
      <color theme="5"/>
      <name val="Microsoft YaHei UI"/>
      <family val="2"/>
      <charset val="134"/>
    </font>
    <font>
      <b/>
      <sz val="11"/>
      <color theme="5"/>
      <name val="Microsoft YaHei UI"/>
      <family val="2"/>
      <charset val="134"/>
    </font>
    <font>
      <b/>
      <sz val="20"/>
      <color theme="0"/>
      <name val="Microsoft YaHei UI"/>
      <family val="2"/>
      <charset val="134"/>
    </font>
    <font>
      <b/>
      <sz val="18"/>
      <name val="宋体"/>
      <family val="3"/>
      <charset val="134"/>
    </font>
  </fonts>
  <fills count="21">
    <fill>
      <patternFill patternType="none"/>
    </fill>
    <fill>
      <patternFill patternType="gray125"/>
    </fill>
    <fill>
      <patternFill patternType="solid">
        <fgColor indexed="22"/>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F2F2F2"/>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4659260841701"/>
        <bgColor indexed="64"/>
      </patternFill>
    </fill>
    <fill>
      <patternFill patternType="solid">
        <fgColor theme="3" tint="9.9948118533890809E-2"/>
        <bgColor indexed="64"/>
      </patternFill>
    </fill>
    <fill>
      <patternFill patternType="solid">
        <fgColor theme="3"/>
        <bgColor indexed="64"/>
      </patternFill>
    </fill>
    <fill>
      <patternFill patternType="solid">
        <fgColor theme="0"/>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style="thin">
        <color rgb="FF3F3F3F"/>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bottom style="medium">
        <color theme="0" tint="-0.14996795556505021"/>
      </bottom>
      <diagonal/>
    </border>
    <border>
      <left/>
      <right/>
      <top style="thin">
        <color theme="0" tint="-0.34998626667073579"/>
      </top>
      <bottom/>
      <diagonal/>
    </border>
    <border>
      <left/>
      <right style="thin">
        <color theme="0" tint="-0.34998626667073579"/>
      </right>
      <top/>
      <bottom/>
      <diagonal/>
    </border>
    <border>
      <left style="thin">
        <color theme="0" tint="-0.34998626667073579"/>
      </left>
      <right/>
      <top/>
      <bottom/>
      <diagonal/>
    </border>
    <border>
      <left/>
      <right/>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thin">
        <color indexed="64"/>
      </bottom>
      <diagonal/>
    </border>
    <border>
      <left/>
      <right style="thick">
        <color theme="3"/>
      </right>
      <top style="thick">
        <color theme="3"/>
      </top>
      <bottom/>
      <diagonal/>
    </border>
    <border>
      <left/>
      <right/>
      <top style="thick">
        <color theme="3"/>
      </top>
      <bottom/>
      <diagonal/>
    </border>
    <border>
      <left style="thick">
        <color theme="3"/>
      </left>
      <right/>
      <top style="thick">
        <color theme="3"/>
      </top>
      <bottom/>
      <diagonal/>
    </border>
  </borders>
  <cellStyleXfs count="32">
    <xf numFmtId="176" fontId="0" fillId="0" borderId="0">
      <alignment vertical="center"/>
    </xf>
    <xf numFmtId="176" fontId="23" fillId="0" borderId="0" applyNumberFormat="0" applyFill="0" applyBorder="0" applyAlignment="0" applyProtection="0"/>
    <xf numFmtId="176" fontId="23" fillId="0" borderId="0"/>
    <xf numFmtId="176" fontId="23" fillId="0" borderId="0"/>
    <xf numFmtId="176" fontId="23" fillId="0" borderId="0"/>
    <xf numFmtId="176" fontId="22" fillId="0" borderId="0"/>
    <xf numFmtId="176" fontId="23" fillId="0" borderId="0"/>
    <xf numFmtId="176" fontId="23" fillId="0" borderId="0"/>
    <xf numFmtId="176" fontId="31" fillId="0" borderId="0">
      <alignment vertical="center"/>
    </xf>
    <xf numFmtId="176" fontId="23" fillId="0" borderId="0"/>
    <xf numFmtId="0" fontId="33" fillId="0" borderId="0"/>
    <xf numFmtId="0" fontId="35" fillId="0" borderId="0"/>
    <xf numFmtId="0" fontId="36" fillId="0" borderId="0" applyNumberFormat="0" applyFill="0" applyBorder="0" applyAlignment="0" applyProtection="0">
      <alignment vertical="top"/>
      <protection locked="0"/>
    </xf>
    <xf numFmtId="9" fontId="33" fillId="0" borderId="0" applyFont="0" applyFill="0" applyBorder="0" applyAlignment="0" applyProtection="0"/>
    <xf numFmtId="178" fontId="33" fillId="0" borderId="7" applyFill="0">
      <alignment horizontal="center" vertical="center"/>
    </xf>
    <xf numFmtId="0" fontId="33" fillId="0" borderId="7" applyFill="0">
      <alignment horizontal="center" vertical="center"/>
    </xf>
    <xf numFmtId="0" fontId="33" fillId="0" borderId="7" applyFill="0">
      <alignment horizontal="left" vertical="center" indent="2"/>
    </xf>
    <xf numFmtId="0" fontId="41" fillId="8" borderId="5" applyNumberFormat="0" applyAlignment="0" applyProtection="0">
      <alignment vertical="center"/>
    </xf>
    <xf numFmtId="0" fontId="33" fillId="0" borderId="0" applyNumberFormat="0" applyFill="0" applyProtection="0">
      <alignment horizontal="right" indent="1"/>
    </xf>
    <xf numFmtId="180" fontId="33" fillId="0" borderId="15">
      <alignment horizontal="center" vertical="center"/>
    </xf>
    <xf numFmtId="0" fontId="46" fillId="0" borderId="0" applyNumberFormat="0" applyFill="0" applyProtection="0">
      <alignment vertical="top"/>
    </xf>
    <xf numFmtId="0" fontId="46" fillId="0" borderId="0" applyNumberFormat="0" applyFill="0" applyAlignment="0" applyProtection="0"/>
    <xf numFmtId="0" fontId="49" fillId="0" borderId="0" applyNumberFormat="0" applyFill="0" applyBorder="0" applyAlignment="0" applyProtection="0"/>
    <xf numFmtId="14" fontId="33" fillId="0" borderId="0" applyFont="0" applyFill="0" applyBorder="0">
      <alignment horizontal="center" vertical="center" wrapText="1"/>
    </xf>
    <xf numFmtId="3" fontId="33" fillId="0" borderId="0" applyFont="0" applyFill="0" applyBorder="0" applyProtection="0">
      <alignment horizontal="center" vertical="center"/>
    </xf>
    <xf numFmtId="0" fontId="51" fillId="0" borderId="0" applyNumberFormat="0" applyFill="0" applyProtection="0">
      <alignment vertical="top"/>
    </xf>
    <xf numFmtId="0" fontId="52" fillId="16" borderId="0">
      <alignment wrapText="1"/>
    </xf>
    <xf numFmtId="0" fontId="53" fillId="17" borderId="0" applyNumberFormat="0" applyProtection="0">
      <alignment horizontal="right" vertical="top" indent="1"/>
    </xf>
    <xf numFmtId="0" fontId="54" fillId="18" borderId="0">
      <alignment vertical="center"/>
    </xf>
    <xf numFmtId="0" fontId="55" fillId="19" borderId="0" applyNumberFormat="0" applyBorder="0" applyAlignment="0" applyProtection="0"/>
    <xf numFmtId="0" fontId="56" fillId="19" borderId="0" applyNumberFormat="0" applyBorder="0" applyAlignment="0" applyProtection="0"/>
    <xf numFmtId="0" fontId="57" fillId="19" borderId="0" applyNumberFormat="0" applyBorder="0" applyAlignment="0" applyProtection="0"/>
  </cellStyleXfs>
  <cellXfs count="165">
    <xf numFmtId="176" fontId="0" fillId="0" borderId="0" xfId="0">
      <alignment vertical="center"/>
    </xf>
    <xf numFmtId="176" fontId="3" fillId="0" borderId="0" xfId="0" applyNumberFormat="1" applyFont="1" applyAlignment="1">
      <alignment vertical="center" wrapText="1"/>
    </xf>
    <xf numFmtId="176" fontId="3" fillId="0" borderId="0" xfId="0" applyNumberFormat="1" applyFont="1" applyAlignment="1">
      <alignment horizontal="center" vertical="center" wrapText="1"/>
    </xf>
    <xf numFmtId="176" fontId="3" fillId="0" borderId="1" xfId="0" applyNumberFormat="1" applyFont="1" applyBorder="1">
      <alignment vertical="center"/>
    </xf>
    <xf numFmtId="176" fontId="3" fillId="0" borderId="0" xfId="0" applyNumberFormat="1" applyFont="1">
      <alignment vertical="center"/>
    </xf>
    <xf numFmtId="176" fontId="5" fillId="0" borderId="0" xfId="6" applyNumberFormat="1" applyFont="1" applyFill="1" applyBorder="1" applyAlignment="1">
      <alignment horizontal="left" vertical="center" wrapText="1"/>
    </xf>
    <xf numFmtId="176" fontId="6" fillId="0" borderId="0" xfId="6" applyNumberFormat="1" applyFont="1" applyFill="1" applyBorder="1" applyAlignment="1" applyProtection="1">
      <alignment horizontal="left" vertical="center"/>
    </xf>
    <xf numFmtId="176" fontId="5" fillId="0" borderId="0" xfId="6" applyNumberFormat="1" applyFont="1" applyFill="1" applyBorder="1" applyAlignment="1">
      <alignment horizontal="center" wrapText="1"/>
    </xf>
    <xf numFmtId="176" fontId="7" fillId="0" borderId="0" xfId="6" applyNumberFormat="1" applyFont="1" applyFill="1" applyBorder="1" applyAlignment="1">
      <alignment horizontal="center" wrapText="1"/>
    </xf>
    <xf numFmtId="176" fontId="5" fillId="2" borderId="1" xfId="6" applyNumberFormat="1" applyFont="1" applyFill="1" applyBorder="1" applyAlignment="1">
      <alignment horizontal="center" vertical="center" wrapText="1"/>
    </xf>
    <xf numFmtId="176" fontId="8" fillId="0" borderId="0" xfId="0" applyFont="1" applyAlignment="1">
      <alignment horizontal="center" vertical="center"/>
    </xf>
    <xf numFmtId="176" fontId="9" fillId="0" borderId="1" xfId="6" applyNumberFormat="1" applyFont="1" applyFill="1" applyBorder="1" applyAlignment="1">
      <alignment horizontal="center" vertical="center" wrapText="1"/>
    </xf>
    <xf numFmtId="176" fontId="3" fillId="0" borderId="1" xfId="0" applyNumberFormat="1" applyFont="1" applyBorder="1" applyAlignment="1">
      <alignment vertical="center" wrapText="1"/>
    </xf>
    <xf numFmtId="176" fontId="7" fillId="0" borderId="1" xfId="6" applyNumberFormat="1" applyFont="1" applyFill="1" applyBorder="1" applyAlignment="1">
      <alignment horizontal="center" vertical="center" wrapText="1"/>
    </xf>
    <xf numFmtId="176" fontId="7" fillId="0" borderId="1" xfId="6" applyNumberFormat="1" applyFont="1" applyFill="1" applyBorder="1" applyAlignment="1" applyProtection="1">
      <alignment horizontal="center" vertical="center" wrapText="1"/>
    </xf>
    <xf numFmtId="49" fontId="7" fillId="0" borderId="1" xfId="6" applyNumberFormat="1" applyFont="1" applyFill="1" applyBorder="1" applyAlignment="1">
      <alignment horizontal="center" vertical="center" wrapText="1"/>
    </xf>
    <xf numFmtId="176" fontId="10" fillId="0" borderId="1" xfId="0" applyNumberFormat="1" applyFont="1" applyBorder="1" applyAlignment="1">
      <alignment vertical="center" wrapText="1"/>
    </xf>
    <xf numFmtId="176" fontId="7" fillId="0" borderId="0" xfId="6" applyNumberFormat="1" applyFont="1" applyBorder="1" applyAlignment="1">
      <alignment horizontal="center" wrapText="1"/>
    </xf>
    <xf numFmtId="176" fontId="7" fillId="0" borderId="0" xfId="6" applyNumberFormat="1" applyFont="1" applyBorder="1" applyAlignment="1">
      <alignment horizontal="left" wrapText="1"/>
    </xf>
    <xf numFmtId="176" fontId="5" fillId="2" borderId="2" xfId="6" applyNumberFormat="1" applyFont="1" applyFill="1" applyBorder="1" applyAlignment="1">
      <alignment horizontal="center" vertical="center" wrapText="1"/>
    </xf>
    <xf numFmtId="176" fontId="7" fillId="0" borderId="1" xfId="6" applyNumberFormat="1" applyFont="1" applyFill="1" applyBorder="1" applyAlignment="1">
      <alignment horizontal="left" vertical="center" wrapText="1"/>
    </xf>
    <xf numFmtId="176" fontId="11" fillId="0" borderId="1" xfId="6" applyNumberFormat="1" applyFont="1" applyBorder="1" applyAlignment="1">
      <alignment vertical="center"/>
    </xf>
    <xf numFmtId="176" fontId="11" fillId="0" borderId="0" xfId="6" applyNumberFormat="1" applyFont="1" applyAlignment="1">
      <alignment vertical="center"/>
    </xf>
    <xf numFmtId="176" fontId="7" fillId="0" borderId="1" xfId="6" applyNumberFormat="1" applyFont="1" applyBorder="1"/>
    <xf numFmtId="176" fontId="7" fillId="0" borderId="0" xfId="6" applyNumberFormat="1" applyFont="1" applyBorder="1"/>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0" xfId="6" applyNumberFormat="1" applyFont="1" applyFill="1" applyBorder="1" applyAlignment="1">
      <alignment vertical="center"/>
    </xf>
    <xf numFmtId="176" fontId="12" fillId="0" borderId="4" xfId="0" applyFont="1" applyBorder="1" applyAlignment="1">
      <alignment vertical="center" wrapText="1"/>
    </xf>
    <xf numFmtId="176" fontId="13" fillId="0" borderId="4" xfId="0" applyFont="1" applyBorder="1" applyAlignment="1">
      <alignment horizontal="center" vertical="center" wrapText="1"/>
    </xf>
    <xf numFmtId="176" fontId="14" fillId="0" borderId="4" xfId="0" applyFont="1" applyBorder="1" applyAlignment="1">
      <alignment horizontal="center" vertical="center" wrapText="1"/>
    </xf>
    <xf numFmtId="176" fontId="14" fillId="0" borderId="4" xfId="0" applyNumberFormat="1" applyFont="1" applyBorder="1" applyAlignment="1">
      <alignment horizontal="center" vertical="center" wrapText="1"/>
    </xf>
    <xf numFmtId="49" fontId="15" fillId="0" borderId="1" xfId="6" applyNumberFormat="1" applyFont="1" applyFill="1" applyBorder="1" applyAlignment="1">
      <alignment horizontal="center" vertical="center" wrapText="1"/>
    </xf>
    <xf numFmtId="49" fontId="16" fillId="0" borderId="4" xfId="0" applyNumberFormat="1" applyFont="1" applyBorder="1" applyAlignment="1">
      <alignment vertical="center" wrapText="1"/>
    </xf>
    <xf numFmtId="49" fontId="17" fillId="0" borderId="4" xfId="0" applyNumberFormat="1" applyFont="1" applyBorder="1" applyAlignment="1">
      <alignment horizontal="center" vertical="center" wrapText="1"/>
    </xf>
    <xf numFmtId="49" fontId="18" fillId="0" borderId="4" xfId="0" applyNumberFormat="1" applyFont="1" applyBorder="1" applyAlignment="1">
      <alignment horizontal="center" vertical="center" wrapText="1"/>
    </xf>
    <xf numFmtId="49" fontId="15" fillId="0" borderId="1" xfId="6" applyNumberFormat="1" applyFont="1" applyFill="1" applyBorder="1" applyAlignment="1">
      <alignment horizontal="left" vertical="center" wrapText="1"/>
    </xf>
    <xf numFmtId="176" fontId="7" fillId="0" borderId="1" xfId="6" applyNumberFormat="1" applyFont="1" applyBorder="1" applyAlignment="1">
      <alignment horizontal="center" vertical="center"/>
    </xf>
    <xf numFmtId="176" fontId="19" fillId="0" borderId="0" xfId="0" applyFont="1">
      <alignment vertical="center"/>
    </xf>
    <xf numFmtId="176" fontId="20" fillId="0" borderId="0" xfId="0" applyFont="1">
      <alignment vertical="center"/>
    </xf>
    <xf numFmtId="176" fontId="21" fillId="0" borderId="4" xfId="0" applyFont="1" applyBorder="1" applyAlignment="1">
      <alignment vertical="center" wrapText="1"/>
    </xf>
    <xf numFmtId="176" fontId="14" fillId="0" borderId="4" xfId="0" applyFont="1" applyBorder="1" applyAlignment="1">
      <alignment horizontal="left" vertical="center" wrapText="1"/>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0" fontId="33" fillId="0" borderId="0" xfId="10" applyFont="1"/>
    <xf numFmtId="0" fontId="33" fillId="0" borderId="0" xfId="10" applyFont="1" applyAlignment="1">
      <alignment horizontal="center"/>
    </xf>
    <xf numFmtId="0" fontId="35" fillId="0" borderId="0" xfId="11"/>
    <xf numFmtId="0" fontId="37" fillId="0" borderId="0" xfId="12" applyFont="1" applyAlignment="1" applyProtection="1"/>
    <xf numFmtId="0" fontId="35" fillId="0" borderId="0" xfId="10" applyFont="1" applyAlignment="1">
      <alignment horizontal="center"/>
    </xf>
    <xf numFmtId="0" fontId="38" fillId="0" borderId="0" xfId="10" applyFont="1"/>
    <xf numFmtId="0" fontId="33" fillId="0" borderId="0" xfId="10" applyFont="1" applyAlignment="1">
      <alignment horizontal="right" vertical="center"/>
    </xf>
    <xf numFmtId="0" fontId="33" fillId="0" borderId="0" xfId="10" applyFont="1" applyAlignment="1">
      <alignment vertical="center"/>
    </xf>
    <xf numFmtId="0" fontId="33" fillId="7" borderId="6" xfId="10" applyFont="1" applyFill="1" applyBorder="1" applyAlignment="1">
      <alignment vertical="center"/>
    </xf>
    <xf numFmtId="0" fontId="39" fillId="7" borderId="7" xfId="10" applyFont="1" applyFill="1" applyBorder="1" applyAlignment="1">
      <alignment horizontal="center" vertical="center"/>
    </xf>
    <xf numFmtId="177" fontId="39" fillId="7" borderId="7" xfId="10" applyNumberFormat="1" applyFont="1" applyFill="1" applyBorder="1" applyAlignment="1">
      <alignment horizontal="center" vertical="center"/>
    </xf>
    <xf numFmtId="177" fontId="37" fillId="7" borderId="7" xfId="10" applyNumberFormat="1" applyFont="1" applyFill="1" applyBorder="1" applyAlignment="1">
      <alignment horizontal="left" vertical="center"/>
    </xf>
    <xf numFmtId="9" fontId="39" fillId="7" borderId="7" xfId="13" applyFont="1" applyFill="1" applyBorder="1" applyAlignment="1">
      <alignment horizontal="center" vertical="center"/>
    </xf>
    <xf numFmtId="0" fontId="40" fillId="7" borderId="7" xfId="10" applyFont="1" applyFill="1" applyBorder="1" applyAlignment="1">
      <alignment horizontal="center" vertical="center"/>
    </xf>
    <xf numFmtId="0" fontId="40" fillId="7" borderId="7" xfId="10" applyFont="1" applyFill="1" applyBorder="1" applyAlignment="1">
      <alignment horizontal="left" vertical="center" indent="1"/>
    </xf>
    <xf numFmtId="0" fontId="35" fillId="0" borderId="0" xfId="11" applyAlignment="1">
      <alignment wrapText="1"/>
    </xf>
    <xf numFmtId="0" fontId="33" fillId="0" borderId="6" xfId="10" applyFont="1" applyBorder="1" applyAlignment="1">
      <alignment vertical="center"/>
    </xf>
    <xf numFmtId="0" fontId="39" fillId="0" borderId="7" xfId="10" applyFont="1" applyBorder="1" applyAlignment="1">
      <alignment horizontal="center" vertical="center"/>
    </xf>
    <xf numFmtId="178" fontId="33" fillId="0" borderId="7" xfId="14">
      <alignment horizontal="center" vertical="center"/>
    </xf>
    <xf numFmtId="9" fontId="39" fillId="0" borderId="7" xfId="13" applyFont="1" applyBorder="1" applyAlignment="1">
      <alignment horizontal="center" vertical="center"/>
    </xf>
    <xf numFmtId="0" fontId="33" fillId="0" borderId="7" xfId="15">
      <alignment horizontal="center" vertical="center"/>
    </xf>
    <xf numFmtId="0" fontId="33" fillId="0" borderId="7" xfId="16">
      <alignment horizontal="left" vertical="center" indent="2"/>
    </xf>
    <xf numFmtId="0" fontId="41" fillId="8" borderId="5" xfId="17" applyAlignment="1">
      <alignment horizontal="center" vertical="center"/>
    </xf>
    <xf numFmtId="178" fontId="33" fillId="9" borderId="7" xfId="14" applyFill="1">
      <alignment horizontal="center" vertical="center"/>
    </xf>
    <xf numFmtId="9" fontId="39" fillId="9" borderId="7" xfId="13" applyFont="1" applyFill="1" applyBorder="1" applyAlignment="1">
      <alignment horizontal="center" vertical="center"/>
    </xf>
    <xf numFmtId="0" fontId="33" fillId="9" borderId="7" xfId="15" applyFill="1">
      <alignment horizontal="center" vertical="center"/>
    </xf>
    <xf numFmtId="0" fontId="33" fillId="9" borderId="7" xfId="16" applyFill="1">
      <alignment horizontal="left" vertical="center" indent="2"/>
    </xf>
    <xf numFmtId="178" fontId="0" fillId="9" borderId="7" xfId="14" applyFont="1" applyFill="1">
      <alignment horizontal="center" vertical="center"/>
    </xf>
    <xf numFmtId="178" fontId="39" fillId="6" borderId="7" xfId="10" applyNumberFormat="1" applyFont="1" applyFill="1" applyBorder="1" applyAlignment="1">
      <alignment horizontal="center" vertical="center"/>
    </xf>
    <xf numFmtId="178" fontId="33" fillId="6" borderId="7" xfId="10" applyNumberFormat="1" applyFont="1" applyFill="1" applyBorder="1" applyAlignment="1">
      <alignment horizontal="center" vertical="center"/>
    </xf>
    <xf numFmtId="9" fontId="39" fillId="6" borderId="7" xfId="13" applyFont="1" applyFill="1" applyBorder="1" applyAlignment="1">
      <alignment horizontal="center" vertical="center"/>
    </xf>
    <xf numFmtId="0" fontId="33" fillId="6" borderId="7" xfId="15" applyFill="1">
      <alignment horizontal="center" vertical="center"/>
    </xf>
    <xf numFmtId="0" fontId="43" fillId="6" borderId="7" xfId="10" applyFont="1" applyFill="1" applyBorder="1" applyAlignment="1">
      <alignment horizontal="left" vertical="center" indent="1"/>
    </xf>
    <xf numFmtId="178" fontId="33" fillId="10" borderId="7" xfId="14" applyFill="1">
      <alignment horizontal="center" vertical="center"/>
    </xf>
    <xf numFmtId="9" fontId="39" fillId="10" borderId="7" xfId="13" applyFont="1" applyFill="1" applyBorder="1" applyAlignment="1">
      <alignment horizontal="center" vertical="center"/>
    </xf>
    <xf numFmtId="0" fontId="33" fillId="10" borderId="7" xfId="15" applyFill="1">
      <alignment horizontal="center" vertical="center"/>
    </xf>
    <xf numFmtId="0" fontId="33" fillId="10" borderId="7" xfId="16" applyFill="1">
      <alignment horizontal="left" vertical="center" indent="2"/>
    </xf>
    <xf numFmtId="178" fontId="39" fillId="4" borderId="7" xfId="10" applyNumberFormat="1" applyFont="1" applyFill="1" applyBorder="1" applyAlignment="1">
      <alignment horizontal="center" vertical="center"/>
    </xf>
    <xf numFmtId="178" fontId="33" fillId="4" borderId="7" xfId="10" applyNumberFormat="1" applyFont="1" applyFill="1" applyBorder="1" applyAlignment="1">
      <alignment horizontal="center" vertical="center"/>
    </xf>
    <xf numFmtId="9" fontId="39" fillId="4" borderId="7" xfId="13" applyFont="1" applyFill="1" applyBorder="1" applyAlignment="1">
      <alignment horizontal="center" vertical="center"/>
    </xf>
    <xf numFmtId="0" fontId="33" fillId="4" borderId="7" xfId="15" applyFill="1">
      <alignment horizontal="center" vertical="center"/>
    </xf>
    <xf numFmtId="0" fontId="43" fillId="4" borderId="7" xfId="10" applyFont="1" applyFill="1" applyBorder="1" applyAlignment="1">
      <alignment horizontal="left" vertical="center" indent="1"/>
    </xf>
    <xf numFmtId="178" fontId="33" fillId="11" borderId="7" xfId="14" applyFill="1">
      <alignment horizontal="center" vertical="center"/>
    </xf>
    <xf numFmtId="9" fontId="39" fillId="11" borderId="7" xfId="13" applyFont="1" applyFill="1" applyBorder="1" applyAlignment="1">
      <alignment horizontal="center" vertical="center"/>
    </xf>
    <xf numFmtId="0" fontId="33" fillId="11" borderId="7" xfId="16" applyFill="1">
      <alignment horizontal="left" vertical="center" indent="2"/>
    </xf>
    <xf numFmtId="0" fontId="41" fillId="8" borderId="5" xfId="17" applyAlignment="1">
      <alignment horizontal="center" vertical="center" wrapText="1"/>
    </xf>
    <xf numFmtId="0" fontId="33" fillId="0" borderId="6" xfId="10" applyFont="1" applyBorder="1" applyAlignment="1">
      <alignment horizontal="right" vertical="center"/>
    </xf>
    <xf numFmtId="178" fontId="39" fillId="3" borderId="7" xfId="10" applyNumberFormat="1" applyFont="1" applyFill="1" applyBorder="1" applyAlignment="1">
      <alignment horizontal="center" vertical="center"/>
    </xf>
    <xf numFmtId="178" fontId="33" fillId="3" borderId="7" xfId="10" applyNumberFormat="1" applyFont="1" applyFill="1" applyBorder="1" applyAlignment="1">
      <alignment horizontal="center" vertical="center"/>
    </xf>
    <xf numFmtId="9" fontId="39" fillId="3" borderId="7" xfId="13" applyFont="1" applyFill="1" applyBorder="1" applyAlignment="1">
      <alignment horizontal="center" vertical="center"/>
    </xf>
    <xf numFmtId="0" fontId="33" fillId="3" borderId="7" xfId="15" applyFill="1">
      <alignment horizontal="center" vertical="center"/>
    </xf>
    <xf numFmtId="0" fontId="43" fillId="3" borderId="7" xfId="10" applyFont="1" applyFill="1" applyBorder="1" applyAlignment="1">
      <alignment horizontal="left" vertical="center" indent="1"/>
    </xf>
    <xf numFmtId="178" fontId="33" fillId="12" borderId="7" xfId="14" applyFill="1">
      <alignment horizontal="center" vertical="center"/>
    </xf>
    <xf numFmtId="9" fontId="39" fillId="12" borderId="7" xfId="13" applyFont="1" applyFill="1" applyBorder="1" applyAlignment="1">
      <alignment horizontal="center" vertical="center"/>
    </xf>
    <xf numFmtId="0" fontId="33" fillId="12" borderId="7" xfId="15" applyFill="1">
      <alignment horizontal="center" vertical="center"/>
    </xf>
    <xf numFmtId="0" fontId="33" fillId="12" borderId="7" xfId="16" applyFill="1">
      <alignment horizontal="left" vertical="center" indent="2"/>
    </xf>
    <xf numFmtId="178" fontId="39" fillId="5" borderId="7" xfId="10" applyNumberFormat="1" applyFont="1" applyFill="1" applyBorder="1" applyAlignment="1">
      <alignment horizontal="center" vertical="center"/>
    </xf>
    <xf numFmtId="178" fontId="33" fillId="5" borderId="7" xfId="10" applyNumberFormat="1" applyFont="1" applyFill="1" applyBorder="1" applyAlignment="1">
      <alignment horizontal="center" vertical="center"/>
    </xf>
    <xf numFmtId="9" fontId="39" fillId="5" borderId="7" xfId="13" applyFont="1" applyFill="1" applyBorder="1" applyAlignment="1">
      <alignment horizontal="center" vertical="center"/>
    </xf>
    <xf numFmtId="0" fontId="33" fillId="5" borderId="7" xfId="15" applyFill="1">
      <alignment horizontal="center" vertical="center"/>
    </xf>
    <xf numFmtId="0" fontId="43" fillId="5" borderId="7" xfId="10" applyFont="1" applyFill="1" applyBorder="1" applyAlignment="1">
      <alignment horizontal="left" vertical="center" indent="1"/>
    </xf>
    <xf numFmtId="0" fontId="33" fillId="0" borderId="0" xfId="10" applyFont="1" applyAlignment="1">
      <alignment wrapText="1"/>
    </xf>
    <xf numFmtId="0" fontId="44" fillId="13" borderId="8" xfId="10" applyFont="1" applyFill="1" applyBorder="1" applyAlignment="1">
      <alignment horizontal="center" vertical="center" shrinkToFit="1"/>
    </xf>
    <xf numFmtId="0" fontId="45" fillId="14" borderId="0" xfId="10" applyFont="1" applyFill="1" applyBorder="1" applyAlignment="1">
      <alignment horizontal="center" vertical="center" wrapText="1"/>
    </xf>
    <xf numFmtId="0" fontId="45" fillId="14" borderId="9" xfId="10" applyFont="1" applyFill="1" applyBorder="1" applyAlignment="1">
      <alignment horizontal="center" vertical="center" wrapText="1"/>
    </xf>
    <xf numFmtId="0" fontId="45" fillId="14" borderId="9" xfId="10" applyFont="1" applyFill="1" applyBorder="1" applyAlignment="1">
      <alignment horizontal="left" vertical="center" indent="1"/>
    </xf>
    <xf numFmtId="179" fontId="42" fillId="15" borderId="10" xfId="10" applyNumberFormat="1" applyFont="1" applyFill="1" applyBorder="1" applyAlignment="1">
      <alignment horizontal="center" vertical="center"/>
    </xf>
    <xf numFmtId="179" fontId="42" fillId="15" borderId="0" xfId="10" applyNumberFormat="1" applyFont="1" applyFill="1" applyAlignment="1">
      <alignment horizontal="center" vertical="center"/>
    </xf>
    <xf numFmtId="179" fontId="42" fillId="15" borderId="11" xfId="10" applyNumberFormat="1" applyFont="1" applyFill="1" applyBorder="1" applyAlignment="1">
      <alignment horizontal="center" vertical="center"/>
    </xf>
    <xf numFmtId="0" fontId="33" fillId="0" borderId="15" xfId="10" applyFont="1" applyBorder="1" applyAlignment="1">
      <alignment horizontal="center" vertical="center"/>
    </xf>
    <xf numFmtId="0" fontId="46" fillId="0" borderId="0" xfId="20">
      <alignment vertical="top"/>
    </xf>
    <xf numFmtId="0" fontId="37" fillId="0" borderId="0" xfId="12" applyFont="1" applyProtection="1">
      <alignment vertical="top"/>
    </xf>
    <xf numFmtId="0" fontId="46" fillId="0" borderId="0" xfId="21"/>
    <xf numFmtId="0" fontId="47" fillId="0" borderId="0" xfId="10" applyFont="1"/>
    <xf numFmtId="0" fontId="47" fillId="0" borderId="0" xfId="10" applyFont="1" applyAlignment="1">
      <alignment horizontal="center" vertical="center"/>
    </xf>
    <xf numFmtId="0" fontId="47" fillId="0" borderId="0" xfId="10" applyFont="1" applyAlignment="1">
      <alignment horizontal="center"/>
    </xf>
    <xf numFmtId="0" fontId="48" fillId="0" borderId="0" xfId="10" applyFont="1" applyAlignment="1">
      <alignment horizontal="left"/>
    </xf>
    <xf numFmtId="0" fontId="49" fillId="0" borderId="0" xfId="22" applyAlignment="1">
      <alignment horizontal="left"/>
    </xf>
    <xf numFmtId="178" fontId="24" fillId="9" borderId="7" xfId="14" applyFont="1" applyFill="1">
      <alignment horizontal="center" vertical="center"/>
    </xf>
    <xf numFmtId="0" fontId="50" fillId="0" borderId="0" xfId="10" applyFont="1"/>
    <xf numFmtId="0" fontId="37" fillId="18" borderId="0" xfId="28" applyFont="1">
      <alignment vertical="center"/>
    </xf>
    <xf numFmtId="0" fontId="37" fillId="20" borderId="0" xfId="28" applyNumberFormat="1" applyFont="1" applyFill="1">
      <alignment vertical="center"/>
    </xf>
    <xf numFmtId="0" fontId="37" fillId="20" borderId="0" xfId="28" applyNumberFormat="1" applyFont="1" applyFill="1" applyAlignment="1">
      <alignment horizontal="center" vertical="center"/>
    </xf>
    <xf numFmtId="0" fontId="37" fillId="20" borderId="0" xfId="28" applyFont="1" applyFill="1" applyAlignment="1">
      <alignment horizontal="left" vertical="center" indent="2"/>
    </xf>
    <xf numFmtId="14" fontId="37" fillId="20" borderId="0" xfId="28" applyNumberFormat="1" applyFont="1" applyFill="1" applyAlignment="1">
      <alignment horizontal="left" vertical="center" indent="2"/>
    </xf>
    <xf numFmtId="0" fontId="43" fillId="18" borderId="0" xfId="28" applyFont="1">
      <alignment vertical="center"/>
    </xf>
    <xf numFmtId="0" fontId="37" fillId="20" borderId="0" xfId="28" applyFont="1" applyFill="1" applyAlignment="1">
      <alignment horizontal="center" vertical="center"/>
    </xf>
    <xf numFmtId="0" fontId="37" fillId="18" borderId="0" xfId="28" applyFont="1" applyAlignment="1">
      <alignment horizontal="left"/>
    </xf>
    <xf numFmtId="0" fontId="37" fillId="18" borderId="0" xfId="28" applyFont="1" applyAlignment="1">
      <alignment horizontal="center"/>
    </xf>
    <xf numFmtId="0" fontId="37" fillId="20" borderId="0" xfId="28" applyFont="1" applyFill="1">
      <alignment vertical="center"/>
    </xf>
    <xf numFmtId="14" fontId="37" fillId="18" borderId="0" xfId="28" applyNumberFormat="1" applyFont="1">
      <alignment vertical="center"/>
    </xf>
    <xf numFmtId="0" fontId="58" fillId="20" borderId="16" xfId="28" applyFont="1" applyFill="1" applyBorder="1" applyAlignment="1">
      <alignment horizontal="center" vertical="center"/>
    </xf>
    <xf numFmtId="0" fontId="58" fillId="20" borderId="16" xfId="28" applyFont="1" applyFill="1" applyBorder="1" applyAlignment="1">
      <alignment horizontal="left" vertical="center" indent="2"/>
    </xf>
    <xf numFmtId="0" fontId="37" fillId="19" borderId="17" xfId="28" applyFont="1" applyFill="1" applyBorder="1">
      <alignment vertical="center"/>
    </xf>
    <xf numFmtId="0" fontId="37" fillId="19" borderId="18" xfId="28" applyFont="1" applyFill="1" applyBorder="1">
      <alignment vertical="center"/>
    </xf>
    <xf numFmtId="0" fontId="59" fillId="19" borderId="19" xfId="29" applyFont="1" applyFill="1" applyBorder="1" applyAlignment="1">
      <alignment horizontal="left" vertical="center" indent="1"/>
    </xf>
    <xf numFmtId="0" fontId="37" fillId="19" borderId="0" xfId="28" applyFont="1" applyFill="1">
      <alignment vertical="center"/>
    </xf>
    <xf numFmtId="0" fontId="60" fillId="19" borderId="0" xfId="30" applyFont="1" applyAlignment="1">
      <alignment vertical="center"/>
    </xf>
    <xf numFmtId="0" fontId="58" fillId="19" borderId="0" xfId="31" applyFont="1" applyAlignment="1"/>
    <xf numFmtId="0" fontId="37" fillId="20" borderId="0" xfId="28" applyFont="1" applyFill="1" applyAlignment="1">
      <alignment horizontal="left" vertical="center" wrapText="1" indent="2"/>
    </xf>
    <xf numFmtId="181" fontId="37" fillId="20" borderId="0" xfId="28" applyNumberFormat="1" applyFont="1" applyFill="1" applyAlignment="1">
      <alignment horizontal="left" vertical="center" indent="2"/>
    </xf>
    <xf numFmtId="0" fontId="37" fillId="20" borderId="0" xfId="28" applyNumberFormat="1" applyFont="1" applyFill="1" applyAlignment="1">
      <alignment horizontal="left" vertical="center" indent="2"/>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9" fillId="0" borderId="1" xfId="6" applyNumberFormat="1" applyFont="1" applyFill="1" applyBorder="1" applyAlignment="1">
      <alignment horizontal="left" vertical="center" wrapText="1"/>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xf numFmtId="176" fontId="2" fillId="0" borderId="1" xfId="4" applyFont="1" applyBorder="1" applyAlignment="1">
      <alignment vertical="center"/>
    </xf>
    <xf numFmtId="176" fontId="4" fillId="0" borderId="0" xfId="6" applyNumberFormat="1" applyFont="1" applyBorder="1" applyAlignment="1" applyProtection="1">
      <alignment horizontal="center" vertical="center" wrapText="1"/>
    </xf>
    <xf numFmtId="176" fontId="5" fillId="0" borderId="0" xfId="6" applyNumberFormat="1" applyFont="1" applyFill="1" applyBorder="1" applyAlignment="1">
      <alignment horizontal="center" vertical="center" wrapText="1"/>
    </xf>
    <xf numFmtId="31" fontId="33" fillId="15" borderId="14" xfId="10" applyNumberFormat="1" applyFont="1" applyFill="1" applyBorder="1" applyAlignment="1">
      <alignment horizontal="left" vertical="center" wrapText="1" indent="1"/>
    </xf>
    <xf numFmtId="31" fontId="33" fillId="15" borderId="9" xfId="10" applyNumberFormat="1" applyFont="1" applyFill="1" applyBorder="1" applyAlignment="1">
      <alignment horizontal="left" vertical="center" wrapText="1" indent="1"/>
    </xf>
    <xf numFmtId="31" fontId="33" fillId="15" borderId="13" xfId="10" applyNumberFormat="1" applyFont="1" applyFill="1" applyBorder="1" applyAlignment="1">
      <alignment horizontal="left" vertical="center" wrapText="1" indent="1"/>
    </xf>
    <xf numFmtId="180" fontId="33" fillId="0" borderId="15" xfId="19">
      <alignment horizontal="center" vertical="center"/>
    </xf>
    <xf numFmtId="0" fontId="33" fillId="0" borderId="0" xfId="18">
      <alignment horizontal="right" indent="1"/>
    </xf>
    <xf numFmtId="0" fontId="33" fillId="0" borderId="10" xfId="18" applyBorder="1">
      <alignment horizontal="right" indent="1"/>
    </xf>
    <xf numFmtId="0" fontId="33" fillId="0" borderId="12" xfId="10" applyFont="1" applyBorder="1"/>
    <xf numFmtId="176" fontId="7" fillId="0" borderId="3" xfId="6" applyNumberFormat="1" applyFont="1" applyBorder="1" applyAlignment="1">
      <alignment horizontal="center" vertical="center"/>
    </xf>
    <xf numFmtId="176" fontId="7" fillId="0" borderId="0" xfId="6" applyNumberFormat="1" applyFont="1" applyBorder="1" applyAlignment="1">
      <alignment horizontal="center" vertical="center"/>
    </xf>
  </cellXfs>
  <cellStyles count="32">
    <cellStyle name="0,0_x000d__x000a_NA_x000d__x000a_" xfId="1"/>
    <cellStyle name="Normal_Classeur2_Sample Survey" xfId="5"/>
    <cellStyle name="z隐藏图表文本" xfId="26"/>
    <cellStyle name="z隐藏文本" xfId="11"/>
    <cellStyle name="百分比 2" xfId="13"/>
    <cellStyle name="标题 1 2" xfId="25"/>
    <cellStyle name="标题 1 2 2" xfId="29"/>
    <cellStyle name="标题 1 3" xfId="21"/>
    <cellStyle name="标题 2 2" xfId="31"/>
    <cellStyle name="标题 2 3" xfId="20"/>
    <cellStyle name="标题 3 2" xfId="27"/>
    <cellStyle name="标题 3 3" xfId="18"/>
    <cellStyle name="标题 5" xfId="30"/>
    <cellStyle name="标题 6" xfId="22"/>
    <cellStyle name="常规" xfId="0" builtinId="0"/>
    <cellStyle name="常规 2" xfId="6"/>
    <cellStyle name="常规 2 2" xfId="3"/>
    <cellStyle name="常规 2 3" xfId="4"/>
    <cellStyle name="常规 2 4" xfId="28"/>
    <cellStyle name="常规 3" xfId="7"/>
    <cellStyle name="常规 3 2" xfId="2"/>
    <cellStyle name="常规 4" xfId="8"/>
    <cellStyle name="常规 5" xfId="9"/>
    <cellStyle name="常规 7" xfId="10"/>
    <cellStyle name="超链接 2" xfId="12"/>
    <cellStyle name="千位分隔 2" xfId="24"/>
    <cellStyle name="任务" xfId="16"/>
    <cellStyle name="日期" xfId="14"/>
    <cellStyle name="日期 2" xfId="23"/>
    <cellStyle name="输出 2" xfId="17"/>
    <cellStyle name="项目开始" xfId="19"/>
    <cellStyle name="姓名" xfId="15"/>
  </cellStyles>
  <dxfs count="393">
    <dxf>
      <font>
        <strike val="0"/>
        <outline val="0"/>
        <shadow val="0"/>
        <u val="none"/>
        <vertAlign val="baseline"/>
        <name val="Microsoft YaHei UI"/>
        <scheme val="none"/>
      </font>
      <fill>
        <patternFill patternType="solid">
          <fgColor indexed="64"/>
          <bgColor theme="0"/>
        </patternFill>
      </fill>
      <alignment horizontal="left" vertical="center" textRotation="0" wrapText="0" indent="2" justifyLastLine="0" shrinkToFit="0" readingOrder="0"/>
    </dxf>
    <dxf>
      <font>
        <strike val="0"/>
        <outline val="0"/>
        <shadow val="0"/>
        <u val="none"/>
        <vertAlign val="baseline"/>
        <name val="Microsoft YaHei UI"/>
        <scheme val="none"/>
      </font>
      <numFmt numFmtId="181" formatCode="dd/mm/yyyy"/>
      <fill>
        <patternFill patternType="solid">
          <fgColor indexed="64"/>
          <bgColor theme="0"/>
        </patternFill>
      </fill>
      <alignment horizontal="left" vertical="center" textRotation="0" wrapText="0" indent="2" justifyLastLine="0" shrinkToFit="0" readingOrder="0"/>
    </dxf>
    <dxf>
      <font>
        <b/>
        <i val="0"/>
        <strike val="0"/>
        <outline val="0"/>
        <shadow val="0"/>
        <u val="none"/>
        <vertAlign val="baseline"/>
        <color theme="5"/>
        <name val="Microsoft YaHei UI"/>
        <scheme val="none"/>
      </font>
      <fill>
        <patternFill patternType="solid">
          <fgColor indexed="64"/>
          <bgColor theme="0"/>
        </patternFill>
      </fill>
      <alignment horizontal="left" vertical="center" textRotation="0" wrapText="0" indent="2" justifyLastLine="0" shrinkToFit="0" readingOrder="0"/>
      <border outline="0">
        <left/>
        <right/>
        <bottom style="medium">
          <color theme="1" tint="0.499984740745262"/>
        </bottom>
      </border>
    </dxf>
    <dxf>
      <font>
        <strike val="0"/>
        <outline val="0"/>
        <shadow val="0"/>
        <u val="none"/>
        <vertAlign val="baseline"/>
        <name val="Microsoft YaHei UI"/>
        <scheme val="none"/>
      </font>
      <fill>
        <patternFill patternType="solid">
          <fgColor indexed="64"/>
          <bgColor theme="0"/>
        </patternFill>
      </fill>
      <border outline="0">
        <left style="thick">
          <color theme="3"/>
        </left>
        <right/>
        <top style="thick">
          <color theme="3"/>
        </top>
        <bottom style="thick">
          <color theme="3"/>
        </bottom>
      </border>
    </dxf>
    <dxf>
      <font>
        <strike val="0"/>
        <outline val="0"/>
        <shadow val="0"/>
        <u val="none"/>
        <vertAlign val="baseline"/>
        <name val="Microsoft YaHei UI"/>
        <scheme val="none"/>
      </font>
    </dxf>
    <dxf>
      <font>
        <strike val="0"/>
        <outline val="0"/>
        <shadow val="0"/>
        <u val="none"/>
        <vertAlign val="baseline"/>
        <name val="Microsoft YaHei UI"/>
        <scheme val="none"/>
      </font>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ill>
        <patternFill patternType="solid">
          <fgColor theme="5" tint="0.79992065187536243"/>
          <bgColor theme="8" tint="0.79998168889431442"/>
        </patternFill>
      </fill>
    </dxf>
    <dxf>
      <font>
        <color theme="8" tint="-0.499984740745262"/>
      </font>
      <border>
        <bottom style="thin">
          <color theme="8"/>
        </bottom>
      </border>
    </dxf>
    <dxf>
      <font>
        <b val="0"/>
        <i val="0"/>
        <color theme="8" tint="-0.499984740745262"/>
      </font>
      <border>
        <top style="thin">
          <color theme="8"/>
        </top>
        <bottom style="thin">
          <color theme="8"/>
        </bottom>
      </border>
    </dxf>
  </dxfs>
  <tableStyles count="2" defaultTableStyle="TableStyleMedium2" defaultPivotStyle="PivotStyleLight16">
    <tableStyle name="Project Timeline" pivot="0" count="0"/>
    <tableStyle name="产品路线图表格样式" pivot="0" count="3">
      <tableStyleElement type="wholeTable" dxfId="392"/>
      <tableStyleElement type="headerRow" dxfId="391"/>
      <tableStyleElement type="firstRowStripe" dxfId="390"/>
    </tableStyle>
  </tableStyles>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399339658514423E-2"/>
          <c:y val="3.9426523297491037E-2"/>
          <c:w val="0.87774435881027235"/>
          <c:h val="0.92114695340501795"/>
        </c:manualLayout>
      </c:layout>
      <c:barChart>
        <c:barDir val="col"/>
        <c:grouping val="clustered"/>
        <c:varyColors val="0"/>
        <c:ser>
          <c:idx val="1"/>
          <c:order val="1"/>
          <c:tx>
            <c:strRef>
              <c:f>项目时间表!$D$19</c:f>
              <c:strCache>
                <c:ptCount val="1"/>
                <c:pt idx="0">
                  <c:v>位置</c:v>
                </c:pt>
              </c:strCache>
            </c:strRef>
          </c:tx>
          <c:spPr>
            <a:noFill/>
          </c:spPr>
          <c:invertIfNegative val="0"/>
          <c:dLbls>
            <c:dLbl>
              <c:idx val="0"/>
              <c:layout>
                <c:manualLayout>
                  <c:x val="-1.23463193537377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0-63AB-4D1B-93DB-CF5F5510F610}"/>
                </c:ext>
              </c:extLst>
            </c:dLbl>
            <c:dLbl>
              <c:idx val="1"/>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1-63AB-4D1B-93DB-CF5F5510F610}"/>
                </c:ext>
              </c:extLst>
            </c:dLbl>
            <c:dLbl>
              <c:idx val="2"/>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2-63AB-4D1B-93DB-CF5F5510F610}"/>
                </c:ext>
              </c:extLst>
            </c:dLbl>
            <c:dLbl>
              <c:idx val="3"/>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3-63AB-4D1B-93DB-CF5F5510F610}"/>
                </c:ext>
              </c:extLst>
            </c:dLbl>
            <c:dLbl>
              <c:idx val="4"/>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4-63AB-4D1B-93DB-CF5F5510F610}"/>
                </c:ext>
              </c:extLst>
            </c:dLbl>
            <c:dLbl>
              <c:idx val="5"/>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5-63AB-4D1B-93DB-CF5F5510F610}"/>
                </c:ext>
              </c:extLst>
            </c:dLbl>
            <c:dLbl>
              <c:idx val="6"/>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6-63AB-4D1B-93DB-CF5F5510F610}"/>
                </c:ext>
              </c:extLst>
            </c:dLbl>
            <c:dLbl>
              <c:idx val="7"/>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7-63AB-4D1B-93DB-CF5F5510F610}"/>
                </c:ext>
              </c:extLst>
            </c:dLbl>
            <c:dLbl>
              <c:idx val="8"/>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8-63AB-4D1B-93DB-CF5F5510F610}"/>
                </c:ext>
              </c:extLst>
            </c:dLbl>
            <c:dLbl>
              <c:idx val="9"/>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9-63AB-4D1B-93DB-CF5F5510F610}"/>
                </c:ext>
              </c:extLst>
            </c:dLbl>
            <c:dLbl>
              <c:idx val="10"/>
              <c:layout>
                <c:manualLayout>
                  <c:x val="-1.8656660356759235E-16"/>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A-63AB-4D1B-93DB-CF5F5510F610}"/>
                </c:ext>
              </c:extLst>
            </c:dLbl>
            <c:dLbl>
              <c:idx val="11"/>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B-63AB-4D1B-93DB-CF5F5510F610}"/>
                </c:ext>
              </c:extLst>
            </c:dLbl>
            <c:spPr>
              <a:solidFill>
                <a:schemeClr val="bg2"/>
              </a:solidFill>
              <a:ln>
                <a:noFill/>
              </a:ln>
              <a:effectLst/>
            </c:spPr>
            <c:txPr>
              <a:bodyPr vertOverflow="overflow" horzOverflow="overflow" wrap="square" lIns="38100" tIns="19050" rIns="38100" bIns="19050" anchor="ctr">
                <a:noAutofit/>
              </a:bodyPr>
              <a:lstStyle/>
              <a:p>
                <a:pPr>
                  <a:defRPr sz="900" cap="all" spc="10" baseline="0">
                    <a:solidFill>
                      <a:schemeClr val="accent2"/>
                    </a:solidFill>
                    <a:latin typeface="Microsoft YaHei UI" panose="020B0503020204020204" pitchFamily="34" charset="-122"/>
                    <a:ea typeface="Microsoft YaHei UI" panose="020B0503020204020204" pitchFamily="34" charset="-122"/>
                  </a:defRPr>
                </a:pPr>
                <a:endParaRPr lang="zh-CN"/>
              </a:p>
            </c:txPr>
            <c:dLblPos val="outEnd"/>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errBars>
            <c:errBarType val="minus"/>
            <c:errValType val="percentage"/>
            <c:noEndCap val="0"/>
            <c:val val="100"/>
            <c:spPr>
              <a:ln>
                <a:solidFill>
                  <a:schemeClr val="bg1">
                    <a:lumMod val="75000"/>
                  </a:schemeClr>
                </a:solidFill>
              </a:ln>
            </c:spPr>
          </c:errBars>
          <c:cat>
            <c:strRef>
              <c:f>项目时间表!$C$20:$C$43</c:f>
              <c:strCache>
                <c:ptCount val="20"/>
                <c:pt idx="0">
                  <c:v>SDK启动</c:v>
                </c:pt>
                <c:pt idx="1">
                  <c:v>SDK基础数据结构达到60%成熟度</c:v>
                </c:pt>
                <c:pt idx="2">
                  <c:v>OpenGL渲染基础达成
成熟度50%</c:v>
                </c:pt>
                <c:pt idx="3">
                  <c:v>媒体相关：动画，画刷达60%成熟度</c:v>
                </c:pt>
                <c:pt idx="4">
                  <c:v>高级用户接口GUI准备好基础类型搭建</c:v>
                </c:pt>
                <c:pt idx="5">
                  <c:v>控件成熟度50%
&gt;常用控件
&gt;模板应用</c:v>
                </c:pt>
                <c:pt idx="6">
                  <c:v>Studio项目启动</c:v>
                </c:pt>
                <c:pt idx="7">
                  <c:v>与Studio通信的基础RPC框架可用</c:v>
                </c:pt>
                <c:pt idx="8">
                  <c:v>常用控件成熟度60%，Studio完成基本静态布局</c:v>
                </c:pt>
                <c:pt idx="9">
                  <c:v>插件机制基本完善</c:v>
                </c:pt>
                <c:pt idx="10">
                  <c:v>Studio可进行较为完整的工程设计，成熟度50%</c:v>
                </c:pt>
                <c:pt idx="11">
                  <c:v>提升SDK成熟度，
进行结构整合与调整</c:v>
                </c:pt>
                <c:pt idx="12">
                  <c:v>SDK成熟度80%</c:v>
                </c:pt>
                <c:pt idx="13">
                  <c:v>Studio成熟度70%，
包含导出，资源加载部分
序列化</c:v>
                </c:pt>
                <c:pt idx="14">
                  <c:v>第一个ADAS或ID项目demo</c:v>
                </c:pt>
                <c:pt idx="15">
                  <c:v>第一次SDK优化</c:v>
                </c:pt>
                <c:pt idx="16">
                  <c:v>第二个demo项目</c:v>
                </c:pt>
                <c:pt idx="17">
                  <c:v>多国语言与本地化</c:v>
                </c:pt>
                <c:pt idx="18">
                  <c:v>多主题支持</c:v>
                </c:pt>
                <c:pt idx="19">
                  <c:v>第二次优化</c:v>
                </c:pt>
              </c:strCache>
            </c:strRef>
          </c:cat>
          <c:val>
            <c:numRef>
              <c:f>项目时间表!$D$20:$D$43</c:f>
              <c:numCache>
                <c:formatCode>General</c:formatCode>
                <c:ptCount val="24"/>
                <c:pt idx="0">
                  <c:v>30</c:v>
                </c:pt>
                <c:pt idx="1">
                  <c:v>-25</c:v>
                </c:pt>
                <c:pt idx="2">
                  <c:v>5</c:v>
                </c:pt>
                <c:pt idx="3">
                  <c:v>-15</c:v>
                </c:pt>
                <c:pt idx="4">
                  <c:v>20</c:v>
                </c:pt>
                <c:pt idx="5">
                  <c:v>-30</c:v>
                </c:pt>
                <c:pt idx="6">
                  <c:v>10</c:v>
                </c:pt>
                <c:pt idx="7">
                  <c:v>-15</c:v>
                </c:pt>
                <c:pt idx="8">
                  <c:v>20</c:v>
                </c:pt>
                <c:pt idx="9">
                  <c:v>-25</c:v>
                </c:pt>
                <c:pt idx="10">
                  <c:v>30</c:v>
                </c:pt>
                <c:pt idx="11">
                  <c:v>-25</c:v>
                </c:pt>
                <c:pt idx="12">
                  <c:v>-10</c:v>
                </c:pt>
                <c:pt idx="13">
                  <c:v>10</c:v>
                </c:pt>
                <c:pt idx="14">
                  <c:v>-25</c:v>
                </c:pt>
                <c:pt idx="15">
                  <c:v>30</c:v>
                </c:pt>
                <c:pt idx="16">
                  <c:v>-15</c:v>
                </c:pt>
                <c:pt idx="17">
                  <c:v>5</c:v>
                </c:pt>
                <c:pt idx="18">
                  <c:v>-25</c:v>
                </c:pt>
                <c:pt idx="19">
                  <c:v>15</c:v>
                </c:pt>
              </c:numCache>
            </c:numRef>
          </c:val>
          <c:extLst>
            <c:ext xmlns:c16="http://schemas.microsoft.com/office/drawing/2014/chart" uri="{C3380CC4-5D6E-409C-BE32-E72D297353CC}">
              <c16:uniqueId val="{0000000C-63AB-4D1B-93DB-CF5F5510F610}"/>
            </c:ext>
          </c:extLst>
        </c:ser>
        <c:dLbls>
          <c:showLegendKey val="0"/>
          <c:showVal val="0"/>
          <c:showCatName val="0"/>
          <c:showSerName val="0"/>
          <c:showPercent val="0"/>
          <c:showBubbleSize val="0"/>
        </c:dLbls>
        <c:gapWidth val="150"/>
        <c:axId val="126011792"/>
        <c:axId val="126011232"/>
      </c:barChart>
      <c:lineChart>
        <c:grouping val="standard"/>
        <c:varyColors val="0"/>
        <c:ser>
          <c:idx val="0"/>
          <c:order val="0"/>
          <c:tx>
            <c:strRef>
              <c:f>项目时间表!$B$19</c:f>
              <c:strCache>
                <c:ptCount val="1"/>
                <c:pt idx="0">
                  <c:v>日期</c:v>
                </c:pt>
              </c:strCache>
            </c:strRef>
          </c:tx>
          <c:spPr>
            <a:ln>
              <a:noFill/>
            </a:ln>
          </c:spPr>
          <c:marker>
            <c:symbol val="circle"/>
            <c:size val="4"/>
            <c:spPr>
              <a:solidFill>
                <a:schemeClr val="accent1"/>
              </a:solidFill>
              <a:ln w="60325">
                <a:solidFill>
                  <a:schemeClr val="accent1"/>
                </a:solidFill>
              </a:ln>
            </c:spPr>
          </c:marker>
          <c:errBars>
            <c:errDir val="y"/>
            <c:errBarType val="both"/>
            <c:errValType val="percentage"/>
            <c:noEndCap val="0"/>
            <c:val val="5"/>
          </c:errBars>
          <c:cat>
            <c:strRef>
              <c:f>项目时间表!$B$20:$B$43</c:f>
              <c:strCache>
                <c:ptCount val="20"/>
                <c:pt idx="0">
                  <c:v>2019-7-1</c:v>
                </c:pt>
                <c:pt idx="1">
                  <c:v>2019-9-19</c:v>
                </c:pt>
                <c:pt idx="2">
                  <c:v>2019-10-29</c:v>
                </c:pt>
                <c:pt idx="3">
                  <c:v>2019-12-8</c:v>
                </c:pt>
                <c:pt idx="4">
                  <c:v>2020-1-17</c:v>
                </c:pt>
                <c:pt idx="5">
                  <c:v>2020-3-17</c:v>
                </c:pt>
                <c:pt idx="6">
                  <c:v>2020-4-1</c:v>
                </c:pt>
                <c:pt idx="7">
                  <c:v>2020-4-26</c:v>
                </c:pt>
                <c:pt idx="8">
                  <c:v>2020-5-15</c:v>
                </c:pt>
                <c:pt idx="9">
                  <c:v>2020-6-13</c:v>
                </c:pt>
                <c:pt idx="10">
                  <c:v>2020-8-1</c:v>
                </c:pt>
                <c:pt idx="11">
                  <c:v>2020-9-1</c:v>
                </c:pt>
                <c:pt idx="12">
                  <c:v>2020-10-23</c:v>
                </c:pt>
                <c:pt idx="13">
                  <c:v>2020-11-30</c:v>
                </c:pt>
                <c:pt idx="14">
                  <c:v>2020-12-31</c:v>
                </c:pt>
                <c:pt idx="15">
                  <c:v>2021-1-30</c:v>
                </c:pt>
                <c:pt idx="16">
                  <c:v>2021-2-30</c:v>
                </c:pt>
                <c:pt idx="17">
                  <c:v>2021-3-30</c:v>
                </c:pt>
                <c:pt idx="18">
                  <c:v>2021-4-30</c:v>
                </c:pt>
                <c:pt idx="19">
                  <c:v>2021-3-30</c:v>
                </c:pt>
              </c:strCache>
            </c:strRef>
          </c:cat>
          <c:val>
            <c:numRef>
              <c:f>项目时间表!$E$20:$E$43</c:f>
              <c:numCache>
                <c:formatCode>General</c:formatCode>
                <c:ptCount val="2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numCache>
            </c:numRef>
          </c:val>
          <c:smooth val="1"/>
          <c:extLst>
            <c:ext xmlns:c16="http://schemas.microsoft.com/office/drawing/2014/chart" uri="{C3380CC4-5D6E-409C-BE32-E72D297353CC}">
              <c16:uniqueId val="{0000000D-63AB-4D1B-93DB-CF5F5510F610}"/>
            </c:ext>
          </c:extLst>
        </c:ser>
        <c:dLbls>
          <c:showLegendKey val="0"/>
          <c:showVal val="0"/>
          <c:showCatName val="0"/>
          <c:showSerName val="0"/>
          <c:showPercent val="0"/>
          <c:showBubbleSize val="0"/>
        </c:dLbls>
        <c:marker val="1"/>
        <c:smooth val="0"/>
        <c:axId val="126010112"/>
        <c:axId val="126010672"/>
      </c:lineChart>
      <c:dateAx>
        <c:axId val="126010112"/>
        <c:scaling>
          <c:orientation val="minMax"/>
        </c:scaling>
        <c:delete val="0"/>
        <c:axPos val="b"/>
        <c:numFmt formatCode="m&quot;月&quot;d&quot;日&quot;;@" sourceLinked="0"/>
        <c:majorTickMark val="cross"/>
        <c:minorTickMark val="in"/>
        <c:tickLblPos val="nextTo"/>
        <c:spPr>
          <a:solidFill>
            <a:schemeClr val="bg2"/>
          </a:solidFill>
          <a:ln w="9525">
            <a:solidFill>
              <a:schemeClr val="bg1">
                <a:lumMod val="65000"/>
              </a:schemeClr>
            </a:solidFill>
            <a:prstDash val="solid"/>
          </a:ln>
        </c:spPr>
        <c:txPr>
          <a:bodyPr/>
          <a:lstStyle/>
          <a:p>
            <a:pPr>
              <a:defRPr sz="800" b="1">
                <a:solidFill>
                  <a:schemeClr val="bg1">
                    <a:lumMod val="65000"/>
                  </a:schemeClr>
                </a:solidFill>
                <a:latin typeface="Microsoft YaHei UI" panose="020B0503020204020204" pitchFamily="34" charset="-122"/>
                <a:ea typeface="Microsoft YaHei UI" panose="020B0503020204020204" pitchFamily="34" charset="-122"/>
              </a:defRPr>
            </a:pPr>
            <a:endParaRPr lang="zh-CN"/>
          </a:p>
        </c:txPr>
        <c:crossAx val="126010672"/>
        <c:crosses val="autoZero"/>
        <c:auto val="1"/>
        <c:lblOffset val="100"/>
        <c:baseTimeUnit val="days"/>
        <c:majorUnit val="1"/>
        <c:majorTimeUnit val="months"/>
        <c:minorUnit val="7"/>
        <c:minorTimeUnit val="days"/>
      </c:dateAx>
      <c:valAx>
        <c:axId val="126010672"/>
        <c:scaling>
          <c:orientation val="minMax"/>
        </c:scaling>
        <c:delete val="1"/>
        <c:axPos val="l"/>
        <c:numFmt formatCode="General" sourceLinked="1"/>
        <c:majorTickMark val="out"/>
        <c:minorTickMark val="none"/>
        <c:tickLblPos val="nextTo"/>
        <c:crossAx val="126010112"/>
        <c:crosses val="autoZero"/>
        <c:crossBetween val="midCat"/>
      </c:valAx>
      <c:valAx>
        <c:axId val="126011232"/>
        <c:scaling>
          <c:orientation val="minMax"/>
        </c:scaling>
        <c:delete val="1"/>
        <c:axPos val="r"/>
        <c:numFmt formatCode="General" sourceLinked="1"/>
        <c:majorTickMark val="out"/>
        <c:minorTickMark val="none"/>
        <c:tickLblPos val="nextTo"/>
        <c:crossAx val="126011792"/>
        <c:crosses val="max"/>
        <c:crossBetween val="between"/>
      </c:valAx>
      <c:catAx>
        <c:axId val="126011792"/>
        <c:scaling>
          <c:orientation val="minMax"/>
        </c:scaling>
        <c:delete val="1"/>
        <c:axPos val="b"/>
        <c:numFmt formatCode="General" sourceLinked="1"/>
        <c:majorTickMark val="out"/>
        <c:minorTickMark val="none"/>
        <c:tickLblPos val="nextTo"/>
        <c:crossAx val="126011232"/>
        <c:crosses val="autoZero"/>
        <c:auto val="1"/>
        <c:lblAlgn val="ctr"/>
        <c:lblOffset val="100"/>
        <c:noMultiLvlLbl val="0"/>
      </c:catAx>
      <c:spPr>
        <a:noFill/>
      </c:spPr>
    </c:plotArea>
    <c:plotVisOnly val="0"/>
    <c:dispBlanksAs val="gap"/>
    <c:showDLblsOverMax val="0"/>
  </c:chart>
  <c:spPr>
    <a:solidFill>
      <a:schemeClr val="bg2"/>
    </a:solidFill>
    <a:ln>
      <a:noFill/>
    </a:ln>
  </c:spPr>
  <c:printSettings>
    <c:headerFooter/>
    <c:pageMargins b="0.75" l="0.7" r="0.7" t="0.75" header="0.3" footer="0.3"/>
    <c:pageSetup orientation="landscape"/>
  </c:printSettings>
</c:chartSpac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18</xdr:row>
          <xdr:rowOff>85725</xdr:rowOff>
        </xdr:from>
        <xdr:to>
          <xdr:col>2</xdr:col>
          <xdr:colOff>695325</xdr:colOff>
          <xdr:row>19</xdr:row>
          <xdr:rowOff>161925</xdr:rowOff>
        </xdr:to>
        <xdr:sp macro="" textlink="">
          <xdr:nvSpPr>
            <xdr:cNvPr id="5132" name="Button 12" hidden="1">
              <a:extLst>
                <a:ext uri="{63B3BB69-23CF-44E3-9099-C40C66FF867C}">
                  <a14:compatExt spid="_x0000_s51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5"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14</xdr:row>
          <xdr:rowOff>85725</xdr:rowOff>
        </xdr:from>
        <xdr:to>
          <xdr:col>2</xdr:col>
          <xdr:colOff>695325</xdr:colOff>
          <xdr:row>15</xdr:row>
          <xdr:rowOff>161925</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15</xdr:row>
          <xdr:rowOff>85725</xdr:rowOff>
        </xdr:from>
        <xdr:to>
          <xdr:col>2</xdr:col>
          <xdr:colOff>695325</xdr:colOff>
          <xdr:row>16</xdr:row>
          <xdr:rowOff>161925</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34</xdr:row>
          <xdr:rowOff>85725</xdr:rowOff>
        </xdr:from>
        <xdr:to>
          <xdr:col>1</xdr:col>
          <xdr:colOff>800100</xdr:colOff>
          <xdr:row>35</xdr:row>
          <xdr:rowOff>161925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2562225</xdr:colOff>
      <xdr:row>3</xdr:row>
      <xdr:rowOff>552450</xdr:rowOff>
    </xdr:from>
    <xdr:to>
      <xdr:col>17</xdr:col>
      <xdr:colOff>495300</xdr:colOff>
      <xdr:row>4</xdr:row>
      <xdr:rowOff>257175</xdr:rowOff>
    </xdr:to>
    <xdr:sp macro="" textlink="">
      <xdr:nvSpPr>
        <xdr:cNvPr id="2" name="矩形 1"/>
        <xdr:cNvSpPr/>
      </xdr:nvSpPr>
      <xdr:spPr>
        <a:xfrm>
          <a:off x="16887825"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SDK</a:t>
          </a:r>
          <a:endParaRPr lang="zh-CN" altLang="en-US" sz="1100"/>
        </a:p>
      </xdr:txBody>
    </xdr:sp>
    <xdr:clientData/>
  </xdr:twoCellAnchor>
  <xdr:twoCellAnchor>
    <xdr:from>
      <xdr:col>16</xdr:col>
      <xdr:colOff>180975</xdr:colOff>
      <xdr:row>4</xdr:row>
      <xdr:rowOff>647700</xdr:rowOff>
    </xdr:from>
    <xdr:to>
      <xdr:col>16</xdr:col>
      <xdr:colOff>1123950</xdr:colOff>
      <xdr:row>6</xdr:row>
      <xdr:rowOff>9525</xdr:rowOff>
    </xdr:to>
    <xdr:sp macro="" textlink="">
      <xdr:nvSpPr>
        <xdr:cNvPr id="6" name="矩形 5"/>
        <xdr:cNvSpPr/>
      </xdr:nvSpPr>
      <xdr:spPr>
        <a:xfrm>
          <a:off x="14506575" y="3352800"/>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core</a:t>
          </a:r>
          <a:endParaRPr lang="zh-CN" altLang="en-US" sz="1100"/>
        </a:p>
      </xdr:txBody>
    </xdr:sp>
    <xdr:clientData/>
  </xdr:twoCellAnchor>
  <xdr:twoCellAnchor>
    <xdr:from>
      <xdr:col>16</xdr:col>
      <xdr:colOff>1362075</xdr:colOff>
      <xdr:row>4</xdr:row>
      <xdr:rowOff>657225</xdr:rowOff>
    </xdr:from>
    <xdr:to>
      <xdr:col>16</xdr:col>
      <xdr:colOff>2171700</xdr:colOff>
      <xdr:row>6</xdr:row>
      <xdr:rowOff>19050</xdr:rowOff>
    </xdr:to>
    <xdr:sp macro="" textlink="">
      <xdr:nvSpPr>
        <xdr:cNvPr id="7" name="矩形 6"/>
        <xdr:cNvSpPr/>
      </xdr:nvSpPr>
      <xdr:spPr>
        <a:xfrm>
          <a:off x="15687675" y="3362325"/>
          <a:ext cx="80962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media</a:t>
          </a:r>
          <a:endParaRPr lang="zh-CN" altLang="en-US" sz="1100"/>
        </a:p>
      </xdr:txBody>
    </xdr:sp>
    <xdr:clientData/>
  </xdr:twoCellAnchor>
  <xdr:twoCellAnchor>
    <xdr:from>
      <xdr:col>16</xdr:col>
      <xdr:colOff>2419350</xdr:colOff>
      <xdr:row>4</xdr:row>
      <xdr:rowOff>647700</xdr:rowOff>
    </xdr:from>
    <xdr:to>
      <xdr:col>16</xdr:col>
      <xdr:colOff>3248025</xdr:colOff>
      <xdr:row>6</xdr:row>
      <xdr:rowOff>9525</xdr:rowOff>
    </xdr:to>
    <xdr:sp macro="" textlink="">
      <xdr:nvSpPr>
        <xdr:cNvPr id="8" name="矩形 7"/>
        <xdr:cNvSpPr/>
      </xdr:nvSpPr>
      <xdr:spPr>
        <a:xfrm>
          <a:off x="16744950" y="3352800"/>
          <a:ext cx="8286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gles</a:t>
          </a:r>
          <a:endParaRPr lang="zh-CN" altLang="en-US" sz="1100"/>
        </a:p>
      </xdr:txBody>
    </xdr:sp>
    <xdr:clientData/>
  </xdr:twoCellAnchor>
  <xdr:twoCellAnchor>
    <xdr:from>
      <xdr:col>17</xdr:col>
      <xdr:colOff>209551</xdr:colOff>
      <xdr:row>4</xdr:row>
      <xdr:rowOff>638175</xdr:rowOff>
    </xdr:from>
    <xdr:to>
      <xdr:col>18</xdr:col>
      <xdr:colOff>361951</xdr:colOff>
      <xdr:row>6</xdr:row>
      <xdr:rowOff>0</xdr:rowOff>
    </xdr:to>
    <xdr:sp macro="" textlink="">
      <xdr:nvSpPr>
        <xdr:cNvPr id="9" name="矩形 8"/>
        <xdr:cNvSpPr/>
      </xdr:nvSpPr>
      <xdr:spPr>
        <a:xfrm>
          <a:off x="178117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gui</a:t>
          </a:r>
          <a:endParaRPr lang="zh-CN" altLang="en-US" sz="1100"/>
        </a:p>
      </xdr:txBody>
    </xdr:sp>
    <xdr:clientData/>
  </xdr:twoCellAnchor>
  <xdr:twoCellAnchor>
    <xdr:from>
      <xdr:col>19</xdr:col>
      <xdr:colOff>57151</xdr:colOff>
      <xdr:row>4</xdr:row>
      <xdr:rowOff>638175</xdr:rowOff>
    </xdr:from>
    <xdr:to>
      <xdr:col>20</xdr:col>
      <xdr:colOff>209551</xdr:colOff>
      <xdr:row>6</xdr:row>
      <xdr:rowOff>0</xdr:rowOff>
    </xdr:to>
    <xdr:sp macro="" textlink="">
      <xdr:nvSpPr>
        <xdr:cNvPr id="10" name="矩形 9"/>
        <xdr:cNvSpPr/>
      </xdr:nvSpPr>
      <xdr:spPr>
        <a:xfrm>
          <a:off x="190309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3rdparty</a:t>
          </a:r>
          <a:endParaRPr lang="zh-CN" altLang="en-US" sz="1100"/>
        </a:p>
      </xdr:txBody>
    </xdr:sp>
    <xdr:clientData/>
  </xdr:twoCellAnchor>
  <xdr:twoCellAnchor>
    <xdr:from>
      <xdr:col>16</xdr:col>
      <xdr:colOff>652463</xdr:colOff>
      <xdr:row>4</xdr:row>
      <xdr:rowOff>257175</xdr:rowOff>
    </xdr:from>
    <xdr:to>
      <xdr:col>16</xdr:col>
      <xdr:colOff>3167063</xdr:colOff>
      <xdr:row>4</xdr:row>
      <xdr:rowOff>647700</xdr:rowOff>
    </xdr:to>
    <xdr:cxnSp macro="">
      <xdr:nvCxnSpPr>
        <xdr:cNvPr id="11" name="直接箭头连接符 10"/>
        <xdr:cNvCxnSpPr>
          <a:stCxn id="2" idx="2"/>
          <a:endCxn id="6" idx="0"/>
        </xdr:cNvCxnSpPr>
      </xdr:nvCxnSpPr>
      <xdr:spPr>
        <a:xfrm flipH="1">
          <a:off x="14977745" y="2962275"/>
          <a:ext cx="2514600"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1766888</xdr:colOff>
      <xdr:row>4</xdr:row>
      <xdr:rowOff>257175</xdr:rowOff>
    </xdr:from>
    <xdr:to>
      <xdr:col>16</xdr:col>
      <xdr:colOff>3167063</xdr:colOff>
      <xdr:row>4</xdr:row>
      <xdr:rowOff>657225</xdr:rowOff>
    </xdr:to>
    <xdr:cxnSp macro="">
      <xdr:nvCxnSpPr>
        <xdr:cNvPr id="13" name="直接箭头连接符 12"/>
        <xdr:cNvCxnSpPr>
          <a:stCxn id="2" idx="2"/>
          <a:endCxn id="7" idx="0"/>
        </xdr:cNvCxnSpPr>
      </xdr:nvCxnSpPr>
      <xdr:spPr>
        <a:xfrm flipH="1">
          <a:off x="16092170" y="2962275"/>
          <a:ext cx="1400175" cy="400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2833688</xdr:colOff>
      <xdr:row>4</xdr:row>
      <xdr:rowOff>257175</xdr:rowOff>
    </xdr:from>
    <xdr:to>
      <xdr:col>16</xdr:col>
      <xdr:colOff>3167063</xdr:colOff>
      <xdr:row>4</xdr:row>
      <xdr:rowOff>647700</xdr:rowOff>
    </xdr:to>
    <xdr:cxnSp macro="">
      <xdr:nvCxnSpPr>
        <xdr:cNvPr id="15" name="直接箭头连接符 14"/>
        <xdr:cNvCxnSpPr>
          <a:stCxn id="2" idx="2"/>
          <a:endCxn id="8" idx="0"/>
        </xdr:cNvCxnSpPr>
      </xdr:nvCxnSpPr>
      <xdr:spPr>
        <a:xfrm flipH="1">
          <a:off x="17158970" y="2962275"/>
          <a:ext cx="333375"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17</xdr:col>
      <xdr:colOff>628651</xdr:colOff>
      <xdr:row>4</xdr:row>
      <xdr:rowOff>638175</xdr:rowOff>
    </xdr:to>
    <xdr:cxnSp macro="">
      <xdr:nvCxnSpPr>
        <xdr:cNvPr id="17" name="直接箭头连接符 16"/>
        <xdr:cNvCxnSpPr>
          <a:stCxn id="2" idx="2"/>
          <a:endCxn id="9" idx="0"/>
        </xdr:cNvCxnSpPr>
      </xdr:nvCxnSpPr>
      <xdr:spPr>
        <a:xfrm>
          <a:off x="17492345" y="2962275"/>
          <a:ext cx="7385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19</xdr:col>
      <xdr:colOff>476251</xdr:colOff>
      <xdr:row>4</xdr:row>
      <xdr:rowOff>638175</xdr:rowOff>
    </xdr:to>
    <xdr:cxnSp macro="">
      <xdr:nvCxnSpPr>
        <xdr:cNvPr id="19" name="直接箭头连接符 18"/>
        <xdr:cNvCxnSpPr>
          <a:stCxn id="2" idx="2"/>
          <a:endCxn id="10" idx="0"/>
        </xdr:cNvCxnSpPr>
      </xdr:nvCxnSpPr>
      <xdr:spPr>
        <a:xfrm>
          <a:off x="17492345" y="2962275"/>
          <a:ext cx="19577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6</xdr:row>
      <xdr:rowOff>514350</xdr:rowOff>
    </xdr:from>
    <xdr:to>
      <xdr:col>16</xdr:col>
      <xdr:colOff>1123950</xdr:colOff>
      <xdr:row>8</xdr:row>
      <xdr:rowOff>38100</xdr:rowOff>
    </xdr:to>
    <xdr:sp macro="" textlink="">
      <xdr:nvSpPr>
        <xdr:cNvPr id="25" name="矩形 24"/>
        <xdr:cNvSpPr/>
      </xdr:nvSpPr>
      <xdr:spPr>
        <a:xfrm>
          <a:off x="14506575"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依赖属性</a:t>
          </a:r>
        </a:p>
      </xdr:txBody>
    </xdr:sp>
    <xdr:clientData/>
  </xdr:twoCellAnchor>
  <xdr:twoCellAnchor>
    <xdr:from>
      <xdr:col>16</xdr:col>
      <xdr:colOff>171450</xdr:colOff>
      <xdr:row>5</xdr:row>
      <xdr:rowOff>295275</xdr:rowOff>
    </xdr:from>
    <xdr:to>
      <xdr:col>16</xdr:col>
      <xdr:colOff>176213</xdr:colOff>
      <xdr:row>11</xdr:row>
      <xdr:rowOff>466725</xdr:rowOff>
    </xdr:to>
    <xdr:cxnSp macro="">
      <xdr:nvCxnSpPr>
        <xdr:cNvPr id="26" name="直接箭头连接符 25"/>
        <xdr:cNvCxnSpPr/>
      </xdr:nvCxnSpPr>
      <xdr:spPr>
        <a:xfrm flipH="1">
          <a:off x="144970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6</xdr:row>
      <xdr:rowOff>266700</xdr:rowOff>
    </xdr:from>
    <xdr:to>
      <xdr:col>20</xdr:col>
      <xdr:colOff>323850</xdr:colOff>
      <xdr:row>7</xdr:row>
      <xdr:rowOff>95250</xdr:rowOff>
    </xdr:to>
    <xdr:sp macro="" textlink="">
      <xdr:nvSpPr>
        <xdr:cNvPr id="29" name="矩形 28"/>
        <xdr:cNvSpPr/>
      </xdr:nvSpPr>
      <xdr:spPr>
        <a:xfrm>
          <a:off x="19040475" y="4017645"/>
          <a:ext cx="942975"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窗口系统</a:t>
          </a:r>
        </a:p>
      </xdr:txBody>
    </xdr:sp>
    <xdr:clientData/>
  </xdr:twoCellAnchor>
  <xdr:twoCellAnchor>
    <xdr:from>
      <xdr:col>19</xdr:col>
      <xdr:colOff>52388</xdr:colOff>
      <xdr:row>5</xdr:row>
      <xdr:rowOff>295275</xdr:rowOff>
    </xdr:from>
    <xdr:to>
      <xdr:col>19</xdr:col>
      <xdr:colOff>66675</xdr:colOff>
      <xdr:row>10</xdr:row>
      <xdr:rowOff>76200</xdr:rowOff>
    </xdr:to>
    <xdr:cxnSp macro="">
      <xdr:nvCxnSpPr>
        <xdr:cNvPr id="30" name="直接箭头连接符 29"/>
        <xdr:cNvCxnSpPr/>
      </xdr:nvCxnSpPr>
      <xdr:spPr>
        <a:xfrm>
          <a:off x="19025870"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7</xdr:row>
      <xdr:rowOff>238125</xdr:rowOff>
    </xdr:from>
    <xdr:to>
      <xdr:col>20</xdr:col>
      <xdr:colOff>323850</xdr:colOff>
      <xdr:row>9</xdr:row>
      <xdr:rowOff>28575</xdr:rowOff>
    </xdr:to>
    <xdr:sp macro="" textlink="">
      <xdr:nvSpPr>
        <xdr:cNvPr id="31" name="矩形 30"/>
        <xdr:cNvSpPr/>
      </xdr:nvSpPr>
      <xdr:spPr>
        <a:xfrm>
          <a:off x="19040475" y="4560570"/>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Poco</a:t>
          </a:r>
          <a:endParaRPr lang="zh-CN" altLang="en-US" sz="1100"/>
        </a:p>
      </xdr:txBody>
    </xdr:sp>
    <xdr:clientData/>
  </xdr:twoCellAnchor>
  <xdr:twoCellAnchor>
    <xdr:from>
      <xdr:col>17</xdr:col>
      <xdr:colOff>195263</xdr:colOff>
      <xdr:row>5</xdr:row>
      <xdr:rowOff>295275</xdr:rowOff>
    </xdr:from>
    <xdr:to>
      <xdr:col>17</xdr:col>
      <xdr:colOff>209550</xdr:colOff>
      <xdr:row>10</xdr:row>
      <xdr:rowOff>76200</xdr:rowOff>
    </xdr:to>
    <xdr:cxnSp macro="">
      <xdr:nvCxnSpPr>
        <xdr:cNvPr id="32" name="直接箭头连接符 31"/>
        <xdr:cNvCxnSpPr/>
      </xdr:nvCxnSpPr>
      <xdr:spPr>
        <a:xfrm>
          <a:off x="17797145"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8</xdr:row>
      <xdr:rowOff>247650</xdr:rowOff>
    </xdr:from>
    <xdr:to>
      <xdr:col>16</xdr:col>
      <xdr:colOff>1123950</xdr:colOff>
      <xdr:row>10</xdr:row>
      <xdr:rowOff>38100</xdr:rowOff>
    </xdr:to>
    <xdr:sp macro="" textlink="">
      <xdr:nvSpPr>
        <xdr:cNvPr id="33" name="矩形 32"/>
        <xdr:cNvSpPr/>
      </xdr:nvSpPr>
      <xdr:spPr>
        <a:xfrm>
          <a:off x="14506575" y="4882515"/>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绑定系统</a:t>
          </a:r>
        </a:p>
      </xdr:txBody>
    </xdr:sp>
    <xdr:clientData/>
  </xdr:twoCellAnchor>
  <xdr:twoCellAnchor>
    <xdr:from>
      <xdr:col>16</xdr:col>
      <xdr:colOff>1352550</xdr:colOff>
      <xdr:row>5</xdr:row>
      <xdr:rowOff>295275</xdr:rowOff>
    </xdr:from>
    <xdr:to>
      <xdr:col>16</xdr:col>
      <xdr:colOff>1357313</xdr:colOff>
      <xdr:row>11</xdr:row>
      <xdr:rowOff>466725</xdr:rowOff>
    </xdr:to>
    <xdr:cxnSp macro="">
      <xdr:nvCxnSpPr>
        <xdr:cNvPr id="35" name="直接箭头连接符 34"/>
        <xdr:cNvCxnSpPr/>
      </xdr:nvCxnSpPr>
      <xdr:spPr>
        <a:xfrm flipH="1">
          <a:off x="156781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1371600</xdr:colOff>
      <xdr:row>6</xdr:row>
      <xdr:rowOff>514350</xdr:rowOff>
    </xdr:from>
    <xdr:to>
      <xdr:col>16</xdr:col>
      <xdr:colOff>2314575</xdr:colOff>
      <xdr:row>8</xdr:row>
      <xdr:rowOff>38100</xdr:rowOff>
    </xdr:to>
    <xdr:sp macro="" textlink="">
      <xdr:nvSpPr>
        <xdr:cNvPr id="36" name="矩形 35"/>
        <xdr:cNvSpPr/>
      </xdr:nvSpPr>
      <xdr:spPr>
        <a:xfrm>
          <a:off x="1569720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动画系统</a:t>
          </a:r>
        </a:p>
      </xdr:txBody>
    </xdr:sp>
    <xdr:clientData/>
  </xdr:twoCellAnchor>
  <xdr:twoCellAnchor>
    <xdr:from>
      <xdr:col>22</xdr:col>
      <xdr:colOff>609600</xdr:colOff>
      <xdr:row>3</xdr:row>
      <xdr:rowOff>552450</xdr:rowOff>
    </xdr:from>
    <xdr:to>
      <xdr:col>24</xdr:col>
      <xdr:colOff>447675</xdr:colOff>
      <xdr:row>4</xdr:row>
      <xdr:rowOff>257175</xdr:rowOff>
    </xdr:to>
    <xdr:sp macro="" textlink="">
      <xdr:nvSpPr>
        <xdr:cNvPr id="42" name="矩形 41"/>
        <xdr:cNvSpPr/>
      </xdr:nvSpPr>
      <xdr:spPr>
        <a:xfrm>
          <a:off x="21640800"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studio</a:t>
          </a:r>
          <a:endParaRPr lang="zh-CN" altLang="en-US" sz="1100"/>
        </a:p>
      </xdr:txBody>
    </xdr:sp>
    <xdr:clientData/>
  </xdr:twoCellAnchor>
  <xdr:twoCellAnchor>
    <xdr:from>
      <xdr:col>23</xdr:col>
      <xdr:colOff>666750</xdr:colOff>
      <xdr:row>4</xdr:row>
      <xdr:rowOff>523875</xdr:rowOff>
    </xdr:from>
    <xdr:to>
      <xdr:col>25</xdr:col>
      <xdr:colOff>323850</xdr:colOff>
      <xdr:row>5</xdr:row>
      <xdr:rowOff>190500</xdr:rowOff>
    </xdr:to>
    <xdr:sp macro="" textlink="">
      <xdr:nvSpPr>
        <xdr:cNvPr id="43" name="矩形 42"/>
        <xdr:cNvSpPr/>
      </xdr:nvSpPr>
      <xdr:spPr>
        <a:xfrm>
          <a:off x="22383750" y="3228975"/>
          <a:ext cx="1028700"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shader editor</a:t>
          </a:r>
          <a:endParaRPr lang="zh-CN" altLang="en-US" sz="1100"/>
        </a:p>
      </xdr:txBody>
    </xdr:sp>
    <xdr:clientData/>
  </xdr:twoCellAnchor>
  <xdr:twoCellAnchor>
    <xdr:from>
      <xdr:col>23</xdr:col>
      <xdr:colOff>528638</xdr:colOff>
      <xdr:row>4</xdr:row>
      <xdr:rowOff>257175</xdr:rowOff>
    </xdr:from>
    <xdr:to>
      <xdr:col>24</xdr:col>
      <xdr:colOff>609600</xdr:colOff>
      <xdr:row>4</xdr:row>
      <xdr:rowOff>590550</xdr:rowOff>
    </xdr:to>
    <xdr:cxnSp macro="">
      <xdr:nvCxnSpPr>
        <xdr:cNvPr id="44" name="直接箭头连接符 43"/>
        <xdr:cNvCxnSpPr>
          <a:stCxn id="42" idx="2"/>
        </xdr:cNvCxnSpPr>
      </xdr:nvCxnSpPr>
      <xdr:spPr>
        <a:xfrm>
          <a:off x="22245320" y="2962275"/>
          <a:ext cx="767080" cy="3333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209550</xdr:colOff>
      <xdr:row>6</xdr:row>
      <xdr:rowOff>514350</xdr:rowOff>
    </xdr:from>
    <xdr:to>
      <xdr:col>18</xdr:col>
      <xdr:colOff>466725</xdr:colOff>
      <xdr:row>8</xdr:row>
      <xdr:rowOff>38100</xdr:rowOff>
    </xdr:to>
    <xdr:sp macro="" textlink="">
      <xdr:nvSpPr>
        <xdr:cNvPr id="46" name="矩形 45"/>
        <xdr:cNvSpPr/>
      </xdr:nvSpPr>
      <xdr:spPr>
        <a:xfrm>
          <a:off x="1781175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UIElement</a:t>
          </a:r>
          <a:endParaRPr lang="zh-CN" alt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30</xdr:row>
          <xdr:rowOff>85725</xdr:rowOff>
        </xdr:from>
        <xdr:to>
          <xdr:col>1</xdr:col>
          <xdr:colOff>800100</xdr:colOff>
          <xdr:row>31</xdr:row>
          <xdr:rowOff>161925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27</xdr:row>
          <xdr:rowOff>85725</xdr:rowOff>
        </xdr:from>
        <xdr:to>
          <xdr:col>1</xdr:col>
          <xdr:colOff>800100</xdr:colOff>
          <xdr:row>28</xdr:row>
          <xdr:rowOff>161925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2</xdr:row>
      <xdr:rowOff>14287</xdr:rowOff>
    </xdr:from>
    <xdr:to>
      <xdr:col>14</xdr:col>
      <xdr:colOff>17276</xdr:colOff>
      <xdr:row>16</xdr:row>
      <xdr:rowOff>90487</xdr:rowOff>
    </xdr:to>
    <xdr:graphicFrame macro="">
      <xdr:nvGraphicFramePr>
        <xdr:cNvPr id="2" name="项目时间表" descr="直线图会在对应的时间范围绘出每个项目。" title="项目时间表"/>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457199</xdr:colOff>
      <xdr:row>18</xdr:row>
      <xdr:rowOff>0</xdr:rowOff>
    </xdr:from>
    <xdr:to>
      <xdr:col>11</xdr:col>
      <xdr:colOff>685799</xdr:colOff>
      <xdr:row>25</xdr:row>
      <xdr:rowOff>161925</xdr:rowOff>
    </xdr:to>
    <xdr:sp macro="" textlink="">
      <xdr:nvSpPr>
        <xdr:cNvPr id="3" name="时间表提示" descr="「项目详细信息」表格內的“位置”值主要用于避免时间表上的“里程碑”标签互相重叠使用正值会使标签出现在时间表上方，使用负值则会使其出现在时间表下方。&#10;&#10;要新增里程碑，请在表格內插入新行，或在最后一个表格项目下方开始输入，表格会自动展开，以容纳您新增的数据。" title="专案时间表秘诀"/>
        <xdr:cNvSpPr txBox="1"/>
      </xdr:nvSpPr>
      <xdr:spPr>
        <a:xfrm>
          <a:off x="3505199" y="2914650"/>
          <a:ext cx="3810000" cy="1295400"/>
        </a:xfrm>
        <a:prstGeom prst="wedgeRectCallout">
          <a:avLst>
            <a:gd name="adj1" fmla="val -58703"/>
            <a:gd name="adj2" fmla="val -24361"/>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tlCol="0" anchor="ctr"/>
        <a:lstStyle/>
        <a:p>
          <a:r>
            <a:rPr lang="zh-CN" altLang="en-US" sz="1200" b="1" spc="30" baseline="0">
              <a:solidFill>
                <a:schemeClr val="accent1"/>
              </a:solidFill>
              <a:effectLst/>
              <a:latin typeface="Microsoft YaHei UI" panose="020B0503020204020204" pitchFamily="34" charset="-122"/>
              <a:ea typeface="Microsoft YaHei UI" panose="020B0503020204020204" pitchFamily="34" charset="-122"/>
              <a:cs typeface="+mn-cs"/>
            </a:rPr>
            <a:t>专案时间表秘诀：</a:t>
          </a:r>
          <a:endParaRPr lang="pt-BR" altLang="zh-CN" sz="1200" b="1" spc="30" baseline="0">
            <a:solidFill>
              <a:schemeClr val="accent1"/>
            </a:solidFill>
            <a:effectLst/>
            <a:latin typeface="Microsoft YaHei UI" panose="020B0503020204020204" pitchFamily="34" charset="-122"/>
            <a:ea typeface="Microsoft YaHei UI" panose="020B0503020204020204" pitchFamily="34" charset="-122"/>
            <a:cs typeface="+mn-cs"/>
          </a:endParaRPr>
        </a:p>
        <a:p>
          <a:endParaRPr lang="en-US" sz="100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r>
            <a:rPr lang="zh-CN" alt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rPr>
            <a:t>「项目详细信息」表格內的“位置”值主要用于避免时间表上的“里程碑”标签互相重叠。使用正值会使标签出现在时间表上方，使用负值则会使其出现在时间表下方。</a:t>
          </a:r>
          <a:endParaRPr lang="pt-BR" altLang="zh-CN"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endParaRPr 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r>
            <a:rPr lang="zh-CN" alt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rPr>
            <a:t>要新增里程碑，请在表格內插入新行，或在最后一个表格项目下方开始输入，表格会自动展开，以容纳您新增的数据。</a:t>
          </a:r>
          <a:endParaRPr lang="en-US" sz="1100" spc="20" baseline="0">
            <a:solidFill>
              <a:schemeClr val="dk1"/>
            </a:solidFill>
            <a:effectLst/>
            <a:latin typeface="Microsoft YaHei UI" panose="020B0503020204020204" pitchFamily="34" charset="-122"/>
            <a:ea typeface="Microsoft YaHei UI" panose="020B0503020204020204" pitchFamily="34" charset="-122"/>
            <a:cs typeface="+mn-cs"/>
          </a:endParaRPr>
        </a:p>
      </xdr:txBody>
    </xdr:sp>
    <xdr:clientData fPrintsWithSheet="0"/>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28378;&#21160;&#36335;&#32447;&#22270;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里程碑"/>
      <sheetName val="路线图"/>
      <sheetName val="关于"/>
      <sheetName val="图表数据"/>
    </sheetNames>
    <sheetDataSet>
      <sheetData sheetId="0" refreshError="1"/>
      <sheetData sheetId="1" refreshError="1"/>
      <sheetData sheetId="2" refreshError="1"/>
      <sheetData sheetId="3">
        <row r="3">
          <cell r="D3" t="str">
            <v>位置​​</v>
          </cell>
        </row>
        <row r="4">
          <cell r="B4">
            <v>43928</v>
          </cell>
        </row>
      </sheetData>
    </sheetDataSet>
  </externalBook>
</externalLink>
</file>

<file path=xl/tables/table1.xml><?xml version="1.0" encoding="utf-8"?>
<table xmlns="http://schemas.openxmlformats.org/spreadsheetml/2006/main" id="2" name="项目详细信息" displayName="项目详细信息" ref="B19:E42" totalsRowShown="0" headerRowDxfId="5" dataDxfId="4">
  <tableColumns count="4">
    <tableColumn id="1" name="日期" dataDxfId="3"/>
    <tableColumn id="2" name="里程碑" dataDxfId="2"/>
    <tableColumn id="4" name="位置" dataDxfId="1"/>
    <tableColumn id="5" name="比较基准" dataDxfId="0">
      <calculatedColumnFormula>1</calculatedColumnFormula>
    </tableColumn>
  </tableColumns>
  <tableStyleInfo name="Project Timeline" showFirstColumn="0" showLastColumn="0" showRowStripes="1" showColumnStripes="0"/>
  <extLst>
    <ext xmlns:x14="http://schemas.microsoft.com/office/spreadsheetml/2009/9/main" uri="{504A1905-F514-4f6f-8877-14C23A59335A}">
      <x14:table altText="项目详细信息" altTextSummary="项目日期、里程碑和图表位置清单。"/>
    </ext>
  </extLst>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IL18"/>
  <sheetViews>
    <sheetView topLeftCell="C1" zoomScale="115" zoomScaleNormal="115" workbookViewId="0">
      <pane ySplit="3" topLeftCell="A16" activePane="bottomLeft" state="frozen"/>
      <selection pane="bottomLeft" activeCell="H16" sqref="H16"/>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54" t="s">
        <v>0</v>
      </c>
      <c r="B1" s="154"/>
      <c r="C1" s="154"/>
      <c r="D1" s="154"/>
      <c r="E1" s="154"/>
      <c r="F1" s="154"/>
      <c r="G1" s="154"/>
      <c r="H1" s="154"/>
      <c r="I1" s="154"/>
      <c r="J1" s="154"/>
      <c r="K1" s="154"/>
      <c r="L1" s="154"/>
      <c r="M1" s="154"/>
      <c r="N1" s="154"/>
      <c r="O1" s="154"/>
      <c r="P1" s="15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5" t="s">
        <v>1</v>
      </c>
      <c r="B2" s="155"/>
      <c r="C2" s="5">
        <f ca="1">TODAY()</f>
        <v>44025</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60.75" customHeight="1" x14ac:dyDescent="0.15">
      <c r="A4" s="15">
        <v>234</v>
      </c>
      <c r="B4" s="13"/>
      <c r="C4" s="16" t="s">
        <v>19</v>
      </c>
      <c r="D4" s="13" t="s">
        <v>20</v>
      </c>
      <c r="E4" s="30" t="s">
        <v>21</v>
      </c>
      <c r="F4" s="30">
        <v>43640</v>
      </c>
      <c r="G4" s="30">
        <v>43668</v>
      </c>
      <c r="H4" s="30">
        <v>43676</v>
      </c>
      <c r="I4" s="14">
        <v>43696</v>
      </c>
      <c r="J4" s="13" t="str">
        <f t="shared" ref="J4" ca="1" si="0">IF(AND(I4&lt;=$C$2,I4&lt;&gt;0),"DONE",IF(K4&lt;0,"OVERDUE",IF(AND(K4="",O4&lt;0),"OVERDUE","IN TIME")))</f>
        <v>DONE</v>
      </c>
      <c r="K4" s="13">
        <f t="shared" ref="K4" ca="1" si="1">IF(H4&gt;0,H4-$C$2,"")</f>
        <v>-349</v>
      </c>
      <c r="L4" s="13">
        <f t="shared" ref="L4" ca="1" si="2">IF(J4="OVERDUE",1,0)</f>
        <v>0</v>
      </c>
      <c r="M4" s="13">
        <f t="shared" ref="M4" ca="1" si="3">IF(J4="IN TIME",1,0)</f>
        <v>0</v>
      </c>
      <c r="N4" s="13">
        <f t="shared" ref="N4" ca="1" si="4">IF(J4="DONE",1,0)</f>
        <v>1</v>
      </c>
      <c r="O4" s="13">
        <f t="shared" ref="O4" ca="1" si="5">IF(G4&gt;0,G4-$C$2,"")</f>
        <v>-357</v>
      </c>
      <c r="P4" s="41" t="s">
        <v>22</v>
      </c>
      <c r="Q4" s="27"/>
      <c r="R4" s="27"/>
      <c r="S4" s="27"/>
      <c r="T4" s="27"/>
      <c r="U4" s="27"/>
      <c r="V4" s="27"/>
      <c r="W4" s="27"/>
      <c r="X4" s="27"/>
      <c r="Y4" s="27"/>
      <c r="Z4" s="27"/>
      <c r="AA4" s="27"/>
      <c r="AB4" s="27"/>
      <c r="AC4" s="27"/>
      <c r="AD4" s="27"/>
    </row>
    <row r="5" spans="1:246" ht="82.5" customHeight="1" x14ac:dyDescent="0.15">
      <c r="A5" s="15">
        <v>235</v>
      </c>
      <c r="B5" s="13"/>
      <c r="C5" s="28" t="s">
        <v>23</v>
      </c>
      <c r="D5" s="30" t="s">
        <v>24</v>
      </c>
      <c r="E5" s="30" t="s">
        <v>25</v>
      </c>
      <c r="F5" s="30">
        <v>43640</v>
      </c>
      <c r="G5" s="30">
        <v>43646</v>
      </c>
      <c r="H5" s="30">
        <v>43653</v>
      </c>
      <c r="I5" s="30">
        <v>43661</v>
      </c>
      <c r="J5" s="13" t="str">
        <f t="shared" ref="J5" ca="1" si="6">IF(AND(I5&lt;=$C$2,I5&lt;&gt;0),"DONE",IF(K5&lt;0,"OVERDUE",IF(AND(K5="",O5&lt;0),"OVERDUE","IN TIME")))</f>
        <v>DONE</v>
      </c>
      <c r="K5" s="13">
        <f t="shared" ref="K5" ca="1" si="7">IF(H5&gt;0,H5-$C$2,"")</f>
        <v>-372</v>
      </c>
      <c r="L5" s="13">
        <f t="shared" ref="L5" ca="1" si="8">IF(J5="OVERDUE",1,0)</f>
        <v>0</v>
      </c>
      <c r="M5" s="13">
        <f t="shared" ref="M5" ca="1" si="9">IF(J5="IN TIME",1,0)</f>
        <v>0</v>
      </c>
      <c r="N5" s="13">
        <f t="shared" ref="N5" ca="1" si="10">IF(J5="DONE",1,0)</f>
        <v>1</v>
      </c>
      <c r="O5" s="13">
        <f t="shared" ref="O5" ca="1" si="11">IF(G5&gt;0,G5-$C$2,"")</f>
        <v>-379</v>
      </c>
      <c r="P5" s="41" t="s">
        <v>26</v>
      </c>
      <c r="Q5" s="27"/>
      <c r="R5" s="27"/>
      <c r="S5" s="27"/>
      <c r="T5" s="27"/>
      <c r="U5" s="27"/>
      <c r="V5" s="27"/>
      <c r="W5" s="27"/>
      <c r="X5" s="27"/>
      <c r="Y5" s="27"/>
      <c r="Z5" s="27"/>
      <c r="AA5" s="27"/>
      <c r="AB5" s="27"/>
      <c r="AC5" s="27"/>
      <c r="AD5" s="27"/>
    </row>
    <row r="6" spans="1:246" ht="50.25" customHeight="1" x14ac:dyDescent="0.15">
      <c r="A6" s="15">
        <v>236</v>
      </c>
      <c r="B6" s="13"/>
      <c r="C6" s="28" t="s">
        <v>27</v>
      </c>
      <c r="D6" s="30" t="s">
        <v>24</v>
      </c>
      <c r="E6" s="30" t="s">
        <v>21</v>
      </c>
      <c r="F6" s="30">
        <v>43640</v>
      </c>
      <c r="G6" s="30">
        <v>43640</v>
      </c>
      <c r="H6" s="30">
        <v>43647</v>
      </c>
      <c r="I6" s="30">
        <v>43654</v>
      </c>
      <c r="J6" s="13" t="str">
        <f t="shared" ref="J6" ca="1" si="12">IF(AND(I6&lt;=$C$2,I6&lt;&gt;0),"DONE",IF(K6&lt;0,"OVERDUE",IF(AND(K6="",O6&lt;0),"OVERDUE","IN TIME")))</f>
        <v>DONE</v>
      </c>
      <c r="K6" s="13">
        <f t="shared" ref="K6" ca="1" si="13">IF(H6&gt;0,H6-$C$2,"")</f>
        <v>-378</v>
      </c>
      <c r="L6" s="13">
        <f t="shared" ref="L6" ca="1" si="14">IF(J6="OVERDUE",1,0)</f>
        <v>0</v>
      </c>
      <c r="M6" s="13">
        <f t="shared" ref="M6" ca="1" si="15">IF(J6="IN TIME",1,0)</f>
        <v>0</v>
      </c>
      <c r="N6" s="13">
        <f t="shared" ref="N6" ca="1" si="16">IF(J6="DONE",1,0)</f>
        <v>1</v>
      </c>
      <c r="O6" s="13">
        <f t="shared" ref="O6" ca="1" si="17">IF(G6&gt;0,G6-$C$2,"")</f>
        <v>-385</v>
      </c>
      <c r="P6" s="41" t="s">
        <v>28</v>
      </c>
      <c r="Q6" s="27"/>
      <c r="R6" s="27"/>
      <c r="S6" s="27"/>
      <c r="T6" s="27"/>
      <c r="U6" s="27"/>
      <c r="V6" s="27"/>
      <c r="W6" s="27"/>
      <c r="X6" s="27"/>
      <c r="Y6" s="27"/>
      <c r="Z6" s="27"/>
      <c r="AA6" s="27"/>
      <c r="AB6" s="27"/>
      <c r="AC6" s="27"/>
      <c r="AD6" s="27"/>
    </row>
    <row r="7" spans="1:246" ht="74.25" customHeight="1" x14ac:dyDescent="0.15">
      <c r="A7" s="15">
        <v>237</v>
      </c>
      <c r="B7" s="13"/>
      <c r="C7" s="28" t="s">
        <v>29</v>
      </c>
      <c r="D7" s="30" t="s">
        <v>24</v>
      </c>
      <c r="E7" s="30" t="s">
        <v>21</v>
      </c>
      <c r="F7" s="30">
        <v>43640</v>
      </c>
      <c r="G7" s="30">
        <v>43648</v>
      </c>
      <c r="H7" s="30">
        <v>43661</v>
      </c>
      <c r="I7" s="30">
        <v>43661</v>
      </c>
      <c r="J7" s="13" t="str">
        <f t="shared" ref="J7" ca="1" si="18">IF(AND(I7&lt;=$C$2,I7&lt;&gt;0),"DONE",IF(K7&lt;0,"OVERDUE",IF(AND(K7="",O7&lt;0),"OVERDUE","IN TIME")))</f>
        <v>DONE</v>
      </c>
      <c r="K7" s="13">
        <f t="shared" ref="K7" ca="1" si="19">IF(H7&gt;0,H7-$C$2,"")</f>
        <v>-364</v>
      </c>
      <c r="L7" s="13">
        <f t="shared" ref="L7" ca="1" si="20">IF(J7="OVERDUE",1,0)</f>
        <v>0</v>
      </c>
      <c r="M7" s="13">
        <f t="shared" ref="M7" ca="1" si="21">IF(J7="IN TIME",1,0)</f>
        <v>0</v>
      </c>
      <c r="N7" s="13">
        <f t="shared" ref="N7" ca="1" si="22">IF(J7="DONE",1,0)</f>
        <v>1</v>
      </c>
      <c r="O7" s="13">
        <f t="shared" ref="O7" ca="1" si="23">IF(G7&gt;0,G7-$C$2,"")</f>
        <v>-377</v>
      </c>
      <c r="P7" s="41" t="s">
        <v>30</v>
      </c>
      <c r="Q7" s="27"/>
      <c r="R7" s="27"/>
      <c r="S7" s="27"/>
      <c r="T7" s="27"/>
      <c r="U7" s="27"/>
      <c r="V7" s="27"/>
      <c r="W7" s="27"/>
      <c r="X7" s="27"/>
      <c r="Y7" s="27"/>
      <c r="Z7" s="27"/>
      <c r="AA7" s="27"/>
      <c r="AB7" s="27"/>
      <c r="AC7" s="27"/>
      <c r="AD7" s="27"/>
    </row>
    <row r="8" spans="1:246" ht="189" customHeight="1" x14ac:dyDescent="0.15">
      <c r="A8" s="15">
        <v>238</v>
      </c>
      <c r="B8" s="13"/>
      <c r="C8" s="28" t="s">
        <v>31</v>
      </c>
      <c r="D8" s="30" t="s">
        <v>24</v>
      </c>
      <c r="E8" s="30" t="s">
        <v>32</v>
      </c>
      <c r="F8" s="30">
        <v>43640</v>
      </c>
      <c r="G8" s="30">
        <v>43647</v>
      </c>
      <c r="H8" s="30">
        <v>43678</v>
      </c>
      <c r="I8" s="30">
        <v>43683</v>
      </c>
      <c r="J8" s="13" t="str">
        <f t="shared" ref="J8" ca="1" si="24">IF(AND(I8&lt;=$C$2,I8&lt;&gt;0),"DONE",IF(K8&lt;0,"OVERDUE",IF(AND(K8="",O8&lt;0),"OVERDUE","IN TIME")))</f>
        <v>DONE</v>
      </c>
      <c r="K8" s="13">
        <f t="shared" ref="K8" ca="1" si="25">IF(H8&gt;0,H8-$C$2,"")</f>
        <v>-347</v>
      </c>
      <c r="L8" s="13">
        <f t="shared" ref="L8" ca="1" si="26">IF(J8="OVERDUE",1,0)</f>
        <v>0</v>
      </c>
      <c r="M8" s="13">
        <f t="shared" ref="M8" ca="1" si="27">IF(J8="IN TIME",1,0)</f>
        <v>0</v>
      </c>
      <c r="N8" s="13">
        <f t="shared" ref="N8" ca="1" si="28">IF(J8="DONE",1,0)</f>
        <v>1</v>
      </c>
      <c r="O8" s="13">
        <f t="shared" ref="O8" ca="1" si="29">IF(G8&gt;0,G8-$C$2,"")</f>
        <v>-378</v>
      </c>
      <c r="P8" s="41" t="s">
        <v>33</v>
      </c>
      <c r="Q8" s="27"/>
      <c r="R8" s="27"/>
      <c r="S8" s="27"/>
      <c r="T8" s="27"/>
      <c r="U8" s="27"/>
      <c r="V8" s="27"/>
      <c r="W8" s="27"/>
      <c r="X8" s="27"/>
      <c r="Y8" s="27"/>
      <c r="Z8" s="27"/>
      <c r="AA8" s="27"/>
      <c r="AB8" s="27"/>
      <c r="AC8" s="27"/>
      <c r="AD8" s="27"/>
    </row>
    <row r="9" spans="1:246" ht="90.75" customHeight="1" x14ac:dyDescent="0.15">
      <c r="A9" s="15">
        <v>239</v>
      </c>
      <c r="B9" s="13"/>
      <c r="C9" s="40" t="s">
        <v>34</v>
      </c>
      <c r="D9" s="30" t="s">
        <v>24</v>
      </c>
      <c r="E9" s="30" t="s">
        <v>21</v>
      </c>
      <c r="F9" s="30">
        <v>43640</v>
      </c>
      <c r="G9" s="30">
        <v>43678</v>
      </c>
      <c r="H9" s="30">
        <v>43697</v>
      </c>
      <c r="I9" s="30">
        <v>43683</v>
      </c>
      <c r="J9" s="13" t="str">
        <f t="shared" ref="J9" ca="1" si="30">IF(AND(I9&lt;=$C$2,I9&lt;&gt;0),"DONE",IF(K9&lt;0,"OVERDUE",IF(AND(K9="",O9&lt;0),"OVERDUE","IN TIME")))</f>
        <v>DONE</v>
      </c>
      <c r="K9" s="13">
        <f t="shared" ref="K9" ca="1" si="31">IF(H9&gt;0,H9-$C$2,"")</f>
        <v>-328</v>
      </c>
      <c r="L9" s="13">
        <f t="shared" ref="L9" ca="1" si="32">IF(J9="OVERDUE",1,0)</f>
        <v>0</v>
      </c>
      <c r="M9" s="13">
        <f t="shared" ref="M9" ca="1" si="33">IF(J9="IN TIME",1,0)</f>
        <v>0</v>
      </c>
      <c r="N9" s="13">
        <f t="shared" ref="N9" ca="1" si="34">IF(J9="DONE",1,0)</f>
        <v>1</v>
      </c>
      <c r="O9" s="13">
        <f t="shared" ref="O9" ca="1" si="35">IF(G9&gt;0,G9-$C$2,"")</f>
        <v>-347</v>
      </c>
      <c r="P9" s="41" t="s">
        <v>35</v>
      </c>
      <c r="Q9" s="27"/>
      <c r="R9" s="27"/>
      <c r="S9" s="27"/>
      <c r="T9" s="27"/>
      <c r="U9" s="27"/>
      <c r="V9" s="27"/>
      <c r="W9" s="27"/>
      <c r="X9" s="27"/>
      <c r="Y9" s="27"/>
      <c r="Z9" s="27"/>
      <c r="AA9" s="27"/>
      <c r="AB9" s="27"/>
      <c r="AC9" s="27"/>
      <c r="AD9" s="27"/>
    </row>
    <row r="10" spans="1:246" ht="93" customHeight="1" x14ac:dyDescent="0.15">
      <c r="A10" s="15">
        <v>240</v>
      </c>
      <c r="B10" s="13"/>
      <c r="C10" s="28" t="s">
        <v>36</v>
      </c>
      <c r="D10" s="30" t="s">
        <v>37</v>
      </c>
      <c r="E10" s="30" t="s">
        <v>38</v>
      </c>
      <c r="F10" s="30">
        <v>43640</v>
      </c>
      <c r="G10" s="30">
        <v>43661</v>
      </c>
      <c r="H10" s="30">
        <v>43676</v>
      </c>
      <c r="I10" s="30">
        <v>43696</v>
      </c>
      <c r="J10" s="13" t="str">
        <f t="shared" ref="J10" ca="1" si="36">IF(AND(I10&lt;=$C$2,I10&lt;&gt;0),"DONE",IF(K10&lt;0,"OVERDUE",IF(AND(K10="",O10&lt;0),"OVERDUE","IN TIME")))</f>
        <v>DONE</v>
      </c>
      <c r="K10" s="13">
        <f t="shared" ref="K10" ca="1" si="37">IF(H10&gt;0,H10-$C$2,"")</f>
        <v>-349</v>
      </c>
      <c r="L10" s="13">
        <f t="shared" ref="L10" ca="1" si="38">IF(J10="OVERDUE",1,0)</f>
        <v>0</v>
      </c>
      <c r="M10" s="13">
        <f t="shared" ref="M10" ca="1" si="39">IF(J10="IN TIME",1,0)</f>
        <v>0</v>
      </c>
      <c r="N10" s="13">
        <f t="shared" ref="N10" ca="1" si="40">IF(J10="DONE",1,0)</f>
        <v>1</v>
      </c>
      <c r="O10" s="13">
        <f t="shared" ref="O10" ca="1" si="41">IF(G10&gt;0,G10-$C$2,"")</f>
        <v>-364</v>
      </c>
      <c r="P10" s="41" t="s">
        <v>39</v>
      </c>
      <c r="Q10" s="27"/>
      <c r="R10" s="27"/>
      <c r="S10" s="27"/>
      <c r="T10" s="27"/>
      <c r="U10" s="27"/>
      <c r="V10" s="27"/>
      <c r="W10" s="27"/>
      <c r="X10" s="27"/>
      <c r="Y10" s="27"/>
      <c r="Z10" s="27"/>
      <c r="AA10" s="27"/>
      <c r="AB10" s="27"/>
      <c r="AC10" s="27"/>
      <c r="AD10" s="27"/>
    </row>
    <row r="11" spans="1:246" ht="68.25" customHeight="1" x14ac:dyDescent="0.15">
      <c r="A11" s="15">
        <v>241</v>
      </c>
      <c r="B11" s="13"/>
      <c r="C11" s="28" t="s">
        <v>40</v>
      </c>
      <c r="D11" s="30" t="s">
        <v>24</v>
      </c>
      <c r="E11" s="30" t="s">
        <v>38</v>
      </c>
      <c r="F11" s="30">
        <v>43640</v>
      </c>
      <c r="G11" s="30">
        <v>43684</v>
      </c>
      <c r="H11" s="30">
        <v>43691</v>
      </c>
      <c r="I11" s="30">
        <v>43696</v>
      </c>
      <c r="J11" s="13" t="str">
        <f t="shared" ref="J11" ca="1" si="42">IF(AND(I11&lt;=$C$2,I11&lt;&gt;0),"DONE",IF(K11&lt;0,"OVERDUE",IF(AND(K11="",O11&lt;0),"OVERDUE","IN TIME")))</f>
        <v>DONE</v>
      </c>
      <c r="K11" s="13">
        <f t="shared" ref="K11" ca="1" si="43">IF(H11&gt;0,H11-$C$2,"")</f>
        <v>-334</v>
      </c>
      <c r="L11" s="13">
        <f t="shared" ref="L11" ca="1" si="44">IF(J11="OVERDUE",1,0)</f>
        <v>0</v>
      </c>
      <c r="M11" s="13">
        <f t="shared" ref="M11" ca="1" si="45">IF(J11="IN TIME",1,0)</f>
        <v>0</v>
      </c>
      <c r="N11" s="13">
        <f t="shared" ref="N11" ca="1" si="46">IF(J11="DONE",1,0)</f>
        <v>1</v>
      </c>
      <c r="O11" s="13">
        <f t="shared" ref="O11" ca="1" si="47">IF(G11&gt;0,G11-$C$2,"")</f>
        <v>-341</v>
      </c>
      <c r="P11" s="20" t="s">
        <v>41</v>
      </c>
      <c r="Q11" s="27"/>
      <c r="R11" s="27"/>
      <c r="S11" s="27"/>
      <c r="T11" s="27"/>
      <c r="U11" s="27"/>
      <c r="V11" s="27"/>
      <c r="W11" s="27"/>
      <c r="X11" s="27"/>
      <c r="Y11" s="27"/>
      <c r="Z11" s="27"/>
      <c r="AA11" s="27"/>
      <c r="AB11" s="27"/>
      <c r="AC11" s="27"/>
      <c r="AD11" s="27"/>
    </row>
    <row r="12" spans="1:246" ht="60" customHeight="1" x14ac:dyDescent="0.15">
      <c r="A12" s="15">
        <v>242</v>
      </c>
      <c r="B12" s="13"/>
      <c r="C12" s="28" t="s">
        <v>42</v>
      </c>
      <c r="D12" s="30" t="s">
        <v>37</v>
      </c>
      <c r="E12" s="30" t="s">
        <v>21</v>
      </c>
      <c r="F12" s="30">
        <v>43640</v>
      </c>
      <c r="G12" s="30">
        <v>43696</v>
      </c>
      <c r="H12" s="30">
        <v>43703</v>
      </c>
      <c r="I12" s="30">
        <v>43696</v>
      </c>
      <c r="J12" s="13" t="str">
        <f t="shared" ref="J12" ca="1" si="48">IF(AND(I12&lt;=$C$2,I12&lt;&gt;0),"DONE",IF(K12&lt;0,"OVERDUE",IF(AND(K12="",O12&lt;0),"OVERDUE","IN TIME")))</f>
        <v>DONE</v>
      </c>
      <c r="K12" s="13">
        <f t="shared" ref="K12" ca="1" si="49">IF(H12&gt;0,H12-$C$2,"")</f>
        <v>-322</v>
      </c>
      <c r="L12" s="13">
        <f t="shared" ref="L12" ca="1" si="50">IF(J12="OVERDUE",1,0)</f>
        <v>0</v>
      </c>
      <c r="M12" s="13">
        <f t="shared" ref="M12" ca="1" si="51">IF(J12="IN TIME",1,0)</f>
        <v>0</v>
      </c>
      <c r="N12" s="13">
        <f t="shared" ref="N12" ca="1" si="52">IF(J12="DONE",1,0)</f>
        <v>1</v>
      </c>
      <c r="O12" s="13">
        <f t="shared" ref="O12" ca="1" si="53">IF(G12&gt;0,G12-$C$2,"")</f>
        <v>-329</v>
      </c>
      <c r="P12" s="41" t="s">
        <v>43</v>
      </c>
      <c r="Q12" s="27"/>
      <c r="R12" s="27"/>
      <c r="S12" s="27"/>
      <c r="T12" s="27"/>
      <c r="U12" s="27"/>
      <c r="V12" s="27"/>
      <c r="W12" s="27"/>
      <c r="X12" s="27"/>
      <c r="Y12" s="27"/>
      <c r="Z12" s="27"/>
      <c r="AA12" s="27"/>
      <c r="AB12" s="27"/>
      <c r="AC12" s="27"/>
      <c r="AD12" s="27"/>
    </row>
    <row r="13" spans="1:246" ht="24.6" customHeight="1" x14ac:dyDescent="0.15">
      <c r="A13" s="15">
        <v>243</v>
      </c>
      <c r="B13" s="13"/>
      <c r="C13" s="28" t="s">
        <v>44</v>
      </c>
      <c r="D13" s="30" t="s">
        <v>24</v>
      </c>
      <c r="E13" s="30" t="s">
        <v>21</v>
      </c>
      <c r="F13" s="30">
        <v>43682</v>
      </c>
      <c r="G13" s="30">
        <v>43683</v>
      </c>
      <c r="H13" s="30">
        <v>43686</v>
      </c>
      <c r="I13" s="14">
        <v>43696</v>
      </c>
      <c r="J13" s="13" t="str">
        <f t="shared" ref="J13" ca="1" si="54">IF(AND(I13&lt;=$C$2,I13&lt;&gt;0),"DONE",IF(K13&lt;0,"OVERDUE",IF(AND(K13="",O13&lt;0),"OVERDUE","IN TIME")))</f>
        <v>DONE</v>
      </c>
      <c r="K13" s="13">
        <f t="shared" ref="K13" ca="1" si="55">IF(H13&gt;0,H13-$C$2,"")</f>
        <v>-339</v>
      </c>
      <c r="L13" s="13">
        <f t="shared" ref="L13" ca="1" si="56">IF(J13="OVERDUE",1,0)</f>
        <v>0</v>
      </c>
      <c r="M13" s="13">
        <f t="shared" ref="M13" ca="1" si="57">IF(J13="IN TIME",1,0)</f>
        <v>0</v>
      </c>
      <c r="N13" s="13">
        <f t="shared" ref="N13" ca="1" si="58">IF(J13="DONE",1,0)</f>
        <v>1</v>
      </c>
      <c r="O13" s="13">
        <f t="shared" ref="O13" ca="1" si="59">IF(G13&gt;0,G13-$C$2,"")</f>
        <v>-342</v>
      </c>
      <c r="P13" s="20" t="s">
        <v>45</v>
      </c>
      <c r="Q13" s="27"/>
      <c r="R13" s="27"/>
      <c r="S13" s="27"/>
      <c r="T13" s="27"/>
      <c r="U13" s="27"/>
      <c r="V13" s="27"/>
      <c r="W13" s="27"/>
      <c r="X13" s="27"/>
      <c r="Y13" s="27"/>
      <c r="Z13" s="27"/>
      <c r="AA13" s="27"/>
      <c r="AB13" s="27"/>
      <c r="AC13" s="27"/>
      <c r="AD13" s="27"/>
    </row>
    <row r="14" spans="1:246" ht="102" customHeight="1" x14ac:dyDescent="0.15">
      <c r="A14" s="15">
        <v>244</v>
      </c>
      <c r="B14" s="13"/>
      <c r="C14" s="28" t="s">
        <v>46</v>
      </c>
      <c r="D14" s="30" t="s">
        <v>24</v>
      </c>
      <c r="E14" s="30" t="s">
        <v>47</v>
      </c>
      <c r="F14" s="30">
        <v>43696</v>
      </c>
      <c r="G14" s="30">
        <v>43723</v>
      </c>
      <c r="H14" s="30"/>
      <c r="I14" s="31">
        <v>43871</v>
      </c>
      <c r="J14" s="13" t="str">
        <f t="shared" ref="J14" ca="1" si="60">IF(AND(I14&lt;=$C$2,I14&lt;&gt;0),"DONE",IF(K14&lt;0,"OVERDUE",IF(AND(K14="",O14&lt;0),"OVERDUE","IN TIME")))</f>
        <v>DONE</v>
      </c>
      <c r="K14" s="13" t="str">
        <f t="shared" ref="K14" si="61">IF(H14&gt;0,H14-$C$2,"")</f>
        <v/>
      </c>
      <c r="L14" s="13">
        <f t="shared" ref="L14" ca="1" si="62">IF(J14="OVERDUE",1,0)</f>
        <v>0</v>
      </c>
      <c r="M14" s="13">
        <f t="shared" ref="M14" ca="1" si="63">IF(J14="IN TIME",1,0)</f>
        <v>0</v>
      </c>
      <c r="N14" s="13">
        <f t="shared" ref="N14" ca="1" si="64">IF(J14="DONE",1,0)</f>
        <v>1</v>
      </c>
      <c r="O14" s="13">
        <f t="shared" ref="O14" ca="1" si="65">IF(G14&gt;0,G14-$C$2,"")</f>
        <v>-302</v>
      </c>
      <c r="P14" s="20" t="s">
        <v>48</v>
      </c>
      <c r="Q14" s="27"/>
      <c r="R14" s="27"/>
      <c r="S14" s="27"/>
      <c r="T14" s="27"/>
      <c r="U14" s="27"/>
      <c r="V14" s="27"/>
      <c r="W14" s="27"/>
      <c r="X14" s="27"/>
      <c r="Y14" s="27"/>
      <c r="Z14" s="27"/>
      <c r="AA14" s="27"/>
      <c r="AB14" s="27"/>
      <c r="AC14" s="27"/>
      <c r="AD14" s="27"/>
    </row>
    <row r="15" spans="1:246" ht="78.75" customHeight="1" x14ac:dyDescent="0.15">
      <c r="A15" s="15">
        <v>245</v>
      </c>
      <c r="B15" s="13"/>
      <c r="C15" s="16" t="s">
        <v>49</v>
      </c>
      <c r="D15" s="13" t="s">
        <v>24</v>
      </c>
      <c r="E15" s="13" t="s">
        <v>21</v>
      </c>
      <c r="F15" s="14">
        <v>43787</v>
      </c>
      <c r="G15" s="14">
        <v>43792</v>
      </c>
      <c r="H15" s="14"/>
      <c r="I15" s="14">
        <v>43801</v>
      </c>
      <c r="J15" s="13" t="str">
        <f t="shared" ref="J15" ca="1" si="66">IF(AND(I15&lt;=$C$2,I15&lt;&gt;0),"DONE",IF(K15&lt;0,"OVERDUE",IF(AND(K15="",O15&lt;0),"OVERDUE","IN TIME")))</f>
        <v>DONE</v>
      </c>
      <c r="K15" s="13" t="str">
        <f t="shared" ref="K15" si="67">IF(H15&gt;0,H15-$C$2,"")</f>
        <v/>
      </c>
      <c r="L15" s="13">
        <f t="shared" ref="L15" ca="1" si="68">IF(J15="OVERDUE",1,0)</f>
        <v>0</v>
      </c>
      <c r="M15" s="13">
        <f t="shared" ref="M15" ca="1" si="69">IF(J15="IN TIME",1,0)</f>
        <v>0</v>
      </c>
      <c r="N15" s="13">
        <f t="shared" ref="N15" ca="1" si="70">IF(J15="DONE",1,0)</f>
        <v>1</v>
      </c>
      <c r="O15" s="13">
        <f t="shared" ref="O15" ca="1" si="71">IF(G15&gt;0,G15-$C$2,"")</f>
        <v>-233</v>
      </c>
      <c r="P15" s="20" t="s">
        <v>50</v>
      </c>
      <c r="Q15" s="27"/>
      <c r="R15" s="27"/>
      <c r="S15" s="27"/>
      <c r="T15" s="27"/>
      <c r="U15" s="27"/>
      <c r="V15" s="27"/>
      <c r="W15" s="27"/>
      <c r="X15" s="27"/>
      <c r="Y15" s="27"/>
      <c r="Z15" s="27"/>
      <c r="AA15" s="27"/>
      <c r="AB15" s="27"/>
      <c r="AC15" s="27"/>
      <c r="AD15" s="27"/>
    </row>
    <row r="16" spans="1:246" ht="45.75" customHeight="1" x14ac:dyDescent="0.15">
      <c r="A16" s="15">
        <v>246</v>
      </c>
      <c r="B16" s="13"/>
      <c r="C16" s="12" t="s">
        <v>51</v>
      </c>
      <c r="D16" s="13" t="s">
        <v>24</v>
      </c>
      <c r="E16" s="13" t="s">
        <v>21</v>
      </c>
      <c r="F16" s="14">
        <v>43794</v>
      </c>
      <c r="G16" s="14">
        <v>43799</v>
      </c>
      <c r="H16" s="14"/>
      <c r="I16" s="14">
        <v>43806</v>
      </c>
      <c r="J16" s="13" t="str">
        <f t="shared" ref="J16" ca="1" si="72">IF(AND(I16&lt;=$C$2,I16&lt;&gt;0),"DONE",IF(K16&lt;0,"OVERDUE",IF(AND(K16="",O16&lt;0),"OVERDUE","IN TIME")))</f>
        <v>DONE</v>
      </c>
      <c r="K16" s="13" t="str">
        <f t="shared" ref="K16" si="73">IF(H16&gt;0,H16-$C$2,"")</f>
        <v/>
      </c>
      <c r="L16" s="13">
        <f t="shared" ref="L16" ca="1" si="74">IF(J16="OVERDUE",1,0)</f>
        <v>0</v>
      </c>
      <c r="M16" s="13">
        <f t="shared" ref="M16" ca="1" si="75">IF(J16="IN TIME",1,0)</f>
        <v>0</v>
      </c>
      <c r="N16" s="13">
        <f t="shared" ref="N16" ca="1" si="76">IF(J16="DONE",1,0)</f>
        <v>1</v>
      </c>
      <c r="O16" s="13">
        <f t="shared" ref="O16" ca="1" si="77">IF(G16&gt;0,G16-$C$2,"")</f>
        <v>-226</v>
      </c>
      <c r="P16" s="20" t="s">
        <v>52</v>
      </c>
      <c r="Q16" s="27"/>
      <c r="R16" s="27"/>
      <c r="S16" s="27"/>
      <c r="T16" s="27"/>
      <c r="U16" s="27"/>
      <c r="V16" s="27"/>
      <c r="W16" s="27"/>
      <c r="X16" s="27"/>
      <c r="Y16" s="27"/>
      <c r="Z16" s="27"/>
      <c r="AA16" s="27"/>
      <c r="AB16" s="27"/>
      <c r="AC16" s="27"/>
      <c r="AD16" s="27"/>
    </row>
    <row r="17" spans="1:30" ht="24.6" customHeight="1" x14ac:dyDescent="0.15">
      <c r="A17" s="15">
        <v>247</v>
      </c>
      <c r="B17" s="13"/>
      <c r="C17" s="12" t="s">
        <v>366</v>
      </c>
      <c r="D17" s="13" t="s">
        <v>24</v>
      </c>
      <c r="E17" s="13" t="s">
        <v>367</v>
      </c>
      <c r="F17" s="14">
        <v>43899</v>
      </c>
      <c r="G17" s="14">
        <v>43911</v>
      </c>
      <c r="H17" s="14"/>
      <c r="I17" s="14">
        <v>44025</v>
      </c>
      <c r="J17" s="13" t="str">
        <f t="shared" ref="J17" ca="1" si="78">IF(AND(I17&lt;=$C$2,I17&lt;&gt;0),"DONE",IF(K17&lt;0,"OVERDUE",IF(AND(K17="",O17&lt;0),"OVERDUE","IN TIME")))</f>
        <v>DONE</v>
      </c>
      <c r="K17" s="13" t="str">
        <f t="shared" ref="K17" si="79">IF(H17&gt;0,H17-$C$2,"")</f>
        <v/>
      </c>
      <c r="L17" s="13">
        <f t="shared" ref="L17" ca="1" si="80">IF(J17="OVERDUE",1,0)</f>
        <v>0</v>
      </c>
      <c r="M17" s="13">
        <f t="shared" ref="M17" ca="1" si="81">IF(J17="IN TIME",1,0)</f>
        <v>0</v>
      </c>
      <c r="N17" s="13">
        <f t="shared" ref="N17" ca="1" si="82">IF(J17="DONE",1,0)</f>
        <v>1</v>
      </c>
      <c r="O17" s="13">
        <f t="shared" ref="O17" ca="1" si="83">IF(G17&gt;0,G17-$C$2,"")</f>
        <v>-114</v>
      </c>
      <c r="P17" s="20" t="s">
        <v>520</v>
      </c>
      <c r="Q17" s="27"/>
      <c r="R17" s="27"/>
      <c r="S17" s="27"/>
      <c r="T17" s="27"/>
      <c r="U17" s="27"/>
      <c r="V17" s="27"/>
      <c r="W17" s="27"/>
      <c r="X17" s="27"/>
      <c r="Y17" s="27"/>
      <c r="Z17" s="27"/>
      <c r="AA17" s="27"/>
      <c r="AB17" s="27"/>
      <c r="AC17" s="27"/>
      <c r="AD17" s="27"/>
    </row>
    <row r="18" spans="1:30" ht="24.6" customHeight="1" x14ac:dyDescent="0.15">
      <c r="A18" s="15">
        <v>248</v>
      </c>
      <c r="B18" s="13"/>
      <c r="C18" s="12"/>
      <c r="D18" s="13"/>
      <c r="E18" s="13"/>
      <c r="F18" s="14"/>
      <c r="G18" s="14"/>
      <c r="H18" s="14"/>
      <c r="I18" s="14"/>
      <c r="J18" s="13" t="str">
        <f t="shared" ref="J18" ca="1" si="84">IF(AND(I18&lt;=$C$2,I18&lt;&gt;0),"DONE",IF(K18&lt;0,"OVERDUE",IF(AND(K18="",O18&lt;0),"OVERDUE","IN TIME")))</f>
        <v>IN TIME</v>
      </c>
      <c r="K18" s="13" t="str">
        <f t="shared" ref="K18" si="85">IF(H18&gt;0,H18-$C$2,"")</f>
        <v/>
      </c>
      <c r="L18" s="13">
        <f t="shared" ref="L18" ca="1" si="86">IF(J18="OVERDUE",1,0)</f>
        <v>0</v>
      </c>
      <c r="M18" s="13">
        <f t="shared" ref="M18" ca="1" si="87">IF(J18="IN TIME",1,0)</f>
        <v>1</v>
      </c>
      <c r="N18" s="13">
        <f t="shared" ref="N18" ca="1" si="88">IF(J18="DONE",1,0)</f>
        <v>0</v>
      </c>
      <c r="O18" s="13" t="str">
        <f t="shared" ref="O18" si="89">IF(G18&gt;0,G18-$C$2,"")</f>
        <v/>
      </c>
      <c r="P18" s="20"/>
      <c r="Q18" s="27"/>
      <c r="R18" s="27"/>
      <c r="S18" s="27"/>
      <c r="T18" s="27"/>
      <c r="U18" s="27"/>
      <c r="V18" s="27"/>
      <c r="W18" s="27"/>
      <c r="X18" s="27"/>
      <c r="Y18" s="27"/>
      <c r="Z18" s="27"/>
      <c r="AA18" s="27"/>
      <c r="AB18" s="27"/>
      <c r="AC18" s="27"/>
      <c r="AD18" s="27"/>
    </row>
  </sheetData>
  <autoFilter ref="A3:P18"/>
  <mergeCells count="2">
    <mergeCell ref="A1:P1"/>
    <mergeCell ref="A2:B2"/>
  </mergeCells>
  <phoneticPr fontId="34" type="noConversion"/>
  <conditionalFormatting sqref="J4">
    <cfRule type="cellIs" dxfId="389" priority="43" operator="equal">
      <formula>"OVERDUE"</formula>
    </cfRule>
    <cfRule type="cellIs" dxfId="388" priority="44" operator="equal">
      <formula>"DONE"</formula>
    </cfRule>
    <cfRule type="cellIs" dxfId="387" priority="45" operator="equal">
      <formula>"DONE"</formula>
    </cfRule>
  </conditionalFormatting>
  <conditionalFormatting sqref="J5">
    <cfRule type="cellIs" dxfId="386" priority="40" operator="equal">
      <formula>"OVERDUE"</formula>
    </cfRule>
    <cfRule type="cellIs" dxfId="385" priority="41" operator="equal">
      <formula>"DONE"</formula>
    </cfRule>
    <cfRule type="cellIs" dxfId="384" priority="42" operator="equal">
      <formula>"DONE"</formula>
    </cfRule>
  </conditionalFormatting>
  <conditionalFormatting sqref="J6">
    <cfRule type="cellIs" dxfId="383" priority="37" operator="equal">
      <formula>"OVERDUE"</formula>
    </cfRule>
    <cfRule type="cellIs" dxfId="382" priority="38" operator="equal">
      <formula>"DONE"</formula>
    </cfRule>
    <cfRule type="cellIs" dxfId="381" priority="39" operator="equal">
      <formula>"DONE"</formula>
    </cfRule>
  </conditionalFormatting>
  <conditionalFormatting sqref="J7">
    <cfRule type="cellIs" dxfId="380" priority="34" operator="equal">
      <formula>"OVERDUE"</formula>
    </cfRule>
    <cfRule type="cellIs" dxfId="379" priority="35" operator="equal">
      <formula>"DONE"</formula>
    </cfRule>
    <cfRule type="cellIs" dxfId="378" priority="36" operator="equal">
      <formula>"DONE"</formula>
    </cfRule>
  </conditionalFormatting>
  <conditionalFormatting sqref="J8">
    <cfRule type="cellIs" dxfId="377" priority="31" operator="equal">
      <formula>"OVERDUE"</formula>
    </cfRule>
    <cfRule type="cellIs" dxfId="376" priority="32" operator="equal">
      <formula>"DONE"</formula>
    </cfRule>
    <cfRule type="cellIs" dxfId="375" priority="33" operator="equal">
      <formula>"DONE"</formula>
    </cfRule>
  </conditionalFormatting>
  <conditionalFormatting sqref="J9">
    <cfRule type="cellIs" dxfId="374" priority="28" operator="equal">
      <formula>"OVERDUE"</formula>
    </cfRule>
    <cfRule type="cellIs" dxfId="373" priority="29" operator="equal">
      <formula>"DONE"</formula>
    </cfRule>
    <cfRule type="cellIs" dxfId="372" priority="30" operator="equal">
      <formula>"DONE"</formula>
    </cfRule>
  </conditionalFormatting>
  <conditionalFormatting sqref="J10">
    <cfRule type="cellIs" dxfId="371" priority="25" operator="equal">
      <formula>"OVERDUE"</formula>
    </cfRule>
    <cfRule type="cellIs" dxfId="370" priority="26" operator="equal">
      <formula>"DONE"</formula>
    </cfRule>
    <cfRule type="cellIs" dxfId="369" priority="27" operator="equal">
      <formula>"DONE"</formula>
    </cfRule>
  </conditionalFormatting>
  <conditionalFormatting sqref="J11">
    <cfRule type="cellIs" dxfId="368" priority="22" operator="equal">
      <formula>"OVERDUE"</formula>
    </cfRule>
    <cfRule type="cellIs" dxfId="367" priority="23" operator="equal">
      <formula>"DONE"</formula>
    </cfRule>
    <cfRule type="cellIs" dxfId="366" priority="24" operator="equal">
      <formula>"DONE"</formula>
    </cfRule>
  </conditionalFormatting>
  <conditionalFormatting sqref="J12">
    <cfRule type="cellIs" dxfId="365" priority="19" operator="equal">
      <formula>"OVERDUE"</formula>
    </cfRule>
    <cfRule type="cellIs" dxfId="364" priority="20" operator="equal">
      <formula>"DONE"</formula>
    </cfRule>
    <cfRule type="cellIs" dxfId="363" priority="21" operator="equal">
      <formula>"DONE"</formula>
    </cfRule>
  </conditionalFormatting>
  <conditionalFormatting sqref="J13">
    <cfRule type="cellIs" dxfId="362" priority="16" operator="equal">
      <formula>"OVERDUE"</formula>
    </cfRule>
    <cfRule type="cellIs" dxfId="361" priority="17" operator="equal">
      <formula>"DONE"</formula>
    </cfRule>
    <cfRule type="cellIs" dxfId="360" priority="18" operator="equal">
      <formula>"DONE"</formula>
    </cfRule>
  </conditionalFormatting>
  <conditionalFormatting sqref="J14">
    <cfRule type="cellIs" dxfId="359" priority="13" operator="equal">
      <formula>"OVERDUE"</formula>
    </cfRule>
    <cfRule type="cellIs" dxfId="358" priority="14" operator="equal">
      <formula>"DONE"</formula>
    </cfRule>
    <cfRule type="cellIs" dxfId="357" priority="15" operator="equal">
      <formula>"DONE"</formula>
    </cfRule>
  </conditionalFormatting>
  <conditionalFormatting sqref="J15">
    <cfRule type="cellIs" dxfId="356" priority="10" operator="equal">
      <formula>"OVERDUE"</formula>
    </cfRule>
    <cfRule type="cellIs" dxfId="355" priority="11" operator="equal">
      <formula>"DONE"</formula>
    </cfRule>
    <cfRule type="cellIs" dxfId="354" priority="12" operator="equal">
      <formula>"DONE"</formula>
    </cfRule>
  </conditionalFormatting>
  <conditionalFormatting sqref="J16">
    <cfRule type="cellIs" dxfId="353" priority="7" operator="equal">
      <formula>"OVERDUE"</formula>
    </cfRule>
    <cfRule type="cellIs" dxfId="352" priority="8" operator="equal">
      <formula>"DONE"</formula>
    </cfRule>
    <cfRule type="cellIs" dxfId="351" priority="9" operator="equal">
      <formula>"DONE"</formula>
    </cfRule>
  </conditionalFormatting>
  <conditionalFormatting sqref="J17">
    <cfRule type="cellIs" dxfId="350" priority="4" operator="equal">
      <formula>"OVERDUE"</formula>
    </cfRule>
    <cfRule type="cellIs" dxfId="349" priority="5" operator="equal">
      <formula>"DONE"</formula>
    </cfRule>
    <cfRule type="cellIs" dxfId="348" priority="6" operator="equal">
      <formula>"DONE"</formula>
    </cfRule>
  </conditionalFormatting>
  <conditionalFormatting sqref="J18">
    <cfRule type="cellIs" dxfId="347" priority="1" operator="equal">
      <formula>"OVERDUE"</formula>
    </cfRule>
    <cfRule type="cellIs" dxfId="346" priority="2" operator="equal">
      <formula>"DONE"</formula>
    </cfRule>
    <cfRule type="cellIs" dxfId="345" priority="3" operator="equal">
      <formula>"DONE"</formula>
    </cfRule>
  </conditionalFormatting>
  <conditionalFormatting sqref="J2:J3 J19:J1048576">
    <cfRule type="cellIs" dxfId="344" priority="901" operator="equal">
      <formula>"OVERDUE"</formula>
    </cfRule>
    <cfRule type="cellIs" dxfId="343" priority="902" operator="equal">
      <formula>"DONE"</formula>
    </cfRule>
    <cfRule type="cellIs" dxfId="342" priority="903" operator="equal">
      <formula>"DONE"</formula>
    </cfRule>
  </conditionalFormatting>
  <dataValidations count="1">
    <dataValidation type="list" allowBlank="1" showInputMessage="1" showErrorMessage="1" sqref="D1:D4 D15: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32" r:id="rId4" name="Button 12">
              <controlPr defaultSize="0" print="0" autoPict="0" macro="[0]!Insert_Line_moban">
                <anchor moveWithCells="1">
                  <from>
                    <xdr:col>0</xdr:col>
                    <xdr:colOff>104775</xdr:colOff>
                    <xdr:row>18</xdr:row>
                    <xdr:rowOff>85725</xdr:rowOff>
                  </from>
                  <to>
                    <xdr:col>2</xdr:col>
                    <xdr:colOff>695325</xdr:colOff>
                    <xdr:row>19</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IL14"/>
  <sheetViews>
    <sheetView workbookViewId="0">
      <pane ySplit="3" topLeftCell="A7" activePane="bottomLeft" state="frozen"/>
      <selection pane="bottomLeft" activeCell="C11" sqref="C11"/>
    </sheetView>
  </sheetViews>
  <sheetFormatPr defaultColWidth="9" defaultRowHeight="14.25" x14ac:dyDescent="0.15"/>
  <cols>
    <col min="1" max="1" width="5.375" style="1" customWidth="1"/>
    <col min="2" max="2" width="4.25" style="1" customWidth="1"/>
    <col min="3" max="3" width="37.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54" t="s">
        <v>0</v>
      </c>
      <c r="B1" s="154"/>
      <c r="C1" s="154"/>
      <c r="D1" s="154"/>
      <c r="E1" s="154"/>
      <c r="F1" s="154"/>
      <c r="G1" s="154"/>
      <c r="H1" s="154"/>
      <c r="I1" s="154"/>
      <c r="J1" s="154"/>
      <c r="K1" s="154"/>
      <c r="L1" s="154"/>
      <c r="M1" s="154"/>
      <c r="N1" s="154"/>
      <c r="O1" s="154"/>
      <c r="P1" s="15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5" t="s">
        <v>1</v>
      </c>
      <c r="B2" s="155"/>
      <c r="C2" s="5">
        <f ca="1">TODAY()</f>
        <v>44025</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76.5" customHeight="1" x14ac:dyDescent="0.15">
      <c r="A4" s="15">
        <v>234</v>
      </c>
      <c r="B4" s="13"/>
      <c r="C4" s="16" t="s">
        <v>53</v>
      </c>
      <c r="D4" s="13" t="s">
        <v>37</v>
      </c>
      <c r="E4" s="13" t="s">
        <v>47</v>
      </c>
      <c r="F4" s="14">
        <v>43689</v>
      </c>
      <c r="G4" s="14">
        <v>43693</v>
      </c>
      <c r="H4" s="14"/>
      <c r="I4" s="14">
        <v>43710</v>
      </c>
      <c r="J4" s="13" t="str">
        <f t="shared" ref="J4:J8" ca="1" si="0">IF(AND(I4&lt;=$C$2,I4&lt;&gt;0),"DONE",IF(K4&lt;0,"OVERDUE",IF(AND(K4="",O4&lt;0),"OVERDUE","IN TIME")))</f>
        <v>DONE</v>
      </c>
      <c r="K4" s="13" t="str">
        <f t="shared" ref="K4:K8" si="1">IF(H4&gt;0,H4-$C$2,"")</f>
        <v/>
      </c>
      <c r="L4" s="13">
        <f t="shared" ref="L4:L8" ca="1" si="2">IF(J4="OVERDUE",1,0)</f>
        <v>0</v>
      </c>
      <c r="M4" s="13">
        <f t="shared" ref="M4:M8" ca="1" si="3">IF(J4="IN TIME",1,0)</f>
        <v>0</v>
      </c>
      <c r="N4" s="13">
        <f t="shared" ref="N4:N8" ca="1" si="4">IF(J4="DONE",1,0)</f>
        <v>1</v>
      </c>
      <c r="O4" s="13">
        <f t="shared" ref="O4:O8" ca="1" si="5">IF(G4&gt;0,G4-$C$2,"")</f>
        <v>-332</v>
      </c>
      <c r="P4" s="20" t="s">
        <v>54</v>
      </c>
      <c r="Q4" s="27"/>
      <c r="R4" s="27"/>
      <c r="S4" s="27"/>
      <c r="T4" s="27"/>
      <c r="U4" s="27"/>
      <c r="V4" s="27"/>
      <c r="W4" s="27"/>
      <c r="X4" s="27"/>
      <c r="Y4" s="27"/>
      <c r="Z4" s="27"/>
      <c r="AA4" s="27"/>
      <c r="AB4" s="27"/>
      <c r="AC4" s="27"/>
      <c r="AD4" s="27"/>
    </row>
    <row r="5" spans="1:246" ht="144.75" customHeight="1" x14ac:dyDescent="0.15">
      <c r="A5" s="15">
        <v>235</v>
      </c>
      <c r="B5" s="13"/>
      <c r="C5" s="16" t="s">
        <v>55</v>
      </c>
      <c r="D5" s="13" t="s">
        <v>37</v>
      </c>
      <c r="E5" s="13" t="s">
        <v>47</v>
      </c>
      <c r="F5" s="14">
        <v>43696</v>
      </c>
      <c r="G5" s="14">
        <v>43707</v>
      </c>
      <c r="H5" s="14"/>
      <c r="I5" s="14">
        <v>43724</v>
      </c>
      <c r="J5" s="13" t="str">
        <f t="shared" ca="1" si="0"/>
        <v>DONE</v>
      </c>
      <c r="K5" s="13" t="str">
        <f t="shared" si="1"/>
        <v/>
      </c>
      <c r="L5" s="13">
        <f t="shared" ca="1" si="2"/>
        <v>0</v>
      </c>
      <c r="M5" s="13">
        <f t="shared" ca="1" si="3"/>
        <v>0</v>
      </c>
      <c r="N5" s="13">
        <f t="shared" ca="1" si="4"/>
        <v>1</v>
      </c>
      <c r="O5" s="13">
        <f t="shared" ca="1" si="5"/>
        <v>-318</v>
      </c>
      <c r="P5" s="20" t="s">
        <v>56</v>
      </c>
      <c r="Q5" s="27"/>
      <c r="R5" s="27"/>
      <c r="S5" s="27"/>
      <c r="T5" s="27"/>
      <c r="U5" s="27"/>
      <c r="V5" s="27"/>
      <c r="W5" s="27"/>
      <c r="X5" s="27"/>
      <c r="Y5" s="27"/>
      <c r="Z5" s="27"/>
      <c r="AA5" s="27"/>
      <c r="AB5" s="27"/>
      <c r="AC5" s="27"/>
      <c r="AD5" s="27"/>
    </row>
    <row r="6" spans="1:246" ht="78.75" customHeight="1" x14ac:dyDescent="0.15">
      <c r="A6" s="15">
        <v>236</v>
      </c>
      <c r="B6" s="13"/>
      <c r="C6" s="38" t="s">
        <v>57</v>
      </c>
      <c r="D6" s="11" t="s">
        <v>37</v>
      </c>
      <c r="E6" s="13" t="s">
        <v>47</v>
      </c>
      <c r="F6" s="14">
        <v>43710</v>
      </c>
      <c r="G6" s="14">
        <v>43714</v>
      </c>
      <c r="H6" s="14"/>
      <c r="I6" s="14"/>
      <c r="J6" s="13" t="str">
        <f t="shared" ca="1" si="0"/>
        <v>OVERDUE</v>
      </c>
      <c r="K6" s="13" t="str">
        <f t="shared" si="1"/>
        <v/>
      </c>
      <c r="L6" s="13">
        <f t="shared" ca="1" si="2"/>
        <v>1</v>
      </c>
      <c r="M6" s="13">
        <f t="shared" ca="1" si="3"/>
        <v>0</v>
      </c>
      <c r="N6" s="13">
        <f t="shared" ca="1" si="4"/>
        <v>0</v>
      </c>
      <c r="O6" s="13">
        <f t="shared" ca="1" si="5"/>
        <v>-311</v>
      </c>
      <c r="P6" s="20" t="s">
        <v>58</v>
      </c>
      <c r="Q6" s="27"/>
      <c r="R6" s="27"/>
      <c r="S6" s="27"/>
      <c r="T6" s="27"/>
      <c r="U6" s="27"/>
      <c r="V6" s="27"/>
      <c r="W6" s="27"/>
      <c r="X6" s="27"/>
      <c r="Y6" s="27"/>
      <c r="Z6" s="27"/>
      <c r="AA6" s="27"/>
      <c r="AB6" s="27"/>
      <c r="AC6" s="27"/>
      <c r="AD6" s="27"/>
    </row>
    <row r="7" spans="1:246" ht="60" customHeight="1" x14ac:dyDescent="0.15">
      <c r="A7" s="15">
        <v>237</v>
      </c>
      <c r="B7" s="13"/>
      <c r="C7" s="39" t="s">
        <v>59</v>
      </c>
      <c r="D7" s="13" t="s">
        <v>37</v>
      </c>
      <c r="E7" s="13" t="s">
        <v>47</v>
      </c>
      <c r="F7" s="14">
        <v>43717</v>
      </c>
      <c r="G7" s="14">
        <v>43721</v>
      </c>
      <c r="H7" s="14"/>
      <c r="I7" s="14"/>
      <c r="J7" s="13" t="str">
        <f t="shared" ca="1" si="0"/>
        <v>OVERDUE</v>
      </c>
      <c r="K7" s="13" t="str">
        <f t="shared" si="1"/>
        <v/>
      </c>
      <c r="L7" s="13">
        <f t="shared" ca="1" si="2"/>
        <v>1</v>
      </c>
      <c r="M7" s="13">
        <f t="shared" ca="1" si="3"/>
        <v>0</v>
      </c>
      <c r="N7" s="13">
        <f t="shared" ca="1" si="4"/>
        <v>0</v>
      </c>
      <c r="O7" s="13">
        <f t="shared" ca="1" si="5"/>
        <v>-304</v>
      </c>
      <c r="P7" s="20" t="s">
        <v>60</v>
      </c>
      <c r="Q7" s="27"/>
      <c r="R7" s="27"/>
      <c r="S7" s="27"/>
      <c r="T7" s="27"/>
      <c r="U7" s="27"/>
      <c r="V7" s="27"/>
      <c r="W7" s="27"/>
      <c r="X7" s="27"/>
      <c r="Y7" s="27"/>
      <c r="Z7" s="27"/>
      <c r="AA7" s="27"/>
      <c r="AB7" s="27"/>
      <c r="AC7" s="27"/>
      <c r="AD7" s="27"/>
    </row>
    <row r="8" spans="1:246" ht="24.6" customHeight="1" x14ac:dyDescent="0.15">
      <c r="A8" s="15">
        <v>238</v>
      </c>
      <c r="B8" s="13"/>
      <c r="C8" s="39" t="s">
        <v>61</v>
      </c>
      <c r="D8" s="13" t="s">
        <v>37</v>
      </c>
      <c r="E8" s="13" t="s">
        <v>47</v>
      </c>
      <c r="F8" s="14">
        <v>43724</v>
      </c>
      <c r="G8" s="14">
        <v>43726</v>
      </c>
      <c r="H8" s="14"/>
      <c r="I8" s="14"/>
      <c r="J8" s="13" t="str">
        <f t="shared" ca="1" si="0"/>
        <v>OVERDUE</v>
      </c>
      <c r="K8" s="13" t="str">
        <f t="shared" si="1"/>
        <v/>
      </c>
      <c r="L8" s="13">
        <f t="shared" ca="1" si="2"/>
        <v>1</v>
      </c>
      <c r="M8" s="13">
        <f t="shared" ca="1" si="3"/>
        <v>0</v>
      </c>
      <c r="N8" s="13">
        <f t="shared" ca="1" si="4"/>
        <v>0</v>
      </c>
      <c r="O8" s="13">
        <f t="shared" ca="1" si="5"/>
        <v>-299</v>
      </c>
      <c r="P8" s="20"/>
      <c r="Q8" s="27"/>
      <c r="R8" s="27"/>
      <c r="S8" s="27"/>
      <c r="T8" s="27"/>
      <c r="U8" s="27"/>
      <c r="V8" s="27"/>
      <c r="W8" s="27"/>
      <c r="X8" s="27"/>
      <c r="Y8" s="27"/>
      <c r="Z8" s="27"/>
      <c r="AA8" s="27"/>
      <c r="AB8" s="27"/>
      <c r="AC8" s="27"/>
      <c r="AD8" s="27"/>
    </row>
    <row r="9" spans="1:246" ht="24.6" customHeight="1" x14ac:dyDescent="0.15">
      <c r="A9" s="15">
        <v>239</v>
      </c>
      <c r="B9" s="13"/>
      <c r="C9" s="39" t="s">
        <v>62</v>
      </c>
      <c r="D9" s="13" t="s">
        <v>37</v>
      </c>
      <c r="E9" s="13" t="s">
        <v>47</v>
      </c>
      <c r="F9" s="14">
        <v>43727</v>
      </c>
      <c r="G9" s="14">
        <v>43735</v>
      </c>
      <c r="H9" s="14"/>
      <c r="I9" s="14"/>
      <c r="J9" s="13" t="str">
        <f t="shared" ref="J9" ca="1" si="6">IF(AND(I9&lt;=$C$2,I9&lt;&gt;0),"DONE",IF(K9&lt;0,"OVERDUE",IF(AND(K9="",O9&lt;0),"OVERDUE","IN TIME")))</f>
        <v>OVERDUE</v>
      </c>
      <c r="K9" s="13" t="str">
        <f t="shared" ref="K9" si="7">IF(H9&gt;0,H9-$C$2,"")</f>
        <v/>
      </c>
      <c r="L9" s="13">
        <f t="shared" ref="L9" ca="1" si="8">IF(J9="OVERDUE",1,0)</f>
        <v>1</v>
      </c>
      <c r="M9" s="13">
        <f t="shared" ref="M9" ca="1" si="9">IF(J9="IN TIME",1,0)</f>
        <v>0</v>
      </c>
      <c r="N9" s="13">
        <f t="shared" ref="N9" ca="1" si="10">IF(J9="DONE",1,0)</f>
        <v>0</v>
      </c>
      <c r="O9" s="13">
        <f t="shared" ref="O9" ca="1" si="11">IF(G9&gt;0,G9-$C$2,"")</f>
        <v>-290</v>
      </c>
      <c r="P9" s="20"/>
      <c r="Q9" s="27"/>
      <c r="R9" s="27"/>
      <c r="S9" s="27"/>
      <c r="T9" s="27"/>
      <c r="U9" s="27"/>
      <c r="V9" s="27"/>
      <c r="W9" s="27"/>
      <c r="X9" s="27"/>
      <c r="Y9" s="27"/>
      <c r="Z9" s="27"/>
      <c r="AA9" s="27"/>
      <c r="AB9" s="27"/>
      <c r="AC9" s="27"/>
      <c r="AD9" s="27"/>
    </row>
    <row r="10" spans="1:246" ht="60.75" customHeight="1" x14ac:dyDescent="0.15">
      <c r="A10" s="15">
        <v>240</v>
      </c>
      <c r="B10" s="13"/>
      <c r="C10" s="39" t="s">
        <v>63</v>
      </c>
      <c r="D10" s="13" t="s">
        <v>37</v>
      </c>
      <c r="E10" s="13" t="s">
        <v>47</v>
      </c>
      <c r="F10" s="14">
        <v>43735</v>
      </c>
      <c r="G10" s="14">
        <v>43738</v>
      </c>
      <c r="H10" s="14"/>
      <c r="I10" s="14"/>
      <c r="J10" s="13" t="str">
        <f t="shared" ref="J10" ca="1" si="12">IF(AND(I10&lt;=$C$2,I10&lt;&gt;0),"DONE",IF(K10&lt;0,"OVERDUE",IF(AND(K10="",O10&lt;0),"OVERDUE","IN TIME")))</f>
        <v>OVERDUE</v>
      </c>
      <c r="K10" s="13" t="str">
        <f t="shared" ref="K10" si="13">IF(H10&gt;0,H10-$C$2,"")</f>
        <v/>
      </c>
      <c r="L10" s="13">
        <f t="shared" ref="L10" ca="1" si="14">IF(J10="OVERDUE",1,0)</f>
        <v>1</v>
      </c>
      <c r="M10" s="13">
        <f t="shared" ref="M10" ca="1" si="15">IF(J10="IN TIME",1,0)</f>
        <v>0</v>
      </c>
      <c r="N10" s="13">
        <f t="shared" ref="N10" ca="1" si="16">IF(J10="DONE",1,0)</f>
        <v>0</v>
      </c>
      <c r="O10" s="13">
        <f t="shared" ref="O10" ca="1" si="17">IF(G10&gt;0,G10-$C$2,"")</f>
        <v>-287</v>
      </c>
      <c r="P10" s="20"/>
      <c r="Q10" s="27"/>
      <c r="R10" s="27"/>
      <c r="S10" s="27"/>
      <c r="T10" s="27"/>
      <c r="U10" s="27"/>
      <c r="V10" s="27"/>
      <c r="W10" s="27"/>
      <c r="X10" s="27"/>
      <c r="Y10" s="27"/>
      <c r="Z10" s="27"/>
      <c r="AA10" s="27"/>
      <c r="AB10" s="27"/>
      <c r="AC10" s="27"/>
      <c r="AD10" s="27"/>
    </row>
    <row r="11" spans="1:246" ht="24.6" customHeight="1" x14ac:dyDescent="0.15">
      <c r="A11" s="15">
        <v>241</v>
      </c>
      <c r="B11" s="13"/>
      <c r="C11" s="12"/>
      <c r="D11" s="13"/>
      <c r="E11" s="13"/>
      <c r="F11" s="14"/>
      <c r="G11" s="14"/>
      <c r="H11" s="14"/>
      <c r="I11" s="14"/>
      <c r="J11" s="13" t="str">
        <f t="shared" ref="J11" ca="1" si="18">IF(AND(I11&lt;=$C$2,I11&lt;&gt;0),"DONE",IF(K11&lt;0,"OVERDUE",IF(AND(K11="",O11&lt;0),"OVERDUE","IN TIME")))</f>
        <v>IN TIME</v>
      </c>
      <c r="K11" s="13" t="str">
        <f t="shared" ref="K11" si="19">IF(H11&gt;0,H11-$C$2,"")</f>
        <v/>
      </c>
      <c r="L11" s="13">
        <f t="shared" ref="L11" ca="1" si="20">IF(J11="OVERDUE",1,0)</f>
        <v>0</v>
      </c>
      <c r="M11" s="13">
        <f t="shared" ref="M11" ca="1" si="21">IF(J11="IN TIME",1,0)</f>
        <v>1</v>
      </c>
      <c r="N11" s="13">
        <f t="shared" ref="N11" ca="1" si="22">IF(J11="DONE",1,0)</f>
        <v>0</v>
      </c>
      <c r="O11" s="13" t="str">
        <f t="shared" ref="O11" si="23">IF(G11&gt;0,G11-$C$2,"")</f>
        <v/>
      </c>
      <c r="P11" s="20"/>
      <c r="Q11" s="27"/>
      <c r="R11" s="27"/>
      <c r="S11" s="27"/>
      <c r="T11" s="27"/>
      <c r="U11" s="27"/>
      <c r="V11" s="27"/>
      <c r="W11" s="27"/>
      <c r="X11" s="27"/>
      <c r="Y11" s="27"/>
      <c r="Z11" s="27"/>
      <c r="AA11" s="27"/>
      <c r="AB11" s="27"/>
      <c r="AC11" s="27"/>
      <c r="AD11" s="27"/>
    </row>
    <row r="12" spans="1:246" ht="24.6" customHeight="1" x14ac:dyDescent="0.15">
      <c r="A12" s="15">
        <v>242</v>
      </c>
      <c r="B12" s="13"/>
      <c r="C12" s="12"/>
      <c r="D12" s="13"/>
      <c r="E12" s="13"/>
      <c r="F12" s="14"/>
      <c r="G12" s="14"/>
      <c r="H12" s="14"/>
      <c r="I12" s="14"/>
      <c r="J12" s="13" t="str">
        <f t="shared" ref="J12" ca="1" si="24">IF(AND(I12&lt;=$C$2,I12&lt;&gt;0),"DONE",IF(K12&lt;0,"OVERDUE",IF(AND(K12="",O12&lt;0),"OVERDUE","IN TIME")))</f>
        <v>IN TIME</v>
      </c>
      <c r="K12" s="13" t="str">
        <f t="shared" ref="K12" si="25">IF(H12&gt;0,H12-$C$2,"")</f>
        <v/>
      </c>
      <c r="L12" s="13">
        <f t="shared" ref="L12" ca="1" si="26">IF(J12="OVERDUE",1,0)</f>
        <v>0</v>
      </c>
      <c r="M12" s="13">
        <f t="shared" ref="M12" ca="1" si="27">IF(J12="IN TIME",1,0)</f>
        <v>1</v>
      </c>
      <c r="N12" s="13">
        <f t="shared" ref="N12" ca="1" si="28">IF(J12="DONE",1,0)</f>
        <v>0</v>
      </c>
      <c r="O12" s="13" t="str">
        <f t="shared" ref="O12" si="29">IF(G12&gt;0,G12-$C$2,"")</f>
        <v/>
      </c>
      <c r="P12" s="20"/>
      <c r="Q12" s="27"/>
      <c r="R12" s="27"/>
      <c r="S12" s="27"/>
      <c r="T12" s="27"/>
      <c r="U12" s="27"/>
      <c r="V12" s="27"/>
      <c r="W12" s="27"/>
      <c r="X12" s="27"/>
      <c r="Y12" s="27"/>
      <c r="Z12" s="27"/>
      <c r="AA12" s="27"/>
      <c r="AB12" s="27"/>
      <c r="AC12" s="27"/>
      <c r="AD12" s="27"/>
    </row>
    <row r="13" spans="1:246" ht="24.6" customHeight="1" x14ac:dyDescent="0.15">
      <c r="A13" s="15">
        <v>243</v>
      </c>
      <c r="B13" s="13"/>
      <c r="C13" s="12"/>
      <c r="D13" s="13"/>
      <c r="E13" s="13"/>
      <c r="F13" s="14"/>
      <c r="G13" s="14"/>
      <c r="H13" s="14"/>
      <c r="I13" s="14"/>
      <c r="J13" s="13" t="str">
        <f t="shared" ref="J13" ca="1" si="30">IF(AND(I13&lt;=$C$2,I13&lt;&gt;0),"DONE",IF(K13&lt;0,"OVERDUE",IF(AND(K13="",O13&lt;0),"OVERDUE","IN TIME")))</f>
        <v>IN TIME</v>
      </c>
      <c r="K13" s="13" t="str">
        <f t="shared" ref="K13" si="31">IF(H13&gt;0,H13-$C$2,"")</f>
        <v/>
      </c>
      <c r="L13" s="13">
        <f t="shared" ref="L13" ca="1" si="32">IF(J13="OVERDUE",1,0)</f>
        <v>0</v>
      </c>
      <c r="M13" s="13">
        <f t="shared" ref="M13" ca="1" si="33">IF(J13="IN TIME",1,0)</f>
        <v>1</v>
      </c>
      <c r="N13" s="13">
        <f t="shared" ref="N13" ca="1" si="34">IF(J13="DONE",1,0)</f>
        <v>0</v>
      </c>
      <c r="O13" s="13" t="str">
        <f t="shared" ref="O13" si="35">IF(G13&gt;0,G13-$C$2,"")</f>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36">IF(AND(I14&lt;=$C$2,I14&lt;&gt;0),"DONE",IF(K14&lt;0,"OVERDUE",IF(AND(K14="",O14&lt;0),"OVERDUE","IN TIME")))</f>
        <v>IN TIME</v>
      </c>
      <c r="K14" s="13" t="str">
        <f t="shared" ref="K14" si="37">IF(H14&gt;0,H14-$C$2,"")</f>
        <v/>
      </c>
      <c r="L14" s="13">
        <f t="shared" ref="L14" ca="1" si="38">IF(J14="OVERDUE",1,0)</f>
        <v>0</v>
      </c>
      <c r="M14" s="13">
        <f t="shared" ref="M14" ca="1" si="39">IF(J14="IN TIME",1,0)</f>
        <v>1</v>
      </c>
      <c r="N14" s="13">
        <f t="shared" ref="N14" ca="1" si="40">IF(J14="DONE",1,0)</f>
        <v>0</v>
      </c>
      <c r="O14" s="13" t="str">
        <f t="shared" ref="O14" si="41">IF(G14&gt;0,G14-$C$2,"")</f>
        <v/>
      </c>
      <c r="P14" s="20"/>
      <c r="Q14" s="27"/>
      <c r="R14" s="27"/>
      <c r="S14" s="27"/>
      <c r="T14" s="27"/>
      <c r="U14" s="27"/>
      <c r="V14" s="27"/>
      <c r="W14" s="27"/>
      <c r="X14" s="27"/>
      <c r="Y14" s="27"/>
      <c r="Z14" s="27"/>
      <c r="AA14" s="27"/>
      <c r="AB14" s="27"/>
      <c r="AC14" s="27"/>
      <c r="AD14" s="27"/>
    </row>
  </sheetData>
  <autoFilter ref="A3:P14"/>
  <mergeCells count="2">
    <mergeCell ref="A1:P1"/>
    <mergeCell ref="A2:B2"/>
  </mergeCells>
  <phoneticPr fontId="34" type="noConversion"/>
  <conditionalFormatting sqref="J4">
    <cfRule type="cellIs" dxfId="341" priority="31" operator="equal">
      <formula>"OVERDUE"</formula>
    </cfRule>
    <cfRule type="cellIs" dxfId="340" priority="32" operator="equal">
      <formula>"DONE"</formula>
    </cfRule>
    <cfRule type="cellIs" dxfId="339" priority="33" operator="equal">
      <formula>"DONE"</formula>
    </cfRule>
  </conditionalFormatting>
  <conditionalFormatting sqref="J5">
    <cfRule type="cellIs" dxfId="338" priority="28" operator="equal">
      <formula>"OVERDUE"</formula>
    </cfRule>
    <cfRule type="cellIs" dxfId="337" priority="29" operator="equal">
      <formula>"DONE"</formula>
    </cfRule>
    <cfRule type="cellIs" dxfId="336" priority="30" operator="equal">
      <formula>"DONE"</formula>
    </cfRule>
  </conditionalFormatting>
  <conditionalFormatting sqref="J6">
    <cfRule type="cellIs" dxfId="335" priority="25" operator="equal">
      <formula>"OVERDUE"</formula>
    </cfRule>
    <cfRule type="cellIs" dxfId="334" priority="26" operator="equal">
      <formula>"DONE"</formula>
    </cfRule>
    <cfRule type="cellIs" dxfId="333" priority="27" operator="equal">
      <formula>"DONE"</formula>
    </cfRule>
  </conditionalFormatting>
  <conditionalFormatting sqref="J7">
    <cfRule type="cellIs" dxfId="332" priority="22" operator="equal">
      <formula>"OVERDUE"</formula>
    </cfRule>
    <cfRule type="cellIs" dxfId="331" priority="23" operator="equal">
      <formula>"DONE"</formula>
    </cfRule>
    <cfRule type="cellIs" dxfId="330" priority="24" operator="equal">
      <formula>"DONE"</formula>
    </cfRule>
  </conditionalFormatting>
  <conditionalFormatting sqref="J8">
    <cfRule type="cellIs" dxfId="329" priority="19" operator="equal">
      <formula>"OVERDUE"</formula>
    </cfRule>
    <cfRule type="cellIs" dxfId="328" priority="20" operator="equal">
      <formula>"DONE"</formula>
    </cfRule>
    <cfRule type="cellIs" dxfId="327" priority="21" operator="equal">
      <formula>"DONE"</formula>
    </cfRule>
  </conditionalFormatting>
  <conditionalFormatting sqref="J9">
    <cfRule type="cellIs" dxfId="326" priority="16" operator="equal">
      <formula>"OVERDUE"</formula>
    </cfRule>
    <cfRule type="cellIs" dxfId="325" priority="17" operator="equal">
      <formula>"DONE"</formula>
    </cfRule>
    <cfRule type="cellIs" dxfId="324" priority="18" operator="equal">
      <formula>"DONE"</formula>
    </cfRule>
  </conditionalFormatting>
  <conditionalFormatting sqref="J10">
    <cfRule type="cellIs" dxfId="323" priority="13" operator="equal">
      <formula>"OVERDUE"</formula>
    </cfRule>
    <cfRule type="cellIs" dxfId="322" priority="14" operator="equal">
      <formula>"DONE"</formula>
    </cfRule>
    <cfRule type="cellIs" dxfId="321" priority="15" operator="equal">
      <formula>"DONE"</formula>
    </cfRule>
  </conditionalFormatting>
  <conditionalFormatting sqref="J11">
    <cfRule type="cellIs" dxfId="320" priority="10" operator="equal">
      <formula>"OVERDUE"</formula>
    </cfRule>
    <cfRule type="cellIs" dxfId="319" priority="11" operator="equal">
      <formula>"DONE"</formula>
    </cfRule>
    <cfRule type="cellIs" dxfId="318" priority="12" operator="equal">
      <formula>"DONE"</formula>
    </cfRule>
  </conditionalFormatting>
  <conditionalFormatting sqref="J12">
    <cfRule type="cellIs" dxfId="317" priority="7" operator="equal">
      <formula>"OVERDUE"</formula>
    </cfRule>
    <cfRule type="cellIs" dxfId="316" priority="8" operator="equal">
      <formula>"DONE"</formula>
    </cfRule>
    <cfRule type="cellIs" dxfId="315" priority="9" operator="equal">
      <formula>"DONE"</formula>
    </cfRule>
  </conditionalFormatting>
  <conditionalFormatting sqref="J13">
    <cfRule type="cellIs" dxfId="314" priority="4" operator="equal">
      <formula>"OVERDUE"</formula>
    </cfRule>
    <cfRule type="cellIs" dxfId="313" priority="5" operator="equal">
      <formula>"DONE"</formula>
    </cfRule>
    <cfRule type="cellIs" dxfId="312" priority="6" operator="equal">
      <formula>"DONE"</formula>
    </cfRule>
  </conditionalFormatting>
  <conditionalFormatting sqref="J14">
    <cfRule type="cellIs" dxfId="311" priority="1" operator="equal">
      <formula>"OVERDUE"</formula>
    </cfRule>
    <cfRule type="cellIs" dxfId="310" priority="2" operator="equal">
      <formula>"DONE"</formula>
    </cfRule>
    <cfRule type="cellIs" dxfId="309" priority="3" operator="equal">
      <formula>"DONE"</formula>
    </cfRule>
  </conditionalFormatting>
  <conditionalFormatting sqref="J2:J3 J15:J1048576">
    <cfRule type="cellIs" dxfId="308" priority="34" operator="equal">
      <formula>"OVERDUE"</formula>
    </cfRule>
    <cfRule type="cellIs" dxfId="307" priority="35" operator="equal">
      <formula>"DONE"</formula>
    </cfRule>
    <cfRule type="cellIs" dxfId="306" priority="36"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Pict="0" macro="[0]!Insert_Line_moban">
                <anchor moveWithCells="1">
                  <from>
                    <xdr:col>0</xdr:col>
                    <xdr:colOff>104775</xdr:colOff>
                    <xdr:row>14</xdr:row>
                    <xdr:rowOff>85725</xdr:rowOff>
                  </from>
                  <to>
                    <xdr:col>2</xdr:col>
                    <xdr:colOff>695325</xdr:colOff>
                    <xdr:row>15</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A1:IL15"/>
  <sheetViews>
    <sheetView workbookViewId="0">
      <pane ySplit="3" topLeftCell="A4" activePane="bottomLeft" state="frozen"/>
      <selection pane="bottomLeft" activeCell="G11" sqref="G11"/>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54" t="s">
        <v>0</v>
      </c>
      <c r="B1" s="154"/>
      <c r="C1" s="154"/>
      <c r="D1" s="154"/>
      <c r="E1" s="154"/>
      <c r="F1" s="154"/>
      <c r="G1" s="154"/>
      <c r="H1" s="154"/>
      <c r="I1" s="154"/>
      <c r="J1" s="154"/>
      <c r="K1" s="154"/>
      <c r="L1" s="154"/>
      <c r="M1" s="154"/>
      <c r="N1" s="154"/>
      <c r="O1" s="154"/>
      <c r="P1" s="15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5" t="s">
        <v>1</v>
      </c>
      <c r="B2" s="155"/>
      <c r="C2" s="5">
        <f ca="1">TODAY()</f>
        <v>44025</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58.5" customHeight="1" x14ac:dyDescent="0.15">
      <c r="A4" s="15">
        <v>234</v>
      </c>
      <c r="B4" s="13"/>
      <c r="C4" s="28" t="s">
        <v>64</v>
      </c>
      <c r="D4" s="29" t="s">
        <v>24</v>
      </c>
      <c r="E4" s="30" t="s">
        <v>47</v>
      </c>
      <c r="F4" s="30">
        <v>43640</v>
      </c>
      <c r="G4" s="30">
        <v>43676</v>
      </c>
      <c r="H4" s="31">
        <v>43703</v>
      </c>
      <c r="I4" s="31">
        <v>43724</v>
      </c>
      <c r="J4" s="13" t="str">
        <f t="shared" ref="J4:J13" ca="1" si="0">IF(AND(I4&lt;=$C$2,I4&lt;&gt;0),"DONE",IF(K4&lt;0,"OVERDUE",IF(AND(K4="",O4&lt;0),"OVERDUE","IN TIME")))</f>
        <v>DONE</v>
      </c>
      <c r="K4" s="13">
        <f t="shared" ref="K4:K13" ca="1" si="1">IF(H4&gt;0,H4-$C$2,"")</f>
        <v>-322</v>
      </c>
      <c r="L4" s="13">
        <f t="shared" ref="L4:L13" ca="1" si="2">IF(J4="OVERDUE",1,0)</f>
        <v>0</v>
      </c>
      <c r="M4" s="13">
        <f t="shared" ref="M4:M13" ca="1" si="3">IF(J4="IN TIME",1,0)</f>
        <v>0</v>
      </c>
      <c r="N4" s="13">
        <f t="shared" ref="N4:N13" ca="1" si="4">IF(J4="DONE",1,0)</f>
        <v>1</v>
      </c>
      <c r="O4" s="13">
        <f t="shared" ref="O4:O13" ca="1" si="5">IF(G4&gt;0,G4-$C$2,"")</f>
        <v>-349</v>
      </c>
      <c r="P4" s="20" t="s">
        <v>65</v>
      </c>
      <c r="Q4" s="27"/>
      <c r="R4" s="27"/>
      <c r="S4" s="27"/>
      <c r="T4" s="27"/>
      <c r="U4" s="27"/>
      <c r="V4" s="27"/>
      <c r="W4" s="27"/>
      <c r="X4" s="27"/>
      <c r="Y4" s="27"/>
      <c r="Z4" s="27"/>
      <c r="AA4" s="27"/>
      <c r="AB4" s="27"/>
      <c r="AC4" s="27"/>
      <c r="AD4" s="27"/>
    </row>
    <row r="5" spans="1:246" ht="60.75" customHeight="1" x14ac:dyDescent="0.15">
      <c r="A5" s="32">
        <v>235</v>
      </c>
      <c r="B5" s="32"/>
      <c r="C5" s="33" t="s">
        <v>66</v>
      </c>
      <c r="D5" s="34" t="s">
        <v>37</v>
      </c>
      <c r="E5" s="35" t="s">
        <v>25</v>
      </c>
      <c r="F5" s="35">
        <v>43640</v>
      </c>
      <c r="G5" s="35">
        <v>43653</v>
      </c>
      <c r="H5" s="35">
        <v>43727</v>
      </c>
      <c r="I5" s="35">
        <v>44093</v>
      </c>
      <c r="J5" s="32" t="str">
        <f t="shared" ca="1" si="0"/>
        <v>OVERDUE</v>
      </c>
      <c r="K5" s="32">
        <f t="shared" ca="1" si="1"/>
        <v>-298</v>
      </c>
      <c r="L5" s="32">
        <f t="shared" ca="1" si="2"/>
        <v>1</v>
      </c>
      <c r="M5" s="32">
        <f t="shared" ca="1" si="3"/>
        <v>0</v>
      </c>
      <c r="N5" s="32">
        <f t="shared" ca="1" si="4"/>
        <v>0</v>
      </c>
      <c r="O5" s="32">
        <f t="shared" ca="1" si="5"/>
        <v>-372</v>
      </c>
      <c r="P5" s="36" t="s">
        <v>67</v>
      </c>
      <c r="Q5" s="27"/>
      <c r="R5" s="27"/>
      <c r="S5" s="27"/>
      <c r="T5" s="27"/>
      <c r="U5" s="27"/>
      <c r="V5" s="27"/>
      <c r="W5" s="27"/>
      <c r="X5" s="27"/>
      <c r="Y5" s="27"/>
      <c r="Z5" s="27"/>
      <c r="AA5" s="27"/>
      <c r="AB5" s="27"/>
      <c r="AC5" s="27"/>
      <c r="AD5" s="27"/>
    </row>
    <row r="6" spans="1:246" ht="152.25" customHeight="1" x14ac:dyDescent="0.15">
      <c r="A6" s="15">
        <v>236</v>
      </c>
      <c r="B6" s="13"/>
      <c r="C6" s="16" t="s">
        <v>68</v>
      </c>
      <c r="D6" s="13" t="s">
        <v>24</v>
      </c>
      <c r="E6" s="13" t="s">
        <v>47</v>
      </c>
      <c r="F6" s="14">
        <v>43675</v>
      </c>
      <c r="G6" s="14">
        <v>43707</v>
      </c>
      <c r="H6" s="14"/>
      <c r="I6" s="14">
        <v>43746</v>
      </c>
      <c r="J6" s="13" t="str">
        <f t="shared" ca="1" si="0"/>
        <v>DONE</v>
      </c>
      <c r="K6" s="13" t="str">
        <f t="shared" si="1"/>
        <v/>
      </c>
      <c r="L6" s="13">
        <f t="shared" ca="1" si="2"/>
        <v>0</v>
      </c>
      <c r="M6" s="13">
        <f t="shared" ca="1" si="3"/>
        <v>0</v>
      </c>
      <c r="N6" s="13">
        <f t="shared" ca="1" si="4"/>
        <v>1</v>
      </c>
      <c r="O6" s="13">
        <f t="shared" ca="1" si="5"/>
        <v>-318</v>
      </c>
      <c r="P6" s="20" t="s">
        <v>69</v>
      </c>
      <c r="Q6" s="27"/>
      <c r="R6" s="27"/>
      <c r="S6" s="27"/>
      <c r="T6" s="27"/>
      <c r="U6" s="27"/>
      <c r="V6" s="27"/>
      <c r="W6" s="27"/>
      <c r="X6" s="27"/>
      <c r="Y6" s="27"/>
      <c r="Z6" s="27"/>
      <c r="AA6" s="27"/>
      <c r="AB6" s="27"/>
      <c r="AC6" s="27"/>
      <c r="AD6" s="27"/>
    </row>
    <row r="7" spans="1:246" ht="63.75" customHeight="1" x14ac:dyDescent="0.15">
      <c r="A7" s="15">
        <v>237</v>
      </c>
      <c r="B7" s="13"/>
      <c r="C7" s="12" t="s">
        <v>70</v>
      </c>
      <c r="D7" s="13" t="s">
        <v>37</v>
      </c>
      <c r="E7" s="13" t="s">
        <v>25</v>
      </c>
      <c r="F7" s="14">
        <v>43724</v>
      </c>
      <c r="G7" s="14">
        <v>43776</v>
      </c>
      <c r="H7" s="14"/>
      <c r="I7" s="14">
        <v>43759</v>
      </c>
      <c r="J7" s="13" t="str">
        <f t="shared" ca="1" si="0"/>
        <v>DONE</v>
      </c>
      <c r="K7" s="13" t="str">
        <f t="shared" si="1"/>
        <v/>
      </c>
      <c r="L7" s="13">
        <f t="shared" ca="1" si="2"/>
        <v>0</v>
      </c>
      <c r="M7" s="13">
        <f t="shared" ca="1" si="3"/>
        <v>0</v>
      </c>
      <c r="N7" s="13">
        <f t="shared" ca="1" si="4"/>
        <v>1</v>
      </c>
      <c r="O7" s="13">
        <f t="shared" ca="1" si="5"/>
        <v>-249</v>
      </c>
      <c r="P7" s="20" t="s">
        <v>71</v>
      </c>
      <c r="Q7" s="27"/>
      <c r="R7" s="27"/>
      <c r="S7" s="27"/>
      <c r="T7" s="27"/>
      <c r="U7" s="27"/>
      <c r="V7" s="27"/>
      <c r="W7" s="27"/>
      <c r="X7" s="27"/>
      <c r="Y7" s="27"/>
      <c r="Z7" s="27"/>
      <c r="AA7" s="27"/>
      <c r="AB7" s="27"/>
      <c r="AC7" s="27"/>
      <c r="AD7" s="27"/>
    </row>
    <row r="8" spans="1:246" ht="63.75" customHeight="1" x14ac:dyDescent="0.15">
      <c r="A8" s="15">
        <v>238</v>
      </c>
      <c r="B8" s="13"/>
      <c r="C8" s="12" t="s">
        <v>72</v>
      </c>
      <c r="D8" s="13" t="s">
        <v>37</v>
      </c>
      <c r="E8" s="13" t="s">
        <v>25</v>
      </c>
      <c r="F8" s="14">
        <v>43724</v>
      </c>
      <c r="G8" s="14">
        <v>43776</v>
      </c>
      <c r="H8" s="14"/>
      <c r="I8" s="14">
        <v>43773</v>
      </c>
      <c r="J8" s="13" t="str">
        <f t="shared" ca="1" si="0"/>
        <v>DONE</v>
      </c>
      <c r="K8" s="13" t="str">
        <f t="shared" si="1"/>
        <v/>
      </c>
      <c r="L8" s="13">
        <f t="shared" ca="1" si="2"/>
        <v>0</v>
      </c>
      <c r="M8" s="13">
        <f t="shared" ca="1" si="3"/>
        <v>0</v>
      </c>
      <c r="N8" s="13">
        <f t="shared" ca="1" si="4"/>
        <v>1</v>
      </c>
      <c r="O8" s="13">
        <f t="shared" ca="1" si="5"/>
        <v>-249</v>
      </c>
      <c r="P8" s="20" t="s">
        <v>73</v>
      </c>
      <c r="Q8" s="27"/>
      <c r="R8" s="27"/>
      <c r="S8" s="27"/>
      <c r="T8" s="27"/>
      <c r="U8" s="27"/>
      <c r="V8" s="27"/>
      <c r="W8" s="27"/>
      <c r="X8" s="27"/>
      <c r="Y8" s="27"/>
      <c r="Z8" s="27"/>
      <c r="AA8" s="27"/>
      <c r="AB8" s="27"/>
      <c r="AC8" s="27"/>
      <c r="AD8" s="27"/>
    </row>
    <row r="9" spans="1:246" ht="78.75" customHeight="1" x14ac:dyDescent="0.15">
      <c r="A9" s="15">
        <v>239</v>
      </c>
      <c r="B9" s="13"/>
      <c r="C9" s="12" t="s">
        <v>74</v>
      </c>
      <c r="D9" s="13" t="s">
        <v>37</v>
      </c>
      <c r="E9" s="13" t="s">
        <v>25</v>
      </c>
      <c r="F9" s="14">
        <v>43724</v>
      </c>
      <c r="G9" s="14">
        <v>43776</v>
      </c>
      <c r="H9" s="14"/>
      <c r="I9" s="14">
        <v>43773</v>
      </c>
      <c r="J9" s="13" t="str">
        <f t="shared" ca="1" si="0"/>
        <v>DONE</v>
      </c>
      <c r="K9" s="13" t="str">
        <f t="shared" si="1"/>
        <v/>
      </c>
      <c r="L9" s="13">
        <f t="shared" ca="1" si="2"/>
        <v>0</v>
      </c>
      <c r="M9" s="13">
        <f t="shared" ca="1" si="3"/>
        <v>0</v>
      </c>
      <c r="N9" s="13">
        <f t="shared" ca="1" si="4"/>
        <v>1</v>
      </c>
      <c r="O9" s="13">
        <f t="shared" ca="1" si="5"/>
        <v>-249</v>
      </c>
      <c r="P9" s="20" t="s">
        <v>75</v>
      </c>
      <c r="Q9" s="27"/>
      <c r="R9" s="27"/>
      <c r="S9" s="27"/>
      <c r="T9" s="27"/>
      <c r="U9" s="27"/>
      <c r="V9" s="27"/>
      <c r="W9" s="27"/>
      <c r="X9" s="27"/>
      <c r="Y9" s="27"/>
      <c r="Z9" s="27"/>
      <c r="AA9" s="27"/>
      <c r="AB9" s="27"/>
      <c r="AC9" s="27"/>
      <c r="AD9" s="27"/>
    </row>
    <row r="10" spans="1:246" ht="102" customHeight="1" x14ac:dyDescent="0.15">
      <c r="A10" s="15">
        <v>240</v>
      </c>
      <c r="B10" s="13"/>
      <c r="C10" s="12" t="s">
        <v>76</v>
      </c>
      <c r="D10" s="13" t="s">
        <v>37</v>
      </c>
      <c r="E10" s="13" t="s">
        <v>77</v>
      </c>
      <c r="F10" s="14">
        <v>43724</v>
      </c>
      <c r="G10" s="14">
        <v>43776</v>
      </c>
      <c r="H10" s="14"/>
      <c r="I10" s="14">
        <v>43773</v>
      </c>
      <c r="J10" s="13" t="str">
        <f t="shared" ca="1" si="0"/>
        <v>DONE</v>
      </c>
      <c r="K10" s="13" t="str">
        <f t="shared" si="1"/>
        <v/>
      </c>
      <c r="L10" s="13">
        <f t="shared" ca="1" si="2"/>
        <v>0</v>
      </c>
      <c r="M10" s="13">
        <f t="shared" ca="1" si="3"/>
        <v>0</v>
      </c>
      <c r="N10" s="13">
        <f t="shared" ca="1" si="4"/>
        <v>1</v>
      </c>
      <c r="O10" s="13">
        <f t="shared" ca="1" si="5"/>
        <v>-249</v>
      </c>
      <c r="P10" s="20" t="s">
        <v>78</v>
      </c>
      <c r="Q10" s="27"/>
      <c r="R10" s="27"/>
      <c r="S10" s="27"/>
      <c r="T10" s="27"/>
      <c r="U10" s="27"/>
      <c r="V10" s="27"/>
      <c r="W10" s="27"/>
      <c r="X10" s="27"/>
      <c r="Y10" s="27"/>
      <c r="Z10" s="27"/>
      <c r="AA10" s="27"/>
      <c r="AB10" s="27"/>
      <c r="AC10" s="27"/>
      <c r="AD10" s="27"/>
    </row>
    <row r="11" spans="1:246" ht="85.5" customHeight="1" x14ac:dyDescent="0.15">
      <c r="A11" s="15">
        <v>241</v>
      </c>
      <c r="B11" s="13"/>
      <c r="C11" s="16" t="s">
        <v>79</v>
      </c>
      <c r="D11" s="13" t="s">
        <v>24</v>
      </c>
      <c r="E11" s="13" t="s">
        <v>47</v>
      </c>
      <c r="F11" s="14">
        <v>43746</v>
      </c>
      <c r="G11" s="14"/>
      <c r="H11" s="14"/>
      <c r="I11" s="14">
        <v>43773</v>
      </c>
      <c r="J11" s="13" t="str">
        <f t="shared" ca="1" si="0"/>
        <v>DONE</v>
      </c>
      <c r="K11" s="13" t="str">
        <f t="shared" si="1"/>
        <v/>
      </c>
      <c r="L11" s="13">
        <f t="shared" ca="1" si="2"/>
        <v>0</v>
      </c>
      <c r="M11" s="13">
        <f t="shared" ca="1" si="3"/>
        <v>0</v>
      </c>
      <c r="N11" s="13">
        <f t="shared" ca="1" si="4"/>
        <v>1</v>
      </c>
      <c r="O11" s="13" t="str">
        <f t="shared" si="5"/>
        <v/>
      </c>
      <c r="P11" s="20" t="s">
        <v>80</v>
      </c>
      <c r="Q11" s="27"/>
      <c r="R11" s="27"/>
      <c r="S11" s="27"/>
      <c r="T11" s="27"/>
      <c r="U11" s="27"/>
      <c r="V11" s="27"/>
      <c r="W11" s="27"/>
      <c r="X11" s="27"/>
      <c r="Y11" s="27"/>
      <c r="Z11" s="27"/>
      <c r="AA11" s="27"/>
      <c r="AB11" s="27"/>
      <c r="AC11" s="27"/>
      <c r="AD11" s="27"/>
    </row>
    <row r="12" spans="1:246" ht="51" customHeight="1" x14ac:dyDescent="0.15">
      <c r="A12" s="15">
        <v>242</v>
      </c>
      <c r="B12" s="13"/>
      <c r="C12" s="12" t="s">
        <v>81</v>
      </c>
      <c r="D12" s="13" t="s">
        <v>24</v>
      </c>
      <c r="E12" s="13" t="s">
        <v>47</v>
      </c>
      <c r="F12" s="14">
        <v>43781</v>
      </c>
      <c r="G12" s="14"/>
      <c r="H12" s="14"/>
      <c r="I12" s="14"/>
      <c r="J12" s="13" t="str">
        <f t="shared" ca="1" si="0"/>
        <v>IN TIME</v>
      </c>
      <c r="K12" s="13" t="str">
        <f t="shared" si="1"/>
        <v/>
      </c>
      <c r="L12" s="13">
        <f t="shared" ca="1" si="2"/>
        <v>0</v>
      </c>
      <c r="M12" s="13">
        <f t="shared" ca="1" si="3"/>
        <v>1</v>
      </c>
      <c r="N12" s="13">
        <f t="shared" ca="1" si="4"/>
        <v>0</v>
      </c>
      <c r="O12" s="13" t="str">
        <f t="shared" si="5"/>
        <v/>
      </c>
      <c r="P12" s="20" t="s">
        <v>82</v>
      </c>
      <c r="Q12" s="27"/>
      <c r="R12" s="27"/>
      <c r="S12" s="27"/>
      <c r="T12" s="27"/>
      <c r="U12" s="27"/>
      <c r="V12" s="27"/>
      <c r="W12" s="27"/>
      <c r="X12" s="27"/>
      <c r="Y12" s="27"/>
      <c r="Z12" s="27"/>
      <c r="AA12" s="27"/>
      <c r="AB12" s="27"/>
      <c r="AC12" s="27"/>
      <c r="AD12" s="27"/>
    </row>
    <row r="13" spans="1:246" ht="24.6" customHeight="1" x14ac:dyDescent="0.15">
      <c r="A13" s="15">
        <v>243</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6">IF(AND(I14&lt;=$C$2,I14&lt;&gt;0),"DONE",IF(K14&lt;0,"OVERDUE",IF(AND(K14="",O14&lt;0),"OVERDUE","IN TIME")))</f>
        <v>IN TIME</v>
      </c>
      <c r="K14" s="13" t="str">
        <f t="shared" ref="K14" si="7">IF(H14&gt;0,H14-$C$2,"")</f>
        <v/>
      </c>
      <c r="L14" s="13">
        <f t="shared" ref="L14" ca="1" si="8">IF(J14="OVERDUE",1,0)</f>
        <v>0</v>
      </c>
      <c r="M14" s="13">
        <f t="shared" ref="M14" ca="1" si="9">IF(J14="IN TIME",1,0)</f>
        <v>1</v>
      </c>
      <c r="N14" s="13">
        <f t="shared" ref="N14" ca="1" si="10">IF(J14="DONE",1,0)</f>
        <v>0</v>
      </c>
      <c r="O14" s="13" t="str">
        <f t="shared" ref="O14" si="11">IF(G14&gt;0,G14-$C$2,"")</f>
        <v/>
      </c>
      <c r="P14" s="20"/>
      <c r="Q14" s="27"/>
      <c r="R14" s="27"/>
      <c r="S14" s="27"/>
      <c r="T14" s="27"/>
      <c r="U14" s="27"/>
      <c r="V14" s="27"/>
      <c r="W14" s="27"/>
      <c r="X14" s="27"/>
      <c r="Y14" s="27"/>
      <c r="Z14" s="27"/>
      <c r="AA14" s="27"/>
      <c r="AB14" s="27"/>
      <c r="AC14" s="27"/>
      <c r="AD14" s="27"/>
    </row>
    <row r="15" spans="1:246" ht="24.6" customHeight="1" x14ac:dyDescent="0.15">
      <c r="A15" s="15">
        <v>245</v>
      </c>
      <c r="B15" s="13"/>
      <c r="C15" s="12"/>
      <c r="D15" s="13"/>
      <c r="E15" s="13"/>
      <c r="F15" s="14"/>
      <c r="G15" s="14"/>
      <c r="H15" s="14"/>
      <c r="I15" s="14"/>
      <c r="J15" s="13" t="str">
        <f t="shared" ref="J15" ca="1" si="12">IF(AND(I15&lt;=$C$2,I15&lt;&gt;0),"DONE",IF(K15&lt;0,"OVERDUE",IF(AND(K15="",O15&lt;0),"OVERDUE","IN TIME")))</f>
        <v>IN TIME</v>
      </c>
      <c r="K15" s="13" t="str">
        <f t="shared" ref="K15" si="13">IF(H15&gt;0,H15-$C$2,"")</f>
        <v/>
      </c>
      <c r="L15" s="13">
        <f t="shared" ref="L15" ca="1" si="14">IF(J15="OVERDUE",1,0)</f>
        <v>0</v>
      </c>
      <c r="M15" s="13">
        <f t="shared" ref="M15" ca="1" si="15">IF(J15="IN TIME",1,0)</f>
        <v>1</v>
      </c>
      <c r="N15" s="13">
        <f t="shared" ref="N15" ca="1" si="16">IF(J15="DONE",1,0)</f>
        <v>0</v>
      </c>
      <c r="O15" s="13" t="str">
        <f t="shared" ref="O15" si="17">IF(G15&gt;0,G15-$C$2,"")</f>
        <v/>
      </c>
      <c r="P15" s="20"/>
      <c r="Q15" s="27"/>
      <c r="R15" s="27"/>
      <c r="S15" s="27"/>
      <c r="T15" s="27"/>
      <c r="U15" s="27"/>
      <c r="V15" s="27"/>
      <c r="W15" s="27"/>
      <c r="X15" s="27"/>
      <c r="Y15" s="27"/>
      <c r="Z15" s="27"/>
      <c r="AA15" s="27"/>
      <c r="AB15" s="27"/>
      <c r="AC15" s="27"/>
      <c r="AD15" s="27"/>
    </row>
  </sheetData>
  <autoFilter ref="A3:P15"/>
  <mergeCells count="2">
    <mergeCell ref="A1:P1"/>
    <mergeCell ref="A2:B2"/>
  </mergeCells>
  <phoneticPr fontId="34" type="noConversion"/>
  <conditionalFormatting sqref="J4">
    <cfRule type="cellIs" dxfId="305" priority="34" operator="equal">
      <formula>"OVERDUE"</formula>
    </cfRule>
    <cfRule type="cellIs" dxfId="304" priority="35" operator="equal">
      <formula>"DONE"</formula>
    </cfRule>
    <cfRule type="cellIs" dxfId="303" priority="36" operator="equal">
      <formula>"DONE"</formula>
    </cfRule>
  </conditionalFormatting>
  <conditionalFormatting sqref="J5">
    <cfRule type="cellIs" dxfId="302" priority="31" operator="equal">
      <formula>"OVERDUE"</formula>
    </cfRule>
    <cfRule type="cellIs" dxfId="301" priority="32" operator="equal">
      <formula>"DONE"</formula>
    </cfRule>
    <cfRule type="cellIs" dxfId="300" priority="33" operator="equal">
      <formula>"DONE"</formula>
    </cfRule>
  </conditionalFormatting>
  <conditionalFormatting sqref="J6">
    <cfRule type="cellIs" dxfId="299" priority="28" operator="equal">
      <formula>"OVERDUE"</formula>
    </cfRule>
    <cfRule type="cellIs" dxfId="298" priority="29" operator="equal">
      <formula>"DONE"</formula>
    </cfRule>
    <cfRule type="cellIs" dxfId="297" priority="30" operator="equal">
      <formula>"DONE"</formula>
    </cfRule>
  </conditionalFormatting>
  <conditionalFormatting sqref="J7">
    <cfRule type="cellIs" dxfId="296" priority="25" operator="equal">
      <formula>"OVERDUE"</formula>
    </cfRule>
    <cfRule type="cellIs" dxfId="295" priority="26" operator="equal">
      <formula>"DONE"</formula>
    </cfRule>
    <cfRule type="cellIs" dxfId="294" priority="27" operator="equal">
      <formula>"DONE"</formula>
    </cfRule>
  </conditionalFormatting>
  <conditionalFormatting sqref="J8">
    <cfRule type="cellIs" dxfId="293" priority="22" operator="equal">
      <formula>"OVERDUE"</formula>
    </cfRule>
    <cfRule type="cellIs" dxfId="292" priority="23" operator="equal">
      <formula>"DONE"</formula>
    </cfRule>
    <cfRule type="cellIs" dxfId="291" priority="24" operator="equal">
      <formula>"DONE"</formula>
    </cfRule>
  </conditionalFormatting>
  <conditionalFormatting sqref="J9">
    <cfRule type="cellIs" dxfId="290" priority="19" operator="equal">
      <formula>"OVERDUE"</formula>
    </cfRule>
    <cfRule type="cellIs" dxfId="289" priority="20" operator="equal">
      <formula>"DONE"</formula>
    </cfRule>
    <cfRule type="cellIs" dxfId="288" priority="21" operator="equal">
      <formula>"DONE"</formula>
    </cfRule>
  </conditionalFormatting>
  <conditionalFormatting sqref="J10">
    <cfRule type="cellIs" dxfId="287" priority="16" operator="equal">
      <formula>"OVERDUE"</formula>
    </cfRule>
    <cfRule type="cellIs" dxfId="286" priority="17" operator="equal">
      <formula>"DONE"</formula>
    </cfRule>
    <cfRule type="cellIs" dxfId="285" priority="18" operator="equal">
      <formula>"DONE"</formula>
    </cfRule>
  </conditionalFormatting>
  <conditionalFormatting sqref="J11">
    <cfRule type="cellIs" dxfId="284" priority="13" operator="equal">
      <formula>"OVERDUE"</formula>
    </cfRule>
    <cfRule type="cellIs" dxfId="283" priority="14" operator="equal">
      <formula>"DONE"</formula>
    </cfRule>
    <cfRule type="cellIs" dxfId="282" priority="15" operator="equal">
      <formula>"DONE"</formula>
    </cfRule>
  </conditionalFormatting>
  <conditionalFormatting sqref="J12">
    <cfRule type="cellIs" dxfId="281" priority="10" operator="equal">
      <formula>"OVERDUE"</formula>
    </cfRule>
    <cfRule type="cellIs" dxfId="280" priority="11" operator="equal">
      <formula>"DONE"</formula>
    </cfRule>
    <cfRule type="cellIs" dxfId="279" priority="12" operator="equal">
      <formula>"DONE"</formula>
    </cfRule>
  </conditionalFormatting>
  <conditionalFormatting sqref="J13">
    <cfRule type="cellIs" dxfId="278" priority="7" operator="equal">
      <formula>"OVERDUE"</formula>
    </cfRule>
    <cfRule type="cellIs" dxfId="277" priority="8" operator="equal">
      <formula>"DONE"</formula>
    </cfRule>
    <cfRule type="cellIs" dxfId="276" priority="9" operator="equal">
      <formula>"DONE"</formula>
    </cfRule>
  </conditionalFormatting>
  <conditionalFormatting sqref="J14">
    <cfRule type="cellIs" dxfId="275" priority="4" operator="equal">
      <formula>"OVERDUE"</formula>
    </cfRule>
    <cfRule type="cellIs" dxfId="274" priority="5" operator="equal">
      <formula>"DONE"</formula>
    </cfRule>
    <cfRule type="cellIs" dxfId="273" priority="6" operator="equal">
      <formula>"DONE"</formula>
    </cfRule>
  </conditionalFormatting>
  <conditionalFormatting sqref="J15">
    <cfRule type="cellIs" dxfId="272" priority="1" operator="equal">
      <formula>"OVERDUE"</formula>
    </cfRule>
    <cfRule type="cellIs" dxfId="271" priority="2" operator="equal">
      <formula>"DONE"</formula>
    </cfRule>
    <cfRule type="cellIs" dxfId="270" priority="3" operator="equal">
      <formula>"DONE"</formula>
    </cfRule>
  </conditionalFormatting>
  <conditionalFormatting sqref="J2:J3 J16:J1048576">
    <cfRule type="cellIs" dxfId="269" priority="37" operator="equal">
      <formula>"OVERDUE"</formula>
    </cfRule>
    <cfRule type="cellIs" dxfId="268" priority="38" operator="equal">
      <formula>"DONE"</formula>
    </cfRule>
    <cfRule type="cellIs" dxfId="267" priority="39" operator="equal">
      <formula>"DONE"</formula>
    </cfRule>
  </conditionalFormatting>
  <dataValidations count="1">
    <dataValidation type="list" allowBlank="1" showInputMessage="1" showErrorMessage="1" sqref="D1:D3 D6: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Pict="0" macro="[0]!Insert_Line_moban">
                <anchor moveWithCells="1">
                  <from>
                    <xdr:col>0</xdr:col>
                    <xdr:colOff>104775</xdr:colOff>
                    <xdr:row>15</xdr:row>
                    <xdr:rowOff>85725</xdr:rowOff>
                  </from>
                  <to>
                    <xdr:col>2</xdr:col>
                    <xdr:colOff>695325</xdr:colOff>
                    <xdr:row>16</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181" activePane="bottomLeft" state="frozen"/>
      <selection pane="bottomLeft" activeCell="D130" sqref="D130"/>
    </sheetView>
  </sheetViews>
  <sheetFormatPr defaultRowHeight="30" customHeight="1" x14ac:dyDescent="0.3"/>
  <cols>
    <col min="1" max="1" width="3.125" style="46" customWidth="1"/>
    <col min="2" max="2" width="31.875" style="44" customWidth="1"/>
    <col min="3" max="3" width="9.875" style="44" customWidth="1"/>
    <col min="4" max="4" width="13" style="44" customWidth="1"/>
    <col min="5" max="5" width="11.625" style="45" customWidth="1"/>
    <col min="6" max="6" width="11.25" style="44" customWidth="1"/>
    <col min="7" max="7" width="3.125" style="44" customWidth="1"/>
    <col min="8" max="8" width="7.875" style="44" customWidth="1"/>
    <col min="9" max="9" width="39.625" style="44" customWidth="1"/>
    <col min="10" max="65" width="3" style="44" customWidth="1"/>
    <col min="66" max="16384" width="9" style="44"/>
  </cols>
  <sheetData>
    <row r="1" spans="1:65" ht="30" customHeight="1" x14ac:dyDescent="0.55000000000000004">
      <c r="A1" s="59" t="s">
        <v>338</v>
      </c>
      <c r="B1" s="121" t="s">
        <v>337</v>
      </c>
      <c r="C1" s="120"/>
      <c r="D1" s="117"/>
      <c r="E1" s="119"/>
      <c r="F1" s="118"/>
      <c r="H1" s="117"/>
      <c r="I1" s="117"/>
      <c r="J1" s="49" t="s">
        <v>336</v>
      </c>
    </row>
    <row r="2" spans="1:65" ht="30" customHeight="1" x14ac:dyDescent="0.35">
      <c r="A2" s="46" t="s">
        <v>335</v>
      </c>
      <c r="B2" s="116" t="s">
        <v>334</v>
      </c>
      <c r="J2" s="115" t="s">
        <v>333</v>
      </c>
    </row>
    <row r="3" spans="1:65" ht="30" customHeight="1" x14ac:dyDescent="0.3">
      <c r="A3" s="46" t="s">
        <v>332</v>
      </c>
      <c r="B3" s="114" t="s">
        <v>331</v>
      </c>
      <c r="C3" s="160" t="s">
        <v>330</v>
      </c>
      <c r="D3" s="161"/>
      <c r="E3" s="159">
        <v>43647</v>
      </c>
      <c r="F3" s="159"/>
    </row>
    <row r="4" spans="1:65" ht="30" customHeight="1" x14ac:dyDescent="0.3">
      <c r="A4" s="59" t="s">
        <v>329</v>
      </c>
      <c r="C4" s="160" t="s">
        <v>328</v>
      </c>
      <c r="D4" s="161"/>
      <c r="E4" s="113">
        <v>25</v>
      </c>
      <c r="J4" s="156">
        <f>J5</f>
        <v>43814</v>
      </c>
      <c r="K4" s="157"/>
      <c r="L4" s="157"/>
      <c r="M4" s="157"/>
      <c r="N4" s="157"/>
      <c r="O4" s="157"/>
      <c r="P4" s="158"/>
      <c r="Q4" s="156">
        <f>Q5</f>
        <v>43821</v>
      </c>
      <c r="R4" s="157"/>
      <c r="S4" s="157"/>
      <c r="T4" s="157"/>
      <c r="U4" s="157"/>
      <c r="V4" s="157"/>
      <c r="W4" s="158"/>
      <c r="X4" s="156">
        <f>X5</f>
        <v>43828</v>
      </c>
      <c r="Y4" s="157"/>
      <c r="Z4" s="157"/>
      <c r="AA4" s="157"/>
      <c r="AB4" s="157"/>
      <c r="AC4" s="157"/>
      <c r="AD4" s="158"/>
      <c r="AE4" s="156">
        <f>AE5</f>
        <v>43835</v>
      </c>
      <c r="AF4" s="157"/>
      <c r="AG4" s="157"/>
      <c r="AH4" s="157"/>
      <c r="AI4" s="157"/>
      <c r="AJ4" s="157"/>
      <c r="AK4" s="158"/>
      <c r="AL4" s="156">
        <f>AL5</f>
        <v>43842</v>
      </c>
      <c r="AM4" s="157"/>
      <c r="AN4" s="157"/>
      <c r="AO4" s="157"/>
      <c r="AP4" s="157"/>
      <c r="AQ4" s="157"/>
      <c r="AR4" s="158"/>
      <c r="AS4" s="156">
        <f>AS5</f>
        <v>43849</v>
      </c>
      <c r="AT4" s="157"/>
      <c r="AU4" s="157"/>
      <c r="AV4" s="157"/>
      <c r="AW4" s="157"/>
      <c r="AX4" s="157"/>
      <c r="AY4" s="158"/>
      <c r="AZ4" s="156">
        <f>AZ5</f>
        <v>43856</v>
      </c>
      <c r="BA4" s="157"/>
      <c r="BB4" s="157"/>
      <c r="BC4" s="157"/>
      <c r="BD4" s="157"/>
      <c r="BE4" s="157"/>
      <c r="BF4" s="158"/>
      <c r="BG4" s="156">
        <f>BG5</f>
        <v>43863</v>
      </c>
      <c r="BH4" s="157"/>
      <c r="BI4" s="157"/>
      <c r="BJ4" s="157"/>
      <c r="BK4" s="157"/>
      <c r="BL4" s="157"/>
      <c r="BM4" s="158"/>
    </row>
    <row r="5" spans="1:65" ht="15" customHeight="1" x14ac:dyDescent="0.3">
      <c r="A5" s="59" t="s">
        <v>327</v>
      </c>
      <c r="B5" s="162"/>
      <c r="C5" s="162"/>
      <c r="D5" s="162"/>
      <c r="E5" s="162"/>
      <c r="F5" s="162"/>
      <c r="G5" s="162"/>
      <c r="J5" s="112">
        <f>Project_Start-WEEKDAY(Project_Start,1)+1+7*(Display_Week-1)</f>
        <v>43814</v>
      </c>
      <c r="K5" s="111">
        <f t="shared" ref="K5:AP5" si="0">J5+1</f>
        <v>43815</v>
      </c>
      <c r="L5" s="111">
        <f t="shared" si="0"/>
        <v>43816</v>
      </c>
      <c r="M5" s="111">
        <f t="shared" si="0"/>
        <v>43817</v>
      </c>
      <c r="N5" s="111">
        <f t="shared" si="0"/>
        <v>43818</v>
      </c>
      <c r="O5" s="111">
        <f t="shared" si="0"/>
        <v>43819</v>
      </c>
      <c r="P5" s="110">
        <f t="shared" si="0"/>
        <v>43820</v>
      </c>
      <c r="Q5" s="112">
        <f t="shared" si="0"/>
        <v>43821</v>
      </c>
      <c r="R5" s="111">
        <f t="shared" si="0"/>
        <v>43822</v>
      </c>
      <c r="S5" s="111">
        <f t="shared" si="0"/>
        <v>43823</v>
      </c>
      <c r="T5" s="111">
        <f t="shared" si="0"/>
        <v>43824</v>
      </c>
      <c r="U5" s="111">
        <f t="shared" si="0"/>
        <v>43825</v>
      </c>
      <c r="V5" s="111">
        <f t="shared" si="0"/>
        <v>43826</v>
      </c>
      <c r="W5" s="110">
        <f t="shared" si="0"/>
        <v>43827</v>
      </c>
      <c r="X5" s="112">
        <f t="shared" si="0"/>
        <v>43828</v>
      </c>
      <c r="Y5" s="111">
        <f t="shared" si="0"/>
        <v>43829</v>
      </c>
      <c r="Z5" s="111">
        <f t="shared" si="0"/>
        <v>43830</v>
      </c>
      <c r="AA5" s="111">
        <f t="shared" si="0"/>
        <v>43831</v>
      </c>
      <c r="AB5" s="111">
        <f t="shared" si="0"/>
        <v>43832</v>
      </c>
      <c r="AC5" s="111">
        <f t="shared" si="0"/>
        <v>43833</v>
      </c>
      <c r="AD5" s="110">
        <f t="shared" si="0"/>
        <v>43834</v>
      </c>
      <c r="AE5" s="112">
        <f t="shared" si="0"/>
        <v>43835</v>
      </c>
      <c r="AF5" s="111">
        <f t="shared" si="0"/>
        <v>43836</v>
      </c>
      <c r="AG5" s="111">
        <f t="shared" si="0"/>
        <v>43837</v>
      </c>
      <c r="AH5" s="111">
        <f t="shared" si="0"/>
        <v>43838</v>
      </c>
      <c r="AI5" s="111">
        <f t="shared" si="0"/>
        <v>43839</v>
      </c>
      <c r="AJ5" s="111">
        <f t="shared" si="0"/>
        <v>43840</v>
      </c>
      <c r="AK5" s="110">
        <f t="shared" si="0"/>
        <v>43841</v>
      </c>
      <c r="AL5" s="112">
        <f t="shared" si="0"/>
        <v>43842</v>
      </c>
      <c r="AM5" s="111">
        <f t="shared" si="0"/>
        <v>43843</v>
      </c>
      <c r="AN5" s="111">
        <f t="shared" si="0"/>
        <v>43844</v>
      </c>
      <c r="AO5" s="111">
        <f t="shared" si="0"/>
        <v>43845</v>
      </c>
      <c r="AP5" s="111">
        <f t="shared" si="0"/>
        <v>43846</v>
      </c>
      <c r="AQ5" s="111">
        <f t="shared" ref="AQ5:BM5" si="1">AP5+1</f>
        <v>43847</v>
      </c>
      <c r="AR5" s="110">
        <f t="shared" si="1"/>
        <v>43848</v>
      </c>
      <c r="AS5" s="112">
        <f t="shared" si="1"/>
        <v>43849</v>
      </c>
      <c r="AT5" s="111">
        <f t="shared" si="1"/>
        <v>43850</v>
      </c>
      <c r="AU5" s="111">
        <f t="shared" si="1"/>
        <v>43851</v>
      </c>
      <c r="AV5" s="111">
        <f t="shared" si="1"/>
        <v>43852</v>
      </c>
      <c r="AW5" s="111">
        <f t="shared" si="1"/>
        <v>43853</v>
      </c>
      <c r="AX5" s="111">
        <f t="shared" si="1"/>
        <v>43854</v>
      </c>
      <c r="AY5" s="110">
        <f t="shared" si="1"/>
        <v>43855</v>
      </c>
      <c r="AZ5" s="112">
        <f t="shared" si="1"/>
        <v>43856</v>
      </c>
      <c r="BA5" s="111">
        <f t="shared" si="1"/>
        <v>43857</v>
      </c>
      <c r="BB5" s="111">
        <f t="shared" si="1"/>
        <v>43858</v>
      </c>
      <c r="BC5" s="111">
        <f t="shared" si="1"/>
        <v>43859</v>
      </c>
      <c r="BD5" s="111">
        <f t="shared" si="1"/>
        <v>43860</v>
      </c>
      <c r="BE5" s="111">
        <f t="shared" si="1"/>
        <v>43861</v>
      </c>
      <c r="BF5" s="110">
        <f t="shared" si="1"/>
        <v>43862</v>
      </c>
      <c r="BG5" s="112">
        <f t="shared" si="1"/>
        <v>43863</v>
      </c>
      <c r="BH5" s="111">
        <f t="shared" si="1"/>
        <v>43864</v>
      </c>
      <c r="BI5" s="111">
        <f t="shared" si="1"/>
        <v>43865</v>
      </c>
      <c r="BJ5" s="111">
        <f t="shared" si="1"/>
        <v>43866</v>
      </c>
      <c r="BK5" s="111">
        <f t="shared" si="1"/>
        <v>43867</v>
      </c>
      <c r="BL5" s="111">
        <f t="shared" si="1"/>
        <v>43868</v>
      </c>
      <c r="BM5" s="110">
        <f t="shared" si="1"/>
        <v>43869</v>
      </c>
    </row>
    <row r="6" spans="1:65" ht="30" customHeight="1" thickBot="1" x14ac:dyDescent="0.35">
      <c r="A6" s="59" t="s">
        <v>326</v>
      </c>
      <c r="B6" s="109" t="s">
        <v>325</v>
      </c>
      <c r="C6" s="108" t="s">
        <v>324</v>
      </c>
      <c r="D6" s="108" t="s">
        <v>323</v>
      </c>
      <c r="E6" s="108" t="s">
        <v>322</v>
      </c>
      <c r="F6" s="108" t="s">
        <v>321</v>
      </c>
      <c r="G6" s="108"/>
      <c r="H6" s="108" t="s">
        <v>320</v>
      </c>
      <c r="I6" s="107" t="s">
        <v>319</v>
      </c>
      <c r="J6" s="106" t="str">
        <f t="shared" ref="J6:AO6" si="2">LEFT(TEXT(J5,"aaa"),1)</f>
        <v>日</v>
      </c>
      <c r="K6" s="106" t="str">
        <f t="shared" si="2"/>
        <v>一</v>
      </c>
      <c r="L6" s="106" t="str">
        <f t="shared" si="2"/>
        <v>二</v>
      </c>
      <c r="M6" s="106" t="str">
        <f t="shared" si="2"/>
        <v>三</v>
      </c>
      <c r="N6" s="106" t="str">
        <f t="shared" si="2"/>
        <v>四</v>
      </c>
      <c r="O6" s="106" t="str">
        <f t="shared" si="2"/>
        <v>五</v>
      </c>
      <c r="P6" s="106" t="str">
        <f t="shared" si="2"/>
        <v>六</v>
      </c>
      <c r="Q6" s="106" t="str">
        <f t="shared" si="2"/>
        <v>日</v>
      </c>
      <c r="R6" s="106" t="str">
        <f t="shared" si="2"/>
        <v>一</v>
      </c>
      <c r="S6" s="106" t="str">
        <f t="shared" si="2"/>
        <v>二</v>
      </c>
      <c r="T6" s="106" t="str">
        <f t="shared" si="2"/>
        <v>三</v>
      </c>
      <c r="U6" s="106" t="str">
        <f t="shared" si="2"/>
        <v>四</v>
      </c>
      <c r="V6" s="106" t="str">
        <f t="shared" si="2"/>
        <v>五</v>
      </c>
      <c r="W6" s="106" t="str">
        <f t="shared" si="2"/>
        <v>六</v>
      </c>
      <c r="X6" s="106" t="str">
        <f t="shared" si="2"/>
        <v>日</v>
      </c>
      <c r="Y6" s="106" t="str">
        <f t="shared" si="2"/>
        <v>一</v>
      </c>
      <c r="Z6" s="106" t="str">
        <f t="shared" si="2"/>
        <v>二</v>
      </c>
      <c r="AA6" s="106" t="str">
        <f t="shared" si="2"/>
        <v>三</v>
      </c>
      <c r="AB6" s="106" t="str">
        <f t="shared" si="2"/>
        <v>四</v>
      </c>
      <c r="AC6" s="106" t="str">
        <f t="shared" si="2"/>
        <v>五</v>
      </c>
      <c r="AD6" s="106" t="str">
        <f t="shared" si="2"/>
        <v>六</v>
      </c>
      <c r="AE6" s="106" t="str">
        <f t="shared" si="2"/>
        <v>日</v>
      </c>
      <c r="AF6" s="106" t="str">
        <f t="shared" si="2"/>
        <v>一</v>
      </c>
      <c r="AG6" s="106" t="str">
        <f t="shared" si="2"/>
        <v>二</v>
      </c>
      <c r="AH6" s="106" t="str">
        <f t="shared" si="2"/>
        <v>三</v>
      </c>
      <c r="AI6" s="106" t="str">
        <f t="shared" si="2"/>
        <v>四</v>
      </c>
      <c r="AJ6" s="106" t="str">
        <f t="shared" si="2"/>
        <v>五</v>
      </c>
      <c r="AK6" s="106" t="str">
        <f t="shared" si="2"/>
        <v>六</v>
      </c>
      <c r="AL6" s="106" t="str">
        <f t="shared" si="2"/>
        <v>日</v>
      </c>
      <c r="AM6" s="106" t="str">
        <f t="shared" si="2"/>
        <v>一</v>
      </c>
      <c r="AN6" s="106" t="str">
        <f t="shared" si="2"/>
        <v>二</v>
      </c>
      <c r="AO6" s="106" t="str">
        <f t="shared" si="2"/>
        <v>三</v>
      </c>
      <c r="AP6" s="106" t="str">
        <f t="shared" ref="AP6:BM6" si="3">LEFT(TEXT(AP5,"aaa"),1)</f>
        <v>四</v>
      </c>
      <c r="AQ6" s="106" t="str">
        <f t="shared" si="3"/>
        <v>五</v>
      </c>
      <c r="AR6" s="106" t="str">
        <f t="shared" si="3"/>
        <v>六</v>
      </c>
      <c r="AS6" s="106" t="str">
        <f t="shared" si="3"/>
        <v>日</v>
      </c>
      <c r="AT6" s="106" t="str">
        <f t="shared" si="3"/>
        <v>一</v>
      </c>
      <c r="AU6" s="106" t="str">
        <f t="shared" si="3"/>
        <v>二</v>
      </c>
      <c r="AV6" s="106" t="str">
        <f t="shared" si="3"/>
        <v>三</v>
      </c>
      <c r="AW6" s="106" t="str">
        <f t="shared" si="3"/>
        <v>四</v>
      </c>
      <c r="AX6" s="106" t="str">
        <f t="shared" si="3"/>
        <v>五</v>
      </c>
      <c r="AY6" s="106" t="str">
        <f t="shared" si="3"/>
        <v>六</v>
      </c>
      <c r="AZ6" s="106" t="str">
        <f t="shared" si="3"/>
        <v>日</v>
      </c>
      <c r="BA6" s="106" t="str">
        <f t="shared" si="3"/>
        <v>一</v>
      </c>
      <c r="BB6" s="106" t="str">
        <f t="shared" si="3"/>
        <v>二</v>
      </c>
      <c r="BC6" s="106" t="str">
        <f t="shared" si="3"/>
        <v>三</v>
      </c>
      <c r="BD6" s="106" t="str">
        <f t="shared" si="3"/>
        <v>四</v>
      </c>
      <c r="BE6" s="106" t="str">
        <f t="shared" si="3"/>
        <v>五</v>
      </c>
      <c r="BF6" s="106" t="str">
        <f t="shared" si="3"/>
        <v>六</v>
      </c>
      <c r="BG6" s="106" t="str">
        <f t="shared" si="3"/>
        <v>日</v>
      </c>
      <c r="BH6" s="106" t="str">
        <f t="shared" si="3"/>
        <v>一</v>
      </c>
      <c r="BI6" s="106" t="str">
        <f t="shared" si="3"/>
        <v>二</v>
      </c>
      <c r="BJ6" s="106" t="str">
        <f t="shared" si="3"/>
        <v>三</v>
      </c>
      <c r="BK6" s="106" t="str">
        <f t="shared" si="3"/>
        <v>四</v>
      </c>
      <c r="BL6" s="106" t="str">
        <f t="shared" si="3"/>
        <v>五</v>
      </c>
      <c r="BM6" s="106" t="str">
        <f t="shared" si="3"/>
        <v>六</v>
      </c>
    </row>
    <row r="7" spans="1:65" ht="30" hidden="1" customHeight="1" thickBot="1" x14ac:dyDescent="0.35">
      <c r="A7" s="46" t="s">
        <v>318</v>
      </c>
      <c r="C7" s="105"/>
      <c r="E7" s="44"/>
      <c r="H7" s="44" t="str">
        <f t="shared" ref="H7:H38" si="4">IF(OR(ISBLANK(task_start),ISBLANK(task_end)),"",task_end-task_start+1)</f>
        <v/>
      </c>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row>
    <row r="8" spans="1:65" s="51" customFormat="1" ht="30" customHeight="1" thickBot="1" x14ac:dyDescent="0.35">
      <c r="A8" s="59" t="s">
        <v>317</v>
      </c>
      <c r="B8" s="104" t="s">
        <v>316</v>
      </c>
      <c r="C8" s="103"/>
      <c r="D8" s="102"/>
      <c r="E8" s="101"/>
      <c r="F8" s="100"/>
      <c r="G8" s="61"/>
      <c r="H8" s="61" t="str">
        <f t="shared" si="4"/>
        <v/>
      </c>
      <c r="I8" s="66"/>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row>
    <row r="9" spans="1:65" s="51" customFormat="1" ht="30" customHeight="1" thickBot="1" x14ac:dyDescent="0.35">
      <c r="A9" s="59" t="s">
        <v>315</v>
      </c>
      <c r="B9" s="99" t="s">
        <v>314</v>
      </c>
      <c r="C9" s="98" t="s">
        <v>287</v>
      </c>
      <c r="D9" s="97">
        <v>0.8</v>
      </c>
      <c r="E9" s="96">
        <v>43647</v>
      </c>
      <c r="F9" s="96">
        <f>E9+2</f>
        <v>43649</v>
      </c>
      <c r="G9" s="61"/>
      <c r="H9" s="61">
        <f t="shared" si="4"/>
        <v>3</v>
      </c>
      <c r="I9" s="66" t="s">
        <v>313</v>
      </c>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row>
    <row r="10" spans="1:65" s="51" customFormat="1" ht="30" customHeight="1" thickBot="1" x14ac:dyDescent="0.35">
      <c r="A10" s="59"/>
      <c r="B10" s="99" t="s">
        <v>312</v>
      </c>
      <c r="C10" s="98" t="s">
        <v>287</v>
      </c>
      <c r="D10" s="97">
        <v>1</v>
      </c>
      <c r="E10" s="96">
        <v>43649</v>
      </c>
      <c r="F10" s="96">
        <f>E10+1</f>
        <v>43650</v>
      </c>
      <c r="G10" s="61"/>
      <c r="H10" s="61">
        <f t="shared" si="4"/>
        <v>2</v>
      </c>
      <c r="I10" s="66"/>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row>
    <row r="11" spans="1:65" s="51" customFormat="1" ht="30" customHeight="1" thickBot="1" x14ac:dyDescent="0.35">
      <c r="A11" s="59" t="s">
        <v>311</v>
      </c>
      <c r="B11" s="99" t="s">
        <v>310</v>
      </c>
      <c r="C11" s="98" t="s">
        <v>287</v>
      </c>
      <c r="D11" s="97">
        <v>1</v>
      </c>
      <c r="E11" s="96">
        <v>43647</v>
      </c>
      <c r="F11" s="96">
        <f>E11+2</f>
        <v>43649</v>
      </c>
      <c r="G11" s="61"/>
      <c r="H11" s="61">
        <f t="shared" si="4"/>
        <v>3</v>
      </c>
      <c r="I11" s="66"/>
      <c r="J11" s="60"/>
      <c r="K11" s="60"/>
      <c r="L11" s="60"/>
      <c r="M11" s="60"/>
      <c r="N11" s="60"/>
      <c r="O11" s="60"/>
      <c r="P11" s="60"/>
      <c r="Q11" s="60"/>
      <c r="R11" s="60"/>
      <c r="S11" s="60"/>
      <c r="T11" s="60"/>
      <c r="U11" s="60"/>
      <c r="V11" s="90"/>
      <c r="W11" s="9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row>
    <row r="12" spans="1:65" s="51" customFormat="1" ht="30" customHeight="1" thickBot="1" x14ac:dyDescent="0.35">
      <c r="A12" s="46"/>
      <c r="B12" s="99" t="s">
        <v>309</v>
      </c>
      <c r="C12" s="98" t="s">
        <v>287</v>
      </c>
      <c r="D12" s="97">
        <v>1</v>
      </c>
      <c r="E12" s="96">
        <v>43650</v>
      </c>
      <c r="F12" s="96">
        <f>E12+6</f>
        <v>43656</v>
      </c>
      <c r="G12" s="61"/>
      <c r="H12" s="61">
        <f t="shared" si="4"/>
        <v>7</v>
      </c>
      <c r="I12" s="66"/>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row>
    <row r="13" spans="1:65" s="51" customFormat="1" ht="30" customHeight="1" thickBot="1" x14ac:dyDescent="0.35">
      <c r="A13" s="46"/>
      <c r="B13" s="99" t="s">
        <v>308</v>
      </c>
      <c r="C13" s="98" t="s">
        <v>287</v>
      </c>
      <c r="D13" s="97">
        <v>0.9</v>
      </c>
      <c r="E13" s="96">
        <v>43658</v>
      </c>
      <c r="F13" s="96">
        <f>E13+14</f>
        <v>43672</v>
      </c>
      <c r="G13" s="61"/>
      <c r="H13" s="61">
        <f t="shared" si="4"/>
        <v>15</v>
      </c>
      <c r="I13" s="89" t="s">
        <v>307</v>
      </c>
      <c r="J13" s="60"/>
      <c r="K13" s="60"/>
      <c r="L13" s="60"/>
      <c r="M13" s="60"/>
      <c r="N13" s="60"/>
      <c r="O13" s="60"/>
      <c r="P13" s="60"/>
      <c r="Q13" s="60"/>
      <c r="R13" s="60"/>
      <c r="S13" s="60"/>
      <c r="T13" s="60"/>
      <c r="U13" s="60"/>
      <c r="V13" s="60"/>
      <c r="W13" s="60"/>
      <c r="X13" s="60"/>
      <c r="Y13" s="60"/>
      <c r="Z13" s="9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row>
    <row r="14" spans="1:65" s="51" customFormat="1" ht="30" customHeight="1" thickBot="1" x14ac:dyDescent="0.35">
      <c r="A14" s="46"/>
      <c r="B14" s="99" t="s">
        <v>306</v>
      </c>
      <c r="C14" s="98" t="s">
        <v>287</v>
      </c>
      <c r="D14" s="97">
        <v>1</v>
      </c>
      <c r="E14" s="96">
        <v>43661</v>
      </c>
      <c r="F14" s="96">
        <f>E14+10</f>
        <v>43671</v>
      </c>
      <c r="G14" s="61"/>
      <c r="H14" s="61">
        <f t="shared" si="4"/>
        <v>11</v>
      </c>
      <c r="I14" s="66"/>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row>
    <row r="15" spans="1:65" s="51" customFormat="1" ht="30" customHeight="1" thickBot="1" x14ac:dyDescent="0.35">
      <c r="A15" s="46"/>
      <c r="B15" s="99" t="s">
        <v>305</v>
      </c>
      <c r="C15" s="98" t="s">
        <v>287</v>
      </c>
      <c r="D15" s="97">
        <v>1</v>
      </c>
      <c r="E15" s="96">
        <v>43674</v>
      </c>
      <c r="F15" s="96">
        <f>E15+5</f>
        <v>43679</v>
      </c>
      <c r="G15" s="61"/>
      <c r="H15" s="61">
        <f t="shared" si="4"/>
        <v>6</v>
      </c>
      <c r="I15" s="66"/>
      <c r="J15" s="60"/>
      <c r="K15" s="60"/>
      <c r="L15" s="60"/>
      <c r="M15" s="60"/>
      <c r="N15" s="60"/>
      <c r="O15" s="60"/>
      <c r="P15" s="60"/>
      <c r="Q15" s="60"/>
      <c r="R15" s="60"/>
      <c r="S15" s="60"/>
      <c r="T15" s="60"/>
      <c r="U15" s="60"/>
      <c r="V15" s="60"/>
      <c r="W15" s="60"/>
      <c r="X15" s="60"/>
      <c r="Y15" s="60"/>
      <c r="Z15" s="9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row>
    <row r="16" spans="1:65" s="51" customFormat="1" ht="30" customHeight="1" thickBot="1" x14ac:dyDescent="0.35">
      <c r="A16" s="46"/>
      <c r="B16" s="99" t="s">
        <v>304</v>
      </c>
      <c r="C16" s="98" t="s">
        <v>287</v>
      </c>
      <c r="D16" s="97">
        <v>1</v>
      </c>
      <c r="E16" s="96">
        <v>43680</v>
      </c>
      <c r="F16" s="96">
        <f>E16+5</f>
        <v>43685</v>
      </c>
      <c r="G16" s="61"/>
      <c r="H16" s="61">
        <f t="shared" si="4"/>
        <v>6</v>
      </c>
      <c r="I16" s="66"/>
      <c r="J16" s="60"/>
      <c r="K16" s="60"/>
      <c r="L16" s="60"/>
      <c r="M16" s="60"/>
      <c r="N16" s="60"/>
      <c r="O16" s="60"/>
      <c r="P16" s="60"/>
      <c r="Q16" s="60"/>
      <c r="R16" s="60"/>
      <c r="S16" s="60"/>
      <c r="T16" s="60"/>
      <c r="U16" s="60"/>
      <c r="V16" s="60"/>
      <c r="W16" s="60"/>
      <c r="X16" s="60"/>
      <c r="Y16" s="60"/>
      <c r="Z16" s="9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s="51" customFormat="1" ht="30" customHeight="1" thickBot="1" x14ac:dyDescent="0.35">
      <c r="A17" s="46"/>
      <c r="B17" s="99" t="s">
        <v>303</v>
      </c>
      <c r="C17" s="98" t="s">
        <v>287</v>
      </c>
      <c r="D17" s="97">
        <v>1</v>
      </c>
      <c r="E17" s="96">
        <v>43682</v>
      </c>
      <c r="F17" s="96">
        <f>E17+5</f>
        <v>43687</v>
      </c>
      <c r="G17" s="61"/>
      <c r="H17" s="61">
        <f t="shared" si="4"/>
        <v>6</v>
      </c>
      <c r="I17" s="66"/>
      <c r="J17" s="60"/>
      <c r="K17" s="60"/>
      <c r="L17" s="60"/>
      <c r="M17" s="60"/>
      <c r="N17" s="60"/>
      <c r="O17" s="60"/>
      <c r="P17" s="60"/>
      <c r="Q17" s="60"/>
      <c r="R17" s="60"/>
      <c r="S17" s="60"/>
      <c r="T17" s="60"/>
      <c r="U17" s="60"/>
      <c r="V17" s="60"/>
      <c r="W17" s="60"/>
      <c r="X17" s="60"/>
      <c r="Y17" s="60"/>
      <c r="Z17" s="9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row>
    <row r="18" spans="1:65" s="51" customFormat="1" ht="30" customHeight="1" thickBot="1" x14ac:dyDescent="0.35">
      <c r="A18" s="46"/>
      <c r="B18" s="99" t="s">
        <v>302</v>
      </c>
      <c r="C18" s="98" t="s">
        <v>287</v>
      </c>
      <c r="D18" s="97">
        <v>0.9</v>
      </c>
      <c r="E18" s="96">
        <v>43689</v>
      </c>
      <c r="F18" s="96">
        <f>E18+2</f>
        <v>43691</v>
      </c>
      <c r="G18" s="61"/>
      <c r="H18" s="61">
        <f t="shared" si="4"/>
        <v>3</v>
      </c>
      <c r="I18" s="89" t="s">
        <v>301</v>
      </c>
      <c r="J18" s="60"/>
      <c r="K18" s="60"/>
      <c r="L18" s="60"/>
      <c r="M18" s="60"/>
      <c r="N18" s="60"/>
      <c r="O18" s="60"/>
      <c r="P18" s="60"/>
      <c r="Q18" s="60"/>
      <c r="R18" s="60"/>
      <c r="S18" s="60"/>
      <c r="T18" s="60"/>
      <c r="U18" s="60"/>
      <c r="V18" s="60"/>
      <c r="W18" s="60"/>
      <c r="X18" s="60"/>
      <c r="Y18" s="60"/>
      <c r="Z18" s="9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row>
    <row r="19" spans="1:65" s="51" customFormat="1" ht="30" customHeight="1" thickBot="1" x14ac:dyDescent="0.35">
      <c r="A19" s="46"/>
      <c r="B19" s="99" t="s">
        <v>300</v>
      </c>
      <c r="C19" s="98" t="s">
        <v>287</v>
      </c>
      <c r="D19" s="97">
        <v>0.8</v>
      </c>
      <c r="E19" s="96">
        <v>43811</v>
      </c>
      <c r="F19" s="96">
        <f>E19+10</f>
        <v>43821</v>
      </c>
      <c r="G19" s="61"/>
      <c r="H19" s="61">
        <f t="shared" si="4"/>
        <v>11</v>
      </c>
      <c r="I19" s="89" t="s">
        <v>299</v>
      </c>
      <c r="J19" s="60"/>
      <c r="K19" s="60"/>
      <c r="L19" s="60"/>
      <c r="M19" s="60"/>
      <c r="N19" s="60"/>
      <c r="O19" s="60"/>
      <c r="P19" s="60"/>
      <c r="Q19" s="60"/>
      <c r="R19" s="60"/>
      <c r="S19" s="60"/>
      <c r="T19" s="60"/>
      <c r="U19" s="60"/>
      <c r="V19" s="60"/>
      <c r="W19" s="60"/>
      <c r="X19" s="60"/>
      <c r="Y19" s="60"/>
      <c r="Z19" s="9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row>
    <row r="20" spans="1:65" s="51" customFormat="1" ht="30" customHeight="1" thickBot="1" x14ac:dyDescent="0.35">
      <c r="A20" s="46"/>
      <c r="B20" s="99" t="s">
        <v>298</v>
      </c>
      <c r="C20" s="98" t="s">
        <v>287</v>
      </c>
      <c r="D20" s="97">
        <v>0.85</v>
      </c>
      <c r="E20" s="96">
        <v>43823</v>
      </c>
      <c r="F20" s="96">
        <f>E20+3</f>
        <v>43826</v>
      </c>
      <c r="G20" s="61"/>
      <c r="H20" s="61">
        <f t="shared" si="4"/>
        <v>4</v>
      </c>
      <c r="I20" s="66" t="s">
        <v>297</v>
      </c>
      <c r="J20" s="60"/>
      <c r="K20" s="60"/>
      <c r="L20" s="60"/>
      <c r="M20" s="60"/>
      <c r="N20" s="60"/>
      <c r="O20" s="60"/>
      <c r="P20" s="60"/>
      <c r="Q20" s="60"/>
      <c r="R20" s="60"/>
      <c r="S20" s="60"/>
      <c r="T20" s="60"/>
      <c r="U20" s="60"/>
      <c r="V20" s="60"/>
      <c r="W20" s="60"/>
      <c r="X20" s="60"/>
      <c r="Y20" s="60"/>
      <c r="Z20" s="9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row>
    <row r="21" spans="1:65" s="51" customFormat="1" ht="30" customHeight="1" thickBot="1" x14ac:dyDescent="0.35">
      <c r="A21" s="46"/>
      <c r="B21" s="99" t="s">
        <v>296</v>
      </c>
      <c r="C21" s="98" t="s">
        <v>287</v>
      </c>
      <c r="D21" s="97">
        <v>0.9</v>
      </c>
      <c r="E21" s="96">
        <v>43702</v>
      </c>
      <c r="F21" s="96">
        <f>E21+7</f>
        <v>43709</v>
      </c>
      <c r="G21" s="61"/>
      <c r="H21" s="61">
        <f t="shared" si="4"/>
        <v>8</v>
      </c>
      <c r="I21" s="66" t="s">
        <v>295</v>
      </c>
      <c r="J21" s="60"/>
      <c r="K21" s="60"/>
      <c r="L21" s="60"/>
      <c r="M21" s="60"/>
      <c r="N21" s="60"/>
      <c r="O21" s="60"/>
      <c r="P21" s="60"/>
      <c r="Q21" s="60"/>
      <c r="R21" s="60"/>
      <c r="S21" s="60"/>
      <c r="T21" s="60"/>
      <c r="U21" s="60"/>
      <c r="V21" s="60"/>
      <c r="W21" s="60"/>
      <c r="X21" s="60"/>
      <c r="Y21" s="60"/>
      <c r="Z21" s="9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row>
    <row r="22" spans="1:65" s="51" customFormat="1" ht="30" customHeight="1" thickBot="1" x14ac:dyDescent="0.35">
      <c r="A22" s="46"/>
      <c r="B22" s="99" t="s">
        <v>294</v>
      </c>
      <c r="C22" s="98" t="s">
        <v>287</v>
      </c>
      <c r="D22" s="97">
        <v>0.7</v>
      </c>
      <c r="E22" s="96">
        <v>43703</v>
      </c>
      <c r="F22" s="96">
        <f>E22+7</f>
        <v>43710</v>
      </c>
      <c r="G22" s="61"/>
      <c r="H22" s="61">
        <f t="shared" si="4"/>
        <v>8</v>
      </c>
      <c r="I22" s="89" t="s">
        <v>292</v>
      </c>
      <c r="J22" s="60"/>
      <c r="K22" s="60"/>
      <c r="L22" s="60"/>
      <c r="M22" s="60"/>
      <c r="N22" s="60"/>
      <c r="O22" s="60"/>
      <c r="P22" s="60"/>
      <c r="Q22" s="60"/>
      <c r="R22" s="60"/>
      <c r="S22" s="60"/>
      <c r="T22" s="60"/>
      <c r="U22" s="60"/>
      <c r="V22" s="60"/>
      <c r="W22" s="60"/>
      <c r="X22" s="60"/>
      <c r="Y22" s="60"/>
      <c r="Z22" s="9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row>
    <row r="23" spans="1:65" s="51" customFormat="1" ht="30" customHeight="1" thickBot="1" x14ac:dyDescent="0.35">
      <c r="A23" s="46"/>
      <c r="B23" s="99" t="s">
        <v>293</v>
      </c>
      <c r="C23" s="98" t="s">
        <v>287</v>
      </c>
      <c r="D23" s="97">
        <v>0.7</v>
      </c>
      <c r="E23" s="96">
        <v>43704</v>
      </c>
      <c r="F23" s="96">
        <f>E23+2</f>
        <v>43706</v>
      </c>
      <c r="G23" s="61"/>
      <c r="H23" s="61">
        <f t="shared" si="4"/>
        <v>3</v>
      </c>
      <c r="I23" s="89" t="s">
        <v>292</v>
      </c>
      <c r="J23" s="60"/>
      <c r="K23" s="60"/>
      <c r="L23" s="60"/>
      <c r="M23" s="60"/>
      <c r="N23" s="60"/>
      <c r="O23" s="60"/>
      <c r="P23" s="60"/>
      <c r="Q23" s="60"/>
      <c r="R23" s="60"/>
      <c r="S23" s="60"/>
      <c r="T23" s="60"/>
      <c r="U23" s="60"/>
      <c r="V23" s="60"/>
      <c r="W23" s="60"/>
      <c r="X23" s="60"/>
      <c r="Y23" s="60"/>
      <c r="Z23" s="9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row>
    <row r="24" spans="1:65" s="51" customFormat="1" ht="30" customHeight="1" thickBot="1" x14ac:dyDescent="0.35">
      <c r="A24" s="46"/>
      <c r="B24" s="99" t="s">
        <v>291</v>
      </c>
      <c r="C24" s="98" t="s">
        <v>287</v>
      </c>
      <c r="D24" s="97">
        <v>1</v>
      </c>
      <c r="E24" s="96">
        <v>43693</v>
      </c>
      <c r="F24" s="96">
        <f>E24+2</f>
        <v>43695</v>
      </c>
      <c r="G24" s="61"/>
      <c r="H24" s="61">
        <f t="shared" si="4"/>
        <v>3</v>
      </c>
      <c r="I24" s="66"/>
      <c r="J24" s="60"/>
      <c r="K24" s="60"/>
      <c r="L24" s="60"/>
      <c r="M24" s="60"/>
      <c r="N24" s="60"/>
      <c r="O24" s="60"/>
      <c r="P24" s="60"/>
      <c r="Q24" s="60"/>
      <c r="R24" s="60"/>
      <c r="S24" s="60"/>
      <c r="T24" s="60"/>
      <c r="U24" s="60"/>
      <c r="V24" s="60"/>
      <c r="W24" s="60"/>
      <c r="X24" s="60"/>
      <c r="Y24" s="60"/>
      <c r="Z24" s="9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row>
    <row r="25" spans="1:65" s="51" customFormat="1" ht="30" customHeight="1" thickBot="1" x14ac:dyDescent="0.35">
      <c r="A25" s="46"/>
      <c r="B25" s="99" t="s">
        <v>290</v>
      </c>
      <c r="C25" s="98" t="s">
        <v>287</v>
      </c>
      <c r="D25" s="97">
        <v>1</v>
      </c>
      <c r="E25" s="96">
        <v>43696</v>
      </c>
      <c r="F25" s="96">
        <f>E25+2</f>
        <v>43698</v>
      </c>
      <c r="G25" s="61"/>
      <c r="H25" s="61">
        <f t="shared" si="4"/>
        <v>3</v>
      </c>
      <c r="I25" s="66"/>
      <c r="J25" s="60"/>
      <c r="K25" s="60"/>
      <c r="L25" s="60"/>
      <c r="M25" s="60"/>
      <c r="N25" s="60"/>
      <c r="O25" s="60"/>
      <c r="P25" s="60"/>
      <c r="Q25" s="60"/>
      <c r="R25" s="60"/>
      <c r="S25" s="60"/>
      <c r="T25" s="60"/>
      <c r="U25" s="60"/>
      <c r="V25" s="60"/>
      <c r="W25" s="60"/>
      <c r="X25" s="60"/>
      <c r="Y25" s="60"/>
      <c r="Z25" s="9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row>
    <row r="26" spans="1:65" s="51" customFormat="1" ht="30" customHeight="1" thickBot="1" x14ac:dyDescent="0.35">
      <c r="A26" s="46"/>
      <c r="B26" s="99" t="s">
        <v>289</v>
      </c>
      <c r="C26" s="98" t="s">
        <v>287</v>
      </c>
      <c r="D26" s="97">
        <v>1</v>
      </c>
      <c r="E26" s="96">
        <v>43699</v>
      </c>
      <c r="F26" s="96">
        <f>E26+2</f>
        <v>43701</v>
      </c>
      <c r="G26" s="61"/>
      <c r="H26" s="61">
        <f t="shared" si="4"/>
        <v>3</v>
      </c>
      <c r="I26" s="66"/>
      <c r="J26" s="60"/>
      <c r="K26" s="60"/>
      <c r="L26" s="60"/>
      <c r="M26" s="60"/>
      <c r="N26" s="60"/>
      <c r="O26" s="60"/>
      <c r="P26" s="60"/>
      <c r="Q26" s="60"/>
      <c r="R26" s="60"/>
      <c r="S26" s="60"/>
      <c r="T26" s="60"/>
      <c r="U26" s="60"/>
      <c r="V26" s="60"/>
      <c r="W26" s="60"/>
      <c r="X26" s="60"/>
      <c r="Y26" s="60"/>
      <c r="Z26" s="9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row>
    <row r="27" spans="1:65" s="51" customFormat="1" ht="30" customHeight="1" thickBot="1" x14ac:dyDescent="0.35">
      <c r="A27" s="46"/>
      <c r="B27" s="99" t="s">
        <v>288</v>
      </c>
      <c r="C27" s="98" t="s">
        <v>287</v>
      </c>
      <c r="D27" s="97">
        <v>0.5</v>
      </c>
      <c r="E27" s="96">
        <f>F13</f>
        <v>43672</v>
      </c>
      <c r="F27" s="96">
        <f>E27+1</f>
        <v>43673</v>
      </c>
      <c r="G27" s="61"/>
      <c r="H27" s="61">
        <f t="shared" si="4"/>
        <v>2</v>
      </c>
      <c r="I27" s="89" t="s">
        <v>286</v>
      </c>
      <c r="J27" s="60"/>
      <c r="K27" s="60"/>
      <c r="L27" s="60"/>
      <c r="M27" s="60"/>
      <c r="N27" s="60"/>
      <c r="O27" s="60"/>
      <c r="P27" s="60"/>
      <c r="Q27" s="60"/>
      <c r="R27" s="60"/>
      <c r="S27" s="60"/>
      <c r="T27" s="60"/>
      <c r="U27" s="60"/>
      <c r="V27" s="60"/>
      <c r="W27" s="60"/>
      <c r="X27" s="60"/>
      <c r="Y27" s="60"/>
      <c r="Z27" s="9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row>
    <row r="28" spans="1:65" s="51" customFormat="1" ht="30" customHeight="1" thickBot="1" x14ac:dyDescent="0.35">
      <c r="A28" s="46"/>
      <c r="B28" s="99" t="s">
        <v>285</v>
      </c>
      <c r="C28" s="98" t="s">
        <v>121</v>
      </c>
      <c r="D28" s="97">
        <v>0.9</v>
      </c>
      <c r="E28" s="96">
        <v>43879</v>
      </c>
      <c r="F28" s="96">
        <f>E28+3</f>
        <v>43882</v>
      </c>
      <c r="G28" s="61"/>
      <c r="H28" s="61">
        <f t="shared" si="4"/>
        <v>4</v>
      </c>
      <c r="I28" s="66" t="s">
        <v>284</v>
      </c>
      <c r="J28" s="60"/>
      <c r="K28" s="60"/>
      <c r="L28" s="60"/>
      <c r="M28" s="60"/>
      <c r="N28" s="60"/>
      <c r="O28" s="60"/>
      <c r="P28" s="60"/>
      <c r="Q28" s="60"/>
      <c r="R28" s="60"/>
      <c r="S28" s="60"/>
      <c r="T28" s="60"/>
      <c r="U28" s="60"/>
      <c r="V28" s="60"/>
      <c r="W28" s="60"/>
      <c r="X28" s="60"/>
      <c r="Y28" s="60"/>
      <c r="Z28" s="9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row>
    <row r="29" spans="1:65" s="51" customFormat="1" ht="30" customHeight="1" thickBot="1" x14ac:dyDescent="0.35">
      <c r="A29" s="46"/>
      <c r="B29" s="99" t="s">
        <v>283</v>
      </c>
      <c r="C29" s="98" t="s">
        <v>121</v>
      </c>
      <c r="D29" s="97">
        <v>0.8</v>
      </c>
      <c r="E29" s="96">
        <v>43843</v>
      </c>
      <c r="F29" s="96">
        <f>E29+7</f>
        <v>43850</v>
      </c>
      <c r="G29" s="61"/>
      <c r="H29" s="61">
        <f t="shared" si="4"/>
        <v>8</v>
      </c>
      <c r="I29" s="66" t="s">
        <v>282</v>
      </c>
      <c r="J29" s="60"/>
      <c r="K29" s="60"/>
      <c r="L29" s="60"/>
      <c r="M29" s="60"/>
      <c r="N29" s="60"/>
      <c r="O29" s="60"/>
      <c r="P29" s="60"/>
      <c r="Q29" s="60"/>
      <c r="R29" s="60"/>
      <c r="S29" s="60"/>
      <c r="T29" s="60"/>
      <c r="U29" s="60"/>
      <c r="V29" s="60"/>
      <c r="W29" s="60"/>
      <c r="X29" s="60"/>
      <c r="Y29" s="60"/>
      <c r="Z29" s="9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row>
    <row r="30" spans="1:65" s="51" customFormat="1" ht="30" customHeight="1" thickBot="1" x14ac:dyDescent="0.35">
      <c r="A30" s="46"/>
      <c r="B30" s="99" t="s">
        <v>281</v>
      </c>
      <c r="C30" s="98" t="s">
        <v>121</v>
      </c>
      <c r="D30" s="97">
        <v>0.5</v>
      </c>
      <c r="E30" s="96">
        <v>43843</v>
      </c>
      <c r="F30" s="96">
        <f>E30+7</f>
        <v>43850</v>
      </c>
      <c r="G30" s="61"/>
      <c r="H30" s="61">
        <f t="shared" si="4"/>
        <v>8</v>
      </c>
      <c r="I30" s="89" t="s">
        <v>280</v>
      </c>
      <c r="J30" s="60"/>
      <c r="K30" s="60"/>
      <c r="L30" s="60"/>
      <c r="M30" s="60"/>
      <c r="N30" s="60"/>
      <c r="O30" s="60"/>
      <c r="P30" s="60"/>
      <c r="Q30" s="60"/>
      <c r="R30" s="60"/>
      <c r="S30" s="60"/>
      <c r="T30" s="60"/>
      <c r="U30" s="60"/>
      <c r="V30" s="60"/>
      <c r="W30" s="60"/>
      <c r="X30" s="60"/>
      <c r="Y30" s="60"/>
      <c r="Z30" s="9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row>
    <row r="31" spans="1:65" s="51" customFormat="1" ht="30" customHeight="1" thickBot="1" x14ac:dyDescent="0.35">
      <c r="A31" s="46"/>
      <c r="B31" s="99" t="s">
        <v>279</v>
      </c>
      <c r="C31" s="98" t="s">
        <v>121</v>
      </c>
      <c r="D31" s="97">
        <v>0</v>
      </c>
      <c r="E31" s="96"/>
      <c r="F31" s="96">
        <f>E31+3</f>
        <v>3</v>
      </c>
      <c r="G31" s="61"/>
      <c r="H31" s="61" t="str">
        <f t="shared" si="4"/>
        <v/>
      </c>
      <c r="I31" s="66" t="s">
        <v>278</v>
      </c>
      <c r="J31" s="60"/>
      <c r="K31" s="60"/>
      <c r="L31" s="60"/>
      <c r="M31" s="60"/>
      <c r="N31" s="60"/>
      <c r="O31" s="60"/>
      <c r="P31" s="60"/>
      <c r="Q31" s="60"/>
      <c r="R31" s="60"/>
      <c r="S31" s="60"/>
      <c r="T31" s="60"/>
      <c r="U31" s="60"/>
      <c r="V31" s="60"/>
      <c r="W31" s="60"/>
      <c r="X31" s="60"/>
      <c r="Y31" s="60"/>
      <c r="Z31" s="9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row>
    <row r="32" spans="1:65" s="51" customFormat="1" ht="30" customHeight="1" thickBot="1" x14ac:dyDescent="0.35">
      <c r="A32" s="46"/>
      <c r="B32" s="99" t="s">
        <v>277</v>
      </c>
      <c r="C32" s="98" t="s">
        <v>121</v>
      </c>
      <c r="D32" s="97">
        <v>0.5</v>
      </c>
      <c r="E32" s="96">
        <v>43843</v>
      </c>
      <c r="F32" s="96">
        <f>E32+7</f>
        <v>43850</v>
      </c>
      <c r="G32" s="61"/>
      <c r="H32" s="61">
        <f t="shared" si="4"/>
        <v>8</v>
      </c>
      <c r="I32" s="66" t="s">
        <v>276</v>
      </c>
      <c r="J32" s="60"/>
      <c r="K32" s="60"/>
      <c r="L32" s="60"/>
      <c r="M32" s="60"/>
      <c r="N32" s="60"/>
      <c r="O32" s="60"/>
      <c r="P32" s="60"/>
      <c r="Q32" s="60"/>
      <c r="R32" s="60"/>
      <c r="S32" s="60"/>
      <c r="T32" s="60"/>
      <c r="U32" s="60"/>
      <c r="V32" s="60"/>
      <c r="W32" s="60"/>
      <c r="X32" s="60"/>
      <c r="Y32" s="60"/>
      <c r="Z32" s="9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row>
    <row r="33" spans="1:65" s="51" customFormat="1" ht="30" customHeight="1" thickBot="1" x14ac:dyDescent="0.35">
      <c r="A33" s="46"/>
      <c r="B33" s="99"/>
      <c r="C33" s="98"/>
      <c r="D33" s="97"/>
      <c r="E33" s="96"/>
      <c r="F33" s="96"/>
      <c r="G33" s="61"/>
      <c r="H33" s="61" t="str">
        <f t="shared" si="4"/>
        <v/>
      </c>
      <c r="I33" s="66"/>
      <c r="J33" s="60"/>
      <c r="K33" s="60"/>
      <c r="L33" s="60"/>
      <c r="M33" s="60"/>
      <c r="N33" s="60"/>
      <c r="O33" s="60"/>
      <c r="P33" s="60"/>
      <c r="Q33" s="60"/>
      <c r="R33" s="60"/>
      <c r="S33" s="60"/>
      <c r="T33" s="60"/>
      <c r="U33" s="60"/>
      <c r="V33" s="60"/>
      <c r="W33" s="60"/>
      <c r="X33" s="60"/>
      <c r="Y33" s="60"/>
      <c r="Z33" s="9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row>
    <row r="34" spans="1:65" s="51" customFormat="1" ht="30" customHeight="1" thickBot="1" x14ac:dyDescent="0.35">
      <c r="A34" s="59" t="s">
        <v>275</v>
      </c>
      <c r="B34" s="95" t="s">
        <v>274</v>
      </c>
      <c r="C34" s="94"/>
      <c r="D34" s="93"/>
      <c r="E34" s="92"/>
      <c r="F34" s="91"/>
      <c r="G34" s="61"/>
      <c r="H34" s="61" t="str">
        <f t="shared" si="4"/>
        <v/>
      </c>
      <c r="I34" s="66"/>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row>
    <row r="35" spans="1:65" s="51" customFormat="1" ht="30" customHeight="1" thickBot="1" x14ac:dyDescent="0.35">
      <c r="A35" s="59"/>
      <c r="B35" s="88" t="s">
        <v>273</v>
      </c>
      <c r="C35" s="87" t="s">
        <v>121</v>
      </c>
      <c r="D35" s="87">
        <v>0.95</v>
      </c>
      <c r="E35" s="86">
        <v>43709</v>
      </c>
      <c r="F35" s="86">
        <f>E35+3</f>
        <v>43712</v>
      </c>
      <c r="G35" s="61"/>
      <c r="H35" s="61">
        <f t="shared" si="4"/>
        <v>4</v>
      </c>
      <c r="I35" s="66" t="s">
        <v>272</v>
      </c>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row>
    <row r="36" spans="1:65" s="51" customFormat="1" ht="30" customHeight="1" thickBot="1" x14ac:dyDescent="0.35">
      <c r="A36" s="59"/>
      <c r="B36" s="88" t="s">
        <v>271</v>
      </c>
      <c r="C36" s="87" t="s">
        <v>121</v>
      </c>
      <c r="D36" s="87">
        <v>0.5</v>
      </c>
      <c r="E36" s="86">
        <v>43712</v>
      </c>
      <c r="F36" s="86">
        <f>E36+3</f>
        <v>43715</v>
      </c>
      <c r="G36" s="61"/>
      <c r="H36" s="61">
        <f t="shared" si="4"/>
        <v>4</v>
      </c>
      <c r="I36" s="89" t="s">
        <v>270</v>
      </c>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row>
    <row r="37" spans="1:65" s="51" customFormat="1" ht="30" customHeight="1" thickBot="1" x14ac:dyDescent="0.35">
      <c r="A37" s="46"/>
      <c r="B37" s="88" t="s">
        <v>269</v>
      </c>
      <c r="C37" s="87" t="s">
        <v>121</v>
      </c>
      <c r="D37" s="87">
        <v>1</v>
      </c>
      <c r="E37" s="86">
        <v>43717</v>
      </c>
      <c r="F37" s="86">
        <f>E37+3</f>
        <v>43720</v>
      </c>
      <c r="G37" s="61"/>
      <c r="H37" s="61">
        <f t="shared" si="4"/>
        <v>4</v>
      </c>
      <c r="I37" s="66"/>
      <c r="J37" s="60"/>
      <c r="K37" s="60"/>
      <c r="L37" s="60"/>
      <c r="M37" s="60"/>
      <c r="N37" s="60"/>
      <c r="O37" s="60"/>
      <c r="P37" s="60"/>
      <c r="Q37" s="60"/>
      <c r="R37" s="60"/>
      <c r="S37" s="60"/>
      <c r="T37" s="60"/>
      <c r="U37" s="60"/>
      <c r="V37" s="90"/>
      <c r="W37" s="9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row>
    <row r="38" spans="1:65" s="51" customFormat="1" ht="30" customHeight="1" thickBot="1" x14ac:dyDescent="0.35">
      <c r="A38" s="46"/>
      <c r="B38" s="88" t="s">
        <v>268</v>
      </c>
      <c r="C38" s="87" t="s">
        <v>121</v>
      </c>
      <c r="D38" s="87">
        <v>0.4</v>
      </c>
      <c r="E38" s="86">
        <v>43721</v>
      </c>
      <c r="F38" s="86">
        <f>E38+1</f>
        <v>43722</v>
      </c>
      <c r="G38" s="61"/>
      <c r="H38" s="61">
        <f t="shared" si="4"/>
        <v>2</v>
      </c>
      <c r="I38" s="89" t="s">
        <v>267</v>
      </c>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row>
    <row r="39" spans="1:65" s="51" customFormat="1" ht="30" customHeight="1" thickBot="1" x14ac:dyDescent="0.35">
      <c r="A39" s="46"/>
      <c r="B39" s="88" t="s">
        <v>266</v>
      </c>
      <c r="C39" s="87" t="s">
        <v>121</v>
      </c>
      <c r="D39" s="87">
        <v>0.8</v>
      </c>
      <c r="E39" s="86">
        <f>E38</f>
        <v>43721</v>
      </c>
      <c r="F39" s="86">
        <f>E39+3</f>
        <v>43724</v>
      </c>
      <c r="G39" s="61"/>
      <c r="H39" s="61">
        <f t="shared" ref="H39:H70" si="5">IF(OR(ISBLANK(task_start),ISBLANK(task_end)),"",task_end-task_start+1)</f>
        <v>4</v>
      </c>
      <c r="I39" s="66"/>
      <c r="J39" s="60"/>
      <c r="K39" s="60"/>
      <c r="L39" s="60"/>
      <c r="M39" s="60"/>
      <c r="N39" s="60"/>
      <c r="O39" s="60"/>
      <c r="P39" s="60"/>
      <c r="Q39" s="60"/>
      <c r="R39" s="60"/>
      <c r="S39" s="60"/>
      <c r="T39" s="60"/>
      <c r="U39" s="60"/>
      <c r="V39" s="60"/>
      <c r="W39" s="60"/>
      <c r="X39" s="60"/>
      <c r="Y39" s="60"/>
      <c r="Z39" s="9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row>
    <row r="40" spans="1:65" s="51" customFormat="1" ht="30" customHeight="1" thickBot="1" x14ac:dyDescent="0.35">
      <c r="A40" s="46"/>
      <c r="B40" s="88" t="s">
        <v>265</v>
      </c>
      <c r="C40" s="87" t="s">
        <v>121</v>
      </c>
      <c r="D40" s="87">
        <v>0.4</v>
      </c>
      <c r="E40" s="86">
        <v>43723</v>
      </c>
      <c r="F40" s="86">
        <f>E40+3</f>
        <v>43726</v>
      </c>
      <c r="G40" s="61"/>
      <c r="H40" s="61">
        <f t="shared" si="5"/>
        <v>4</v>
      </c>
      <c r="I40" s="89" t="s">
        <v>264</v>
      </c>
      <c r="J40" s="60"/>
      <c r="K40" s="60"/>
      <c r="L40" s="60"/>
      <c r="M40" s="60"/>
      <c r="N40" s="60"/>
      <c r="O40" s="60"/>
      <c r="P40" s="60"/>
      <c r="Q40" s="60"/>
      <c r="R40" s="60"/>
      <c r="S40" s="60"/>
      <c r="T40" s="60"/>
      <c r="U40" s="60"/>
      <c r="V40" s="60"/>
      <c r="W40" s="60"/>
      <c r="X40" s="60"/>
      <c r="Y40" s="60"/>
      <c r="Z40" s="9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row>
    <row r="41" spans="1:65" s="51" customFormat="1" ht="30" customHeight="1" thickBot="1" x14ac:dyDescent="0.35">
      <c r="A41" s="46"/>
      <c r="B41" s="88" t="s">
        <v>263</v>
      </c>
      <c r="C41" s="87" t="s">
        <v>121</v>
      </c>
      <c r="D41" s="87">
        <v>0</v>
      </c>
      <c r="E41" s="86"/>
      <c r="F41" s="86">
        <f>E41+3</f>
        <v>3</v>
      </c>
      <c r="G41" s="61"/>
      <c r="H41" s="61" t="str">
        <f t="shared" si="5"/>
        <v/>
      </c>
      <c r="I41" s="66"/>
      <c r="J41" s="60"/>
      <c r="K41" s="60"/>
      <c r="L41" s="60"/>
      <c r="M41" s="60"/>
      <c r="N41" s="60"/>
      <c r="O41" s="60"/>
      <c r="P41" s="60"/>
      <c r="Q41" s="60"/>
      <c r="R41" s="60"/>
      <c r="S41" s="60"/>
      <c r="T41" s="60"/>
      <c r="U41" s="60"/>
      <c r="V41" s="60"/>
      <c r="W41" s="60"/>
      <c r="X41" s="60"/>
      <c r="Y41" s="60"/>
      <c r="Z41" s="9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row>
    <row r="42" spans="1:65" s="51" customFormat="1" ht="30" customHeight="1" thickBot="1" x14ac:dyDescent="0.35">
      <c r="A42" s="46"/>
      <c r="B42" s="88" t="s">
        <v>262</v>
      </c>
      <c r="C42" s="87"/>
      <c r="D42" s="87">
        <v>0.5</v>
      </c>
      <c r="E42" s="86">
        <v>43727</v>
      </c>
      <c r="F42" s="86">
        <f>E42+1</f>
        <v>43728</v>
      </c>
      <c r="G42" s="61"/>
      <c r="H42" s="61">
        <f t="shared" si="5"/>
        <v>2</v>
      </c>
      <c r="I42" s="66" t="s">
        <v>261</v>
      </c>
      <c r="J42" s="60"/>
      <c r="K42" s="60"/>
      <c r="L42" s="60"/>
      <c r="M42" s="60"/>
      <c r="N42" s="60"/>
      <c r="O42" s="60"/>
      <c r="P42" s="60"/>
      <c r="Q42" s="60"/>
      <c r="R42" s="60"/>
      <c r="S42" s="60"/>
      <c r="T42" s="60"/>
      <c r="U42" s="60"/>
      <c r="V42" s="60"/>
      <c r="W42" s="60"/>
      <c r="X42" s="60"/>
      <c r="Y42" s="60"/>
      <c r="Z42" s="9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row>
    <row r="43" spans="1:65" s="51" customFormat="1" ht="30" customHeight="1" thickBot="1" x14ac:dyDescent="0.35">
      <c r="A43" s="46"/>
      <c r="B43" s="88" t="s">
        <v>260</v>
      </c>
      <c r="C43" s="87" t="s">
        <v>121</v>
      </c>
      <c r="D43" s="87">
        <v>0.9</v>
      </c>
      <c r="E43" s="86">
        <v>43728</v>
      </c>
      <c r="F43" s="86">
        <f>E43+1</f>
        <v>43729</v>
      </c>
      <c r="G43" s="61"/>
      <c r="H43" s="61">
        <f t="shared" si="5"/>
        <v>2</v>
      </c>
      <c r="I43" s="66"/>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row>
    <row r="44" spans="1:65" s="51" customFormat="1" ht="30" customHeight="1" thickBot="1" x14ac:dyDescent="0.35">
      <c r="A44" s="46"/>
      <c r="B44" s="88" t="s">
        <v>259</v>
      </c>
      <c r="C44" s="87" t="s">
        <v>121</v>
      </c>
      <c r="D44" s="87">
        <v>0.95</v>
      </c>
      <c r="E44" s="86">
        <v>43725</v>
      </c>
      <c r="F44" s="86">
        <f>E44+4</f>
        <v>43729</v>
      </c>
      <c r="G44" s="61"/>
      <c r="H44" s="61">
        <f t="shared" si="5"/>
        <v>5</v>
      </c>
      <c r="I44" s="89" t="s">
        <v>258</v>
      </c>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row>
    <row r="45" spans="1:65" s="51" customFormat="1" ht="30" customHeight="1" thickBot="1" x14ac:dyDescent="0.35">
      <c r="A45" s="46"/>
      <c r="B45" s="88" t="s">
        <v>257</v>
      </c>
      <c r="C45" s="87" t="s">
        <v>121</v>
      </c>
      <c r="D45" s="87">
        <v>0.8</v>
      </c>
      <c r="E45" s="86">
        <v>43862</v>
      </c>
      <c r="F45" s="86">
        <f t="shared" ref="F45:F76" si="6">E45+28</f>
        <v>43890</v>
      </c>
      <c r="G45" s="61"/>
      <c r="H45" s="61">
        <f t="shared" si="5"/>
        <v>29</v>
      </c>
      <c r="I45" s="89" t="s">
        <v>256</v>
      </c>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row>
    <row r="46" spans="1:65" s="51" customFormat="1" ht="30" customHeight="1" thickBot="1" x14ac:dyDescent="0.35">
      <c r="A46" s="46"/>
      <c r="B46" s="88" t="s">
        <v>255</v>
      </c>
      <c r="C46" s="87" t="s">
        <v>121</v>
      </c>
      <c r="D46" s="87">
        <v>0.8</v>
      </c>
      <c r="E46" s="86">
        <v>43862</v>
      </c>
      <c r="F46" s="86">
        <f t="shared" si="6"/>
        <v>43890</v>
      </c>
      <c r="G46" s="61"/>
      <c r="H46" s="61">
        <f t="shared" si="5"/>
        <v>29</v>
      </c>
      <c r="I46" s="66"/>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row>
    <row r="47" spans="1:65" s="51" customFormat="1" ht="30" customHeight="1" thickBot="1" x14ac:dyDescent="0.35">
      <c r="A47" s="46"/>
      <c r="B47" s="88" t="s">
        <v>254</v>
      </c>
      <c r="C47" s="87" t="s">
        <v>121</v>
      </c>
      <c r="D47" s="87">
        <v>0.8</v>
      </c>
      <c r="E47" s="86">
        <v>43862</v>
      </c>
      <c r="F47" s="86">
        <f t="shared" si="6"/>
        <v>43890</v>
      </c>
      <c r="G47" s="61"/>
      <c r="H47" s="61">
        <f t="shared" si="5"/>
        <v>29</v>
      </c>
      <c r="I47" s="66"/>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row>
    <row r="48" spans="1:65" s="51" customFormat="1" ht="30" customHeight="1" thickBot="1" x14ac:dyDescent="0.35">
      <c r="A48" s="46"/>
      <c r="B48" s="88" t="s">
        <v>253</v>
      </c>
      <c r="C48" s="87" t="s">
        <v>121</v>
      </c>
      <c r="D48" s="87">
        <v>0.8</v>
      </c>
      <c r="E48" s="86">
        <v>43862</v>
      </c>
      <c r="F48" s="86">
        <f t="shared" si="6"/>
        <v>43890</v>
      </c>
      <c r="G48" s="61"/>
      <c r="H48" s="61">
        <f t="shared" si="5"/>
        <v>29</v>
      </c>
      <c r="I48" s="66"/>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row>
    <row r="49" spans="1:65" s="51" customFormat="1" ht="30" customHeight="1" thickBot="1" x14ac:dyDescent="0.35">
      <c r="A49" s="46"/>
      <c r="B49" s="88" t="s">
        <v>252</v>
      </c>
      <c r="C49" s="87" t="s">
        <v>121</v>
      </c>
      <c r="D49" s="87">
        <v>0.8</v>
      </c>
      <c r="E49" s="86">
        <v>43862</v>
      </c>
      <c r="F49" s="86">
        <f t="shared" si="6"/>
        <v>43890</v>
      </c>
      <c r="G49" s="61"/>
      <c r="H49" s="61">
        <f t="shared" si="5"/>
        <v>29</v>
      </c>
      <c r="I49" s="66"/>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row>
    <row r="50" spans="1:65" s="51" customFormat="1" ht="30" customHeight="1" thickBot="1" x14ac:dyDescent="0.35">
      <c r="A50" s="46"/>
      <c r="B50" s="88" t="s">
        <v>251</v>
      </c>
      <c r="C50" s="87" t="s">
        <v>121</v>
      </c>
      <c r="D50" s="87">
        <v>0.8</v>
      </c>
      <c r="E50" s="86">
        <v>43862</v>
      </c>
      <c r="F50" s="86">
        <f t="shared" si="6"/>
        <v>43890</v>
      </c>
      <c r="G50" s="61"/>
      <c r="H50" s="61">
        <f t="shared" si="5"/>
        <v>29</v>
      </c>
      <c r="I50" s="66"/>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row>
    <row r="51" spans="1:65" s="51" customFormat="1" ht="30" customHeight="1" thickBot="1" x14ac:dyDescent="0.35">
      <c r="A51" s="46"/>
      <c r="B51" s="88" t="s">
        <v>250</v>
      </c>
      <c r="C51" s="87" t="s">
        <v>121</v>
      </c>
      <c r="D51" s="87">
        <v>0.8</v>
      </c>
      <c r="E51" s="86">
        <v>43862</v>
      </c>
      <c r="F51" s="86">
        <f t="shared" si="6"/>
        <v>43890</v>
      </c>
      <c r="G51" s="61"/>
      <c r="H51" s="61">
        <f t="shared" si="5"/>
        <v>29</v>
      </c>
      <c r="I51" s="66"/>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row>
    <row r="52" spans="1:65" s="51" customFormat="1" ht="30" customHeight="1" thickBot="1" x14ac:dyDescent="0.35">
      <c r="A52" s="46"/>
      <c r="B52" s="88" t="s">
        <v>250</v>
      </c>
      <c r="C52" s="87" t="s">
        <v>121</v>
      </c>
      <c r="D52" s="87">
        <v>0.8</v>
      </c>
      <c r="E52" s="86">
        <v>43862</v>
      </c>
      <c r="F52" s="86">
        <f t="shared" si="6"/>
        <v>43890</v>
      </c>
      <c r="G52" s="61"/>
      <c r="H52" s="61">
        <f t="shared" si="5"/>
        <v>29</v>
      </c>
      <c r="I52" s="66"/>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row>
    <row r="53" spans="1:65" s="51" customFormat="1" ht="30" customHeight="1" thickBot="1" x14ac:dyDescent="0.35">
      <c r="A53" s="46"/>
      <c r="B53" s="88" t="s">
        <v>249</v>
      </c>
      <c r="C53" s="87" t="s">
        <v>121</v>
      </c>
      <c r="D53" s="87">
        <v>0.8</v>
      </c>
      <c r="E53" s="86">
        <v>43862</v>
      </c>
      <c r="F53" s="86">
        <f t="shared" si="6"/>
        <v>43890</v>
      </c>
      <c r="G53" s="61"/>
      <c r="H53" s="61">
        <f t="shared" si="5"/>
        <v>29</v>
      </c>
      <c r="I53" s="66"/>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row>
    <row r="54" spans="1:65" s="51" customFormat="1" ht="30" customHeight="1" thickBot="1" x14ac:dyDescent="0.35">
      <c r="A54" s="46"/>
      <c r="B54" s="88" t="s">
        <v>248</v>
      </c>
      <c r="C54" s="87" t="s">
        <v>121</v>
      </c>
      <c r="D54" s="87">
        <v>0.8</v>
      </c>
      <c r="E54" s="86">
        <v>43862</v>
      </c>
      <c r="F54" s="86">
        <f t="shared" si="6"/>
        <v>43890</v>
      </c>
      <c r="G54" s="61"/>
      <c r="H54" s="61">
        <f t="shared" si="5"/>
        <v>29</v>
      </c>
      <c r="I54" s="66"/>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row>
    <row r="55" spans="1:65" s="51" customFormat="1" ht="30" customHeight="1" thickBot="1" x14ac:dyDescent="0.35">
      <c r="A55" s="46"/>
      <c r="B55" s="88" t="s">
        <v>247</v>
      </c>
      <c r="C55" s="87" t="s">
        <v>121</v>
      </c>
      <c r="D55" s="87">
        <v>0.8</v>
      </c>
      <c r="E55" s="86">
        <v>43862</v>
      </c>
      <c r="F55" s="86">
        <f t="shared" si="6"/>
        <v>43890</v>
      </c>
      <c r="G55" s="61"/>
      <c r="H55" s="61">
        <f t="shared" si="5"/>
        <v>29</v>
      </c>
      <c r="I55" s="66"/>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row>
    <row r="56" spans="1:65" s="51" customFormat="1" ht="30" customHeight="1" thickBot="1" x14ac:dyDescent="0.35">
      <c r="A56" s="46"/>
      <c r="B56" s="88" t="s">
        <v>246</v>
      </c>
      <c r="C56" s="87" t="s">
        <v>121</v>
      </c>
      <c r="D56" s="87">
        <v>0.8</v>
      </c>
      <c r="E56" s="86">
        <v>43862</v>
      </c>
      <c r="F56" s="86">
        <f t="shared" si="6"/>
        <v>43890</v>
      </c>
      <c r="G56" s="61"/>
      <c r="H56" s="61">
        <f t="shared" si="5"/>
        <v>29</v>
      </c>
      <c r="I56" s="66"/>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row>
    <row r="57" spans="1:65" s="51" customFormat="1" ht="30" customHeight="1" thickBot="1" x14ac:dyDescent="0.35">
      <c r="A57" s="46"/>
      <c r="B57" s="88" t="s">
        <v>245</v>
      </c>
      <c r="C57" s="87" t="s">
        <v>121</v>
      </c>
      <c r="D57" s="87">
        <v>0.8</v>
      </c>
      <c r="E57" s="86">
        <v>43862</v>
      </c>
      <c r="F57" s="86">
        <f t="shared" si="6"/>
        <v>43890</v>
      </c>
      <c r="G57" s="61"/>
      <c r="H57" s="61">
        <f t="shared" si="5"/>
        <v>29</v>
      </c>
      <c r="I57" s="66"/>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row>
    <row r="58" spans="1:65" s="51" customFormat="1" ht="30" customHeight="1" thickBot="1" x14ac:dyDescent="0.35">
      <c r="A58" s="46"/>
      <c r="B58" s="88" t="s">
        <v>244</v>
      </c>
      <c r="C58" s="87" t="s">
        <v>121</v>
      </c>
      <c r="D58" s="87">
        <v>0.8</v>
      </c>
      <c r="E58" s="86">
        <v>43862</v>
      </c>
      <c r="F58" s="86">
        <f t="shared" si="6"/>
        <v>43890</v>
      </c>
      <c r="G58" s="61"/>
      <c r="H58" s="61">
        <f t="shared" si="5"/>
        <v>29</v>
      </c>
      <c r="I58" s="66"/>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row>
    <row r="59" spans="1:65" s="51" customFormat="1" ht="30" customHeight="1" thickBot="1" x14ac:dyDescent="0.35">
      <c r="A59" s="46"/>
      <c r="B59" s="88" t="s">
        <v>243</v>
      </c>
      <c r="C59" s="87" t="s">
        <v>121</v>
      </c>
      <c r="D59" s="87">
        <v>0.8</v>
      </c>
      <c r="E59" s="86">
        <v>43862</v>
      </c>
      <c r="F59" s="86">
        <f t="shared" si="6"/>
        <v>43890</v>
      </c>
      <c r="G59" s="61"/>
      <c r="H59" s="61">
        <f t="shared" si="5"/>
        <v>29</v>
      </c>
      <c r="I59" s="66"/>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row>
    <row r="60" spans="1:65" s="51" customFormat="1" ht="30" customHeight="1" thickBot="1" x14ac:dyDescent="0.35">
      <c r="A60" s="46"/>
      <c r="B60" s="88" t="s">
        <v>242</v>
      </c>
      <c r="C60" s="87" t="s">
        <v>121</v>
      </c>
      <c r="D60" s="87">
        <v>0.8</v>
      </c>
      <c r="E60" s="86">
        <v>43862</v>
      </c>
      <c r="F60" s="86">
        <f t="shared" si="6"/>
        <v>43890</v>
      </c>
      <c r="G60" s="61"/>
      <c r="H60" s="61">
        <f t="shared" si="5"/>
        <v>29</v>
      </c>
      <c r="I60" s="66"/>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row>
    <row r="61" spans="1:65" s="51" customFormat="1" ht="30" customHeight="1" thickBot="1" x14ac:dyDescent="0.35">
      <c r="A61" s="46"/>
      <c r="B61" s="88" t="s">
        <v>241</v>
      </c>
      <c r="C61" s="87" t="s">
        <v>121</v>
      </c>
      <c r="D61" s="87">
        <v>0.8</v>
      </c>
      <c r="E61" s="86">
        <v>43862</v>
      </c>
      <c r="F61" s="86">
        <f t="shared" si="6"/>
        <v>43890</v>
      </c>
      <c r="G61" s="61"/>
      <c r="H61" s="61">
        <f t="shared" si="5"/>
        <v>29</v>
      </c>
      <c r="I61" s="66"/>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row>
    <row r="62" spans="1:65" s="51" customFormat="1" ht="30" customHeight="1" thickBot="1" x14ac:dyDescent="0.35">
      <c r="A62" s="46"/>
      <c r="B62" s="88" t="s">
        <v>240</v>
      </c>
      <c r="C62" s="87" t="s">
        <v>121</v>
      </c>
      <c r="D62" s="87">
        <v>0.8</v>
      </c>
      <c r="E62" s="86">
        <v>43862</v>
      </c>
      <c r="F62" s="86">
        <f t="shared" si="6"/>
        <v>43890</v>
      </c>
      <c r="G62" s="61"/>
      <c r="H62" s="61">
        <f t="shared" si="5"/>
        <v>29</v>
      </c>
      <c r="I62" s="66"/>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row>
    <row r="63" spans="1:65" s="51" customFormat="1" ht="30" customHeight="1" thickBot="1" x14ac:dyDescent="0.35">
      <c r="A63" s="46"/>
      <c r="B63" s="88" t="s">
        <v>239</v>
      </c>
      <c r="C63" s="87" t="s">
        <v>224</v>
      </c>
      <c r="D63" s="87">
        <v>0.8</v>
      </c>
      <c r="E63" s="86">
        <v>43862</v>
      </c>
      <c r="F63" s="86">
        <f t="shared" si="6"/>
        <v>43890</v>
      </c>
      <c r="G63" s="61"/>
      <c r="H63" s="61">
        <f t="shared" si="5"/>
        <v>29</v>
      </c>
      <c r="I63" s="66"/>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row>
    <row r="64" spans="1:65" s="51" customFormat="1" ht="30" customHeight="1" thickBot="1" x14ac:dyDescent="0.35">
      <c r="A64" s="46"/>
      <c r="B64" s="88" t="s">
        <v>238</v>
      </c>
      <c r="C64" s="87" t="s">
        <v>224</v>
      </c>
      <c r="D64" s="87">
        <v>0.8</v>
      </c>
      <c r="E64" s="86">
        <v>43862</v>
      </c>
      <c r="F64" s="86">
        <f t="shared" si="6"/>
        <v>43890</v>
      </c>
      <c r="G64" s="61"/>
      <c r="H64" s="61">
        <f t="shared" si="5"/>
        <v>29</v>
      </c>
      <c r="I64" s="66"/>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row>
    <row r="65" spans="1:65" s="51" customFormat="1" ht="30" customHeight="1" thickBot="1" x14ac:dyDescent="0.35">
      <c r="A65" s="46"/>
      <c r="B65" s="88" t="s">
        <v>237</v>
      </c>
      <c r="C65" s="87" t="s">
        <v>224</v>
      </c>
      <c r="D65" s="87">
        <v>0.8</v>
      </c>
      <c r="E65" s="86">
        <v>43862</v>
      </c>
      <c r="F65" s="86">
        <f t="shared" si="6"/>
        <v>43890</v>
      </c>
      <c r="G65" s="61"/>
      <c r="H65" s="61">
        <f t="shared" si="5"/>
        <v>29</v>
      </c>
      <c r="I65" s="66"/>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row>
    <row r="66" spans="1:65" s="51" customFormat="1" ht="30" customHeight="1" thickBot="1" x14ac:dyDescent="0.35">
      <c r="A66" s="46"/>
      <c r="B66" s="88" t="s">
        <v>236</v>
      </c>
      <c r="C66" s="87" t="s">
        <v>181</v>
      </c>
      <c r="D66" s="87">
        <v>0.8</v>
      </c>
      <c r="E66" s="86">
        <v>43862</v>
      </c>
      <c r="F66" s="86">
        <f t="shared" si="6"/>
        <v>43890</v>
      </c>
      <c r="G66" s="61"/>
      <c r="H66" s="61">
        <f t="shared" si="5"/>
        <v>29</v>
      </c>
      <c r="I66" s="66"/>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row>
    <row r="67" spans="1:65" s="51" customFormat="1" ht="30" customHeight="1" thickBot="1" x14ac:dyDescent="0.35">
      <c r="A67" s="46"/>
      <c r="B67" s="88" t="s">
        <v>235</v>
      </c>
      <c r="C67" s="87" t="s">
        <v>181</v>
      </c>
      <c r="D67" s="87">
        <v>0.8</v>
      </c>
      <c r="E67" s="86">
        <v>43862</v>
      </c>
      <c r="F67" s="86">
        <f t="shared" si="6"/>
        <v>43890</v>
      </c>
      <c r="G67" s="61"/>
      <c r="H67" s="61">
        <f t="shared" si="5"/>
        <v>29</v>
      </c>
      <c r="I67" s="66"/>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row>
    <row r="68" spans="1:65" s="51" customFormat="1" ht="30" customHeight="1" thickBot="1" x14ac:dyDescent="0.35">
      <c r="A68" s="46"/>
      <c r="B68" s="88" t="s">
        <v>234</v>
      </c>
      <c r="C68" s="87" t="s">
        <v>181</v>
      </c>
      <c r="D68" s="87">
        <v>0.8</v>
      </c>
      <c r="E68" s="86">
        <v>43862</v>
      </c>
      <c r="F68" s="86">
        <f t="shared" si="6"/>
        <v>43890</v>
      </c>
      <c r="G68" s="61"/>
      <c r="H68" s="61">
        <f t="shared" si="5"/>
        <v>29</v>
      </c>
      <c r="I68" s="66"/>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row>
    <row r="69" spans="1:65" s="51" customFormat="1" ht="30" customHeight="1" thickBot="1" x14ac:dyDescent="0.35">
      <c r="A69" s="46"/>
      <c r="B69" s="88" t="s">
        <v>233</v>
      </c>
      <c r="C69" s="87" t="s">
        <v>224</v>
      </c>
      <c r="D69" s="87">
        <v>0.8</v>
      </c>
      <c r="E69" s="86">
        <v>43862</v>
      </c>
      <c r="F69" s="86">
        <f t="shared" si="6"/>
        <v>43890</v>
      </c>
      <c r="G69" s="61"/>
      <c r="H69" s="61">
        <f t="shared" si="5"/>
        <v>29</v>
      </c>
      <c r="I69" s="66"/>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row>
    <row r="70" spans="1:65" s="51" customFormat="1" ht="30" customHeight="1" thickBot="1" x14ac:dyDescent="0.35">
      <c r="A70" s="46"/>
      <c r="B70" s="88" t="s">
        <v>232</v>
      </c>
      <c r="C70" s="87" t="s">
        <v>121</v>
      </c>
      <c r="D70" s="87">
        <v>0.8</v>
      </c>
      <c r="E70" s="86">
        <v>43862</v>
      </c>
      <c r="F70" s="86">
        <f t="shared" si="6"/>
        <v>43890</v>
      </c>
      <c r="G70" s="61"/>
      <c r="H70" s="61">
        <f t="shared" si="5"/>
        <v>29</v>
      </c>
      <c r="I70" s="66"/>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row>
    <row r="71" spans="1:65" s="51" customFormat="1" ht="30" customHeight="1" thickBot="1" x14ac:dyDescent="0.35">
      <c r="A71" s="46"/>
      <c r="B71" s="88" t="s">
        <v>231</v>
      </c>
      <c r="C71" s="87" t="s">
        <v>121</v>
      </c>
      <c r="D71" s="87">
        <v>0.8</v>
      </c>
      <c r="E71" s="86">
        <v>43862</v>
      </c>
      <c r="F71" s="86">
        <f t="shared" si="6"/>
        <v>43890</v>
      </c>
      <c r="G71" s="61"/>
      <c r="H71" s="61">
        <f t="shared" ref="H71:H78" si="7">IF(OR(ISBLANK(task_start),ISBLANK(task_end)),"",task_end-task_start+1)</f>
        <v>29</v>
      </c>
      <c r="I71" s="66"/>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row>
    <row r="72" spans="1:65" s="51" customFormat="1" ht="30" customHeight="1" thickBot="1" x14ac:dyDescent="0.35">
      <c r="A72" s="46"/>
      <c r="B72" s="88" t="s">
        <v>230</v>
      </c>
      <c r="C72" s="87" t="s">
        <v>121</v>
      </c>
      <c r="D72" s="87">
        <v>0.8</v>
      </c>
      <c r="E72" s="86">
        <v>43862</v>
      </c>
      <c r="F72" s="86">
        <f t="shared" si="6"/>
        <v>43890</v>
      </c>
      <c r="G72" s="61"/>
      <c r="H72" s="61">
        <f t="shared" si="7"/>
        <v>29</v>
      </c>
      <c r="I72" s="66"/>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row>
    <row r="73" spans="1:65" s="51" customFormat="1" ht="30" customHeight="1" thickBot="1" x14ac:dyDescent="0.35">
      <c r="A73" s="46"/>
      <c r="B73" s="88" t="s">
        <v>229</v>
      </c>
      <c r="C73" s="87" t="s">
        <v>121</v>
      </c>
      <c r="D73" s="87">
        <v>0.8</v>
      </c>
      <c r="E73" s="86">
        <v>43862</v>
      </c>
      <c r="F73" s="86">
        <f t="shared" si="6"/>
        <v>43890</v>
      </c>
      <c r="G73" s="61"/>
      <c r="H73" s="61">
        <f t="shared" si="7"/>
        <v>29</v>
      </c>
      <c r="I73" s="66"/>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row>
    <row r="74" spans="1:65" s="51" customFormat="1" ht="30" customHeight="1" thickBot="1" x14ac:dyDescent="0.35">
      <c r="A74" s="46"/>
      <c r="B74" s="88" t="s">
        <v>228</v>
      </c>
      <c r="C74" s="87" t="s">
        <v>181</v>
      </c>
      <c r="D74" s="87">
        <v>0.8</v>
      </c>
      <c r="E74" s="86">
        <v>43862</v>
      </c>
      <c r="F74" s="86">
        <f t="shared" si="6"/>
        <v>43890</v>
      </c>
      <c r="G74" s="61"/>
      <c r="H74" s="61">
        <f t="shared" si="7"/>
        <v>29</v>
      </c>
      <c r="I74" s="66"/>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row>
    <row r="75" spans="1:65" s="51" customFormat="1" ht="30" customHeight="1" thickBot="1" x14ac:dyDescent="0.35">
      <c r="A75" s="46"/>
      <c r="B75" s="88" t="s">
        <v>227</v>
      </c>
      <c r="C75" s="87" t="s">
        <v>181</v>
      </c>
      <c r="D75" s="87">
        <v>0.8</v>
      </c>
      <c r="E75" s="86">
        <v>43862</v>
      </c>
      <c r="F75" s="86">
        <f t="shared" si="6"/>
        <v>43890</v>
      </c>
      <c r="G75" s="61"/>
      <c r="H75" s="61">
        <f t="shared" si="7"/>
        <v>29</v>
      </c>
      <c r="I75" s="66"/>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row>
    <row r="76" spans="1:65" s="51" customFormat="1" ht="30" customHeight="1" thickBot="1" x14ac:dyDescent="0.35">
      <c r="A76" s="46"/>
      <c r="B76" s="88" t="s">
        <v>226</v>
      </c>
      <c r="C76" s="87" t="s">
        <v>121</v>
      </c>
      <c r="D76" s="87">
        <v>0.8</v>
      </c>
      <c r="E76" s="86">
        <v>43862</v>
      </c>
      <c r="F76" s="86">
        <f t="shared" si="6"/>
        <v>43890</v>
      </c>
      <c r="G76" s="61"/>
      <c r="H76" s="61">
        <f t="shared" si="7"/>
        <v>29</v>
      </c>
      <c r="I76" s="66"/>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row>
    <row r="77" spans="1:65" s="51" customFormat="1" ht="30" customHeight="1" thickBot="1" x14ac:dyDescent="0.35">
      <c r="A77" s="46"/>
      <c r="B77" s="88" t="s">
        <v>225</v>
      </c>
      <c r="C77" s="87" t="s">
        <v>224</v>
      </c>
      <c r="D77" s="87">
        <v>0.3</v>
      </c>
      <c r="E77" s="86">
        <v>43730</v>
      </c>
      <c r="F77" s="86">
        <f>E77+5</f>
        <v>43735</v>
      </c>
      <c r="G77" s="61"/>
      <c r="H77" s="61">
        <f t="shared" si="7"/>
        <v>6</v>
      </c>
      <c r="I77" s="89" t="s">
        <v>222</v>
      </c>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row>
    <row r="78" spans="1:65" s="51" customFormat="1" ht="30" customHeight="1" thickBot="1" x14ac:dyDescent="0.35">
      <c r="A78" s="46"/>
      <c r="B78" s="88" t="s">
        <v>223</v>
      </c>
      <c r="C78" s="87" t="s">
        <v>121</v>
      </c>
      <c r="D78" s="87">
        <v>0.3</v>
      </c>
      <c r="E78" s="86">
        <v>43730</v>
      </c>
      <c r="F78" s="86">
        <f>E78+5</f>
        <v>43735</v>
      </c>
      <c r="G78" s="61"/>
      <c r="H78" s="61">
        <f t="shared" si="7"/>
        <v>6</v>
      </c>
      <c r="I78" s="89" t="s">
        <v>222</v>
      </c>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row>
    <row r="79" spans="1:65" s="51" customFormat="1" ht="30" customHeight="1" thickBot="1" x14ac:dyDescent="0.35">
      <c r="A79" s="46"/>
      <c r="B79" s="88" t="s">
        <v>221</v>
      </c>
      <c r="C79" s="87" t="s">
        <v>121</v>
      </c>
      <c r="D79" s="87">
        <v>0</v>
      </c>
      <c r="E79" s="86"/>
      <c r="F79" s="86"/>
      <c r="G79" s="61"/>
      <c r="H79" s="61"/>
      <c r="I79" s="66"/>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row>
    <row r="80" spans="1:65" s="51" customFormat="1" ht="30" customHeight="1" thickBot="1" x14ac:dyDescent="0.35">
      <c r="A80" s="46"/>
      <c r="B80" s="88" t="s">
        <v>220</v>
      </c>
      <c r="C80" s="87" t="s">
        <v>121</v>
      </c>
      <c r="D80" s="87">
        <v>0</v>
      </c>
      <c r="E80" s="86"/>
      <c r="F80" s="86"/>
      <c r="G80" s="61"/>
      <c r="H80" s="61"/>
      <c r="I80" s="66"/>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row>
    <row r="81" spans="1:65" s="51" customFormat="1" ht="30" customHeight="1" thickBot="1" x14ac:dyDescent="0.35">
      <c r="A81" s="46"/>
      <c r="B81" s="88" t="s">
        <v>219</v>
      </c>
      <c r="C81" s="87" t="s">
        <v>121</v>
      </c>
      <c r="D81" s="87">
        <v>0</v>
      </c>
      <c r="E81" s="86"/>
      <c r="F81" s="86"/>
      <c r="G81" s="61"/>
      <c r="H81" s="61"/>
      <c r="I81" s="66"/>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row>
    <row r="82" spans="1:65" s="51" customFormat="1" ht="30" customHeight="1" thickBot="1" x14ac:dyDescent="0.35">
      <c r="A82" s="46"/>
      <c r="B82" s="88" t="s">
        <v>218</v>
      </c>
      <c r="C82" s="87" t="s">
        <v>121</v>
      </c>
      <c r="D82" s="87">
        <v>0</v>
      </c>
      <c r="E82" s="86"/>
      <c r="F82" s="86"/>
      <c r="G82" s="61"/>
      <c r="H82" s="61"/>
      <c r="I82" s="66"/>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row>
    <row r="83" spans="1:65" s="51" customFormat="1" ht="30" customHeight="1" thickBot="1" x14ac:dyDescent="0.35">
      <c r="A83" s="46"/>
      <c r="B83" s="88" t="s">
        <v>217</v>
      </c>
      <c r="C83" s="87" t="s">
        <v>121</v>
      </c>
      <c r="D83" s="87">
        <v>0</v>
      </c>
      <c r="E83" s="86"/>
      <c r="F83" s="86"/>
      <c r="G83" s="61"/>
      <c r="H83" s="61"/>
      <c r="I83" s="66"/>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row>
    <row r="84" spans="1:65" s="51" customFormat="1" ht="30" customHeight="1" thickBot="1" x14ac:dyDescent="0.35">
      <c r="A84" s="46"/>
      <c r="B84" s="88"/>
      <c r="C84" s="87"/>
      <c r="D84" s="87"/>
      <c r="E84" s="86"/>
      <c r="F84" s="86"/>
      <c r="G84" s="61"/>
      <c r="H84" s="61"/>
      <c r="I84" s="66"/>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row>
    <row r="85" spans="1:65" s="51" customFormat="1" ht="30" customHeight="1" thickBot="1" x14ac:dyDescent="0.35">
      <c r="A85" s="46"/>
      <c r="B85" s="88"/>
      <c r="C85" s="87"/>
      <c r="D85" s="87"/>
      <c r="E85" s="86"/>
      <c r="F85" s="86"/>
      <c r="G85" s="61"/>
      <c r="H85" s="61"/>
      <c r="I85" s="66"/>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row>
    <row r="86" spans="1:65" s="51" customFormat="1" ht="30" customHeight="1" thickBot="1" x14ac:dyDescent="0.35">
      <c r="A86" s="46"/>
      <c r="B86" s="88"/>
      <c r="C86" s="87"/>
      <c r="D86" s="87"/>
      <c r="E86" s="86"/>
      <c r="F86" s="86"/>
      <c r="G86" s="61"/>
      <c r="H86" s="61"/>
      <c r="I86" s="66"/>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row>
    <row r="87" spans="1:65" s="51" customFormat="1" ht="30" customHeight="1" thickBot="1" x14ac:dyDescent="0.35">
      <c r="A87" s="46"/>
      <c r="B87" s="88"/>
      <c r="C87" s="87"/>
      <c r="D87" s="87"/>
      <c r="E87" s="86"/>
      <c r="F87" s="86"/>
      <c r="G87" s="61"/>
      <c r="H87" s="61"/>
      <c r="I87" s="66"/>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row>
    <row r="88" spans="1:65" s="51" customFormat="1" ht="30" customHeight="1" thickBot="1" x14ac:dyDescent="0.35">
      <c r="A88" s="46" t="s">
        <v>186</v>
      </c>
      <c r="B88" s="85" t="s">
        <v>216</v>
      </c>
      <c r="C88" s="84"/>
      <c r="D88" s="83"/>
      <c r="E88" s="82"/>
      <c r="F88" s="81"/>
      <c r="G88" s="61"/>
      <c r="H88" s="61" t="str">
        <f t="shared" ref="H88:H114" si="8">IF(OR(ISBLANK(task_start),ISBLANK(task_end)),"",task_end-task_start+1)</f>
        <v/>
      </c>
      <c r="I88" s="66"/>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row>
    <row r="89" spans="1:65" s="51" customFormat="1" ht="30" customHeight="1" thickBot="1" x14ac:dyDescent="0.35">
      <c r="A89" s="46"/>
      <c r="B89" s="80" t="s">
        <v>215</v>
      </c>
      <c r="C89" s="79" t="s">
        <v>121</v>
      </c>
      <c r="D89" s="78">
        <v>0.9</v>
      </c>
      <c r="E89" s="77">
        <v>43746</v>
      </c>
      <c r="F89" s="77">
        <f>E89+5</f>
        <v>43751</v>
      </c>
      <c r="G89" s="61"/>
      <c r="H89" s="61">
        <f t="shared" si="8"/>
        <v>6</v>
      </c>
      <c r="I89" s="66"/>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row>
    <row r="90" spans="1:65" s="51" customFormat="1" ht="30" customHeight="1" thickBot="1" x14ac:dyDescent="0.35">
      <c r="A90" s="46"/>
      <c r="B90" s="80" t="s">
        <v>214</v>
      </c>
      <c r="C90" s="79" t="s">
        <v>181</v>
      </c>
      <c r="D90" s="78">
        <v>0.9</v>
      </c>
      <c r="E90" s="77">
        <f>F89+1</f>
        <v>43752</v>
      </c>
      <c r="F90" s="77">
        <f>E90+2</f>
        <v>43754</v>
      </c>
      <c r="G90" s="61"/>
      <c r="H90" s="61">
        <f t="shared" si="8"/>
        <v>3</v>
      </c>
      <c r="I90" s="66"/>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row>
    <row r="91" spans="1:65" s="51" customFormat="1" ht="30" customHeight="1" thickBot="1" x14ac:dyDescent="0.35">
      <c r="A91" s="46"/>
      <c r="B91" s="80" t="s">
        <v>213</v>
      </c>
      <c r="C91" s="79" t="s">
        <v>121</v>
      </c>
      <c r="D91" s="78">
        <v>0.9</v>
      </c>
      <c r="E91" s="77">
        <f>E90+5</f>
        <v>43757</v>
      </c>
      <c r="F91" s="77">
        <f>E91+2</f>
        <v>43759</v>
      </c>
      <c r="G91" s="61"/>
      <c r="H91" s="61">
        <f t="shared" si="8"/>
        <v>3</v>
      </c>
      <c r="I91" s="66"/>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row>
    <row r="92" spans="1:65" s="51" customFormat="1" ht="30" customHeight="1" thickBot="1" x14ac:dyDescent="0.35">
      <c r="A92" s="46"/>
      <c r="B92" s="80" t="s">
        <v>212</v>
      </c>
      <c r="C92" s="79" t="s">
        <v>121</v>
      </c>
      <c r="D92" s="78">
        <v>0.9</v>
      </c>
      <c r="E92" s="77">
        <f>F91+1</f>
        <v>43760</v>
      </c>
      <c r="F92" s="77">
        <f>E92+4</f>
        <v>43764</v>
      </c>
      <c r="G92" s="61"/>
      <c r="H92" s="61">
        <f t="shared" si="8"/>
        <v>5</v>
      </c>
      <c r="I92" s="66"/>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row>
    <row r="93" spans="1:65" s="51" customFormat="1" ht="30" customHeight="1" thickBot="1" x14ac:dyDescent="0.35">
      <c r="A93" s="46"/>
      <c r="B93" s="80" t="s">
        <v>211</v>
      </c>
      <c r="C93" s="79" t="s">
        <v>121</v>
      </c>
      <c r="D93" s="78">
        <v>1</v>
      </c>
      <c r="E93" s="77">
        <f>F92+1</f>
        <v>43765</v>
      </c>
      <c r="F93" s="77">
        <f>E93+4</f>
        <v>43769</v>
      </c>
      <c r="G93" s="61"/>
      <c r="H93" s="61">
        <f t="shared" si="8"/>
        <v>5</v>
      </c>
      <c r="I93" s="66"/>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row>
    <row r="94" spans="1:65" s="51" customFormat="1" ht="30" customHeight="1" thickBot="1" x14ac:dyDescent="0.35">
      <c r="A94" s="46"/>
      <c r="B94" s="80" t="s">
        <v>210</v>
      </c>
      <c r="C94" s="79" t="s">
        <v>181</v>
      </c>
      <c r="D94" s="78">
        <v>1</v>
      </c>
      <c r="E94" s="77">
        <v>43770</v>
      </c>
      <c r="F94" s="77">
        <f>E94+2</f>
        <v>43772</v>
      </c>
      <c r="G94" s="61"/>
      <c r="H94" s="61">
        <f t="shared" si="8"/>
        <v>3</v>
      </c>
      <c r="I94" s="66"/>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row>
    <row r="95" spans="1:65" s="51" customFormat="1" ht="30" customHeight="1" thickBot="1" x14ac:dyDescent="0.35">
      <c r="A95" s="46"/>
      <c r="B95" s="80" t="s">
        <v>209</v>
      </c>
      <c r="C95" s="79" t="s">
        <v>121</v>
      </c>
      <c r="D95" s="78">
        <v>1</v>
      </c>
      <c r="E95" s="77">
        <v>43770</v>
      </c>
      <c r="F95" s="77">
        <f>E95+2</f>
        <v>43772</v>
      </c>
      <c r="G95" s="61"/>
      <c r="H95" s="61">
        <f t="shared" si="8"/>
        <v>3</v>
      </c>
      <c r="I95" s="66"/>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row>
    <row r="96" spans="1:65" s="51" customFormat="1" ht="30" customHeight="1" thickBot="1" x14ac:dyDescent="0.35">
      <c r="A96" s="46"/>
      <c r="B96" s="80" t="s">
        <v>208</v>
      </c>
      <c r="C96" s="79" t="s">
        <v>121</v>
      </c>
      <c r="D96" s="78">
        <v>0.5</v>
      </c>
      <c r="E96" s="77">
        <v>43770</v>
      </c>
      <c r="F96" s="77">
        <f>E96+2</f>
        <v>43772</v>
      </c>
      <c r="G96" s="61"/>
      <c r="H96" s="61">
        <f t="shared" si="8"/>
        <v>3</v>
      </c>
      <c r="I96" s="66" t="s">
        <v>207</v>
      </c>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row>
    <row r="97" spans="1:65" s="51" customFormat="1" ht="30" customHeight="1" thickBot="1" x14ac:dyDescent="0.35">
      <c r="A97" s="46"/>
      <c r="B97" s="80" t="s">
        <v>206</v>
      </c>
      <c r="C97" s="79" t="s">
        <v>181</v>
      </c>
      <c r="D97" s="78">
        <v>0.5</v>
      </c>
      <c r="E97" s="77">
        <v>43770</v>
      </c>
      <c r="F97" s="77">
        <f>E97+2</f>
        <v>43772</v>
      </c>
      <c r="G97" s="61"/>
      <c r="H97" s="61">
        <f t="shared" si="8"/>
        <v>3</v>
      </c>
      <c r="I97" s="66" t="s">
        <v>205</v>
      </c>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row>
    <row r="98" spans="1:65" s="51" customFormat="1" ht="30" customHeight="1" thickBot="1" x14ac:dyDescent="0.35">
      <c r="A98" s="46"/>
      <c r="B98" s="80" t="s">
        <v>204</v>
      </c>
      <c r="C98" s="79" t="s">
        <v>121</v>
      </c>
      <c r="D98" s="78">
        <v>0.9</v>
      </c>
      <c r="E98" s="77">
        <v>43773</v>
      </c>
      <c r="F98" s="77">
        <f>E98+1</f>
        <v>43774</v>
      </c>
      <c r="G98" s="61"/>
      <c r="H98" s="61">
        <f t="shared" si="8"/>
        <v>2</v>
      </c>
      <c r="I98" s="66"/>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row>
    <row r="99" spans="1:65" s="51" customFormat="1" ht="30" customHeight="1" thickBot="1" x14ac:dyDescent="0.35">
      <c r="A99" s="46"/>
      <c r="B99" s="80" t="s">
        <v>203</v>
      </c>
      <c r="C99" s="79" t="s">
        <v>121</v>
      </c>
      <c r="D99" s="78">
        <v>0.9</v>
      </c>
      <c r="E99" s="77">
        <v>43775</v>
      </c>
      <c r="F99" s="77">
        <f>E99+2</f>
        <v>43777</v>
      </c>
      <c r="G99" s="61"/>
      <c r="H99" s="61">
        <f t="shared" si="8"/>
        <v>3</v>
      </c>
      <c r="I99" s="66"/>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row>
    <row r="100" spans="1:65" s="51" customFormat="1" ht="30" customHeight="1" thickBot="1" x14ac:dyDescent="0.35">
      <c r="A100" s="46"/>
      <c r="B100" s="80" t="s">
        <v>202</v>
      </c>
      <c r="C100" s="79" t="s">
        <v>121</v>
      </c>
      <c r="D100" s="78">
        <v>0.9</v>
      </c>
      <c r="E100" s="77">
        <v>43773</v>
      </c>
      <c r="F100" s="77">
        <f>E100+7</f>
        <v>43780</v>
      </c>
      <c r="G100" s="61"/>
      <c r="H100" s="61">
        <f t="shared" si="8"/>
        <v>8</v>
      </c>
      <c r="I100" s="66" t="s">
        <v>340</v>
      </c>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row>
    <row r="101" spans="1:65" s="51" customFormat="1" ht="30" customHeight="1" thickBot="1" x14ac:dyDescent="0.35">
      <c r="A101" s="46"/>
      <c r="B101" s="80" t="s">
        <v>201</v>
      </c>
      <c r="C101" s="79" t="s">
        <v>200</v>
      </c>
      <c r="D101" s="78">
        <v>0.8</v>
      </c>
      <c r="E101" s="77">
        <v>43885</v>
      </c>
      <c r="F101" s="77">
        <f>E101+14</f>
        <v>43899</v>
      </c>
      <c r="G101" s="61"/>
      <c r="H101" s="61">
        <f t="shared" si="8"/>
        <v>15</v>
      </c>
      <c r="I101" s="66" t="s">
        <v>339</v>
      </c>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row>
    <row r="102" spans="1:65" s="51" customFormat="1" ht="30" customHeight="1" thickBot="1" x14ac:dyDescent="0.35">
      <c r="A102" s="46"/>
      <c r="B102" s="80" t="s">
        <v>199</v>
      </c>
      <c r="C102" s="79" t="s">
        <v>121</v>
      </c>
      <c r="D102" s="78">
        <v>0.8</v>
      </c>
      <c r="E102" s="77">
        <v>43781</v>
      </c>
      <c r="F102" s="77">
        <f>E102+7</f>
        <v>43788</v>
      </c>
      <c r="G102" s="61"/>
      <c r="H102" s="61">
        <f t="shared" si="8"/>
        <v>8</v>
      </c>
      <c r="I102" s="66" t="s">
        <v>341</v>
      </c>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row>
    <row r="103" spans="1:65" s="51" customFormat="1" ht="30" customHeight="1" thickBot="1" x14ac:dyDescent="0.35">
      <c r="A103" s="46"/>
      <c r="B103" s="80" t="s">
        <v>198</v>
      </c>
      <c r="C103" s="79" t="s">
        <v>121</v>
      </c>
      <c r="D103" s="78">
        <v>0.7</v>
      </c>
      <c r="E103" s="77">
        <v>43789</v>
      </c>
      <c r="F103" s="77">
        <f>E103+3</f>
        <v>43792</v>
      </c>
      <c r="G103" s="61"/>
      <c r="H103" s="61">
        <f t="shared" si="8"/>
        <v>4</v>
      </c>
      <c r="I103" s="66" t="s">
        <v>341</v>
      </c>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row>
    <row r="104" spans="1:65" s="51" customFormat="1" ht="30" customHeight="1" thickBot="1" x14ac:dyDescent="0.35">
      <c r="A104" s="46"/>
      <c r="B104" s="80" t="s">
        <v>197</v>
      </c>
      <c r="C104" s="79" t="s">
        <v>121</v>
      </c>
      <c r="D104" s="78">
        <v>0.8</v>
      </c>
      <c r="E104" s="77">
        <v>43793</v>
      </c>
      <c r="F104" s="77">
        <f>E104+2</f>
        <v>43795</v>
      </c>
      <c r="G104" s="61"/>
      <c r="H104" s="61">
        <f t="shared" si="8"/>
        <v>3</v>
      </c>
      <c r="I104" s="66"/>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row>
    <row r="105" spans="1:65" s="51" customFormat="1" ht="30" customHeight="1" thickBot="1" x14ac:dyDescent="0.35">
      <c r="A105" s="46"/>
      <c r="B105" s="80" t="s">
        <v>196</v>
      </c>
      <c r="C105" s="79" t="s">
        <v>121</v>
      </c>
      <c r="D105" s="78">
        <v>0.1</v>
      </c>
      <c r="E105" s="77">
        <v>43796</v>
      </c>
      <c r="F105" s="77">
        <f>E105+5</f>
        <v>43801</v>
      </c>
      <c r="G105" s="61"/>
      <c r="H105" s="61">
        <f t="shared" si="8"/>
        <v>6</v>
      </c>
      <c r="I105" s="66" t="s">
        <v>342</v>
      </c>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row>
    <row r="106" spans="1:65" s="51" customFormat="1" ht="30" customHeight="1" thickBot="1" x14ac:dyDescent="0.35">
      <c r="A106" s="46"/>
      <c r="B106" s="80" t="s">
        <v>195</v>
      </c>
      <c r="C106" s="79" t="s">
        <v>121</v>
      </c>
      <c r="D106" s="78">
        <v>0</v>
      </c>
      <c r="E106" s="77"/>
      <c r="F106" s="77">
        <f t="shared" ref="F106:F114" si="9">E106+7</f>
        <v>7</v>
      </c>
      <c r="G106" s="61"/>
      <c r="H106" s="61" t="str">
        <f t="shared" si="8"/>
        <v/>
      </c>
      <c r="I106" s="66"/>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row>
    <row r="107" spans="1:65" s="51" customFormat="1" ht="30" customHeight="1" thickBot="1" x14ac:dyDescent="0.35">
      <c r="A107" s="46"/>
      <c r="B107" s="80" t="s">
        <v>194</v>
      </c>
      <c r="C107" s="79" t="s">
        <v>121</v>
      </c>
      <c r="D107" s="78">
        <v>0.7</v>
      </c>
      <c r="E107" s="77">
        <v>43802</v>
      </c>
      <c r="F107" s="77">
        <f>E107+5</f>
        <v>43807</v>
      </c>
      <c r="G107" s="61"/>
      <c r="H107" s="61">
        <f t="shared" si="8"/>
        <v>6</v>
      </c>
      <c r="I107" s="66"/>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row>
    <row r="108" spans="1:65" s="51" customFormat="1" ht="30" customHeight="1" thickBot="1" x14ac:dyDescent="0.35">
      <c r="A108" s="46"/>
      <c r="B108" s="80" t="s">
        <v>193</v>
      </c>
      <c r="C108" s="79" t="s">
        <v>121</v>
      </c>
      <c r="D108" s="78">
        <v>0.3</v>
      </c>
      <c r="E108" s="77">
        <v>43807</v>
      </c>
      <c r="F108" s="77">
        <f>E108+3</f>
        <v>43810</v>
      </c>
      <c r="G108" s="61"/>
      <c r="H108" s="61">
        <f t="shared" si="8"/>
        <v>4</v>
      </c>
      <c r="I108" s="66" t="s">
        <v>345</v>
      </c>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row>
    <row r="109" spans="1:65" s="51" customFormat="1" ht="30" customHeight="1" thickBot="1" x14ac:dyDescent="0.35">
      <c r="A109" s="46"/>
      <c r="B109" s="80" t="s">
        <v>192</v>
      </c>
      <c r="C109" s="79" t="s">
        <v>121</v>
      </c>
      <c r="D109" s="78">
        <v>0</v>
      </c>
      <c r="E109" s="77"/>
      <c r="F109" s="77">
        <f t="shared" si="9"/>
        <v>7</v>
      </c>
      <c r="G109" s="61"/>
      <c r="H109" s="61" t="str">
        <f t="shared" si="8"/>
        <v/>
      </c>
      <c r="I109" s="66" t="s">
        <v>344</v>
      </c>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row>
    <row r="110" spans="1:65" s="51" customFormat="1" ht="30" customHeight="1" thickBot="1" x14ac:dyDescent="0.35">
      <c r="A110" s="46"/>
      <c r="B110" s="80" t="s">
        <v>191</v>
      </c>
      <c r="C110" s="79" t="s">
        <v>181</v>
      </c>
      <c r="D110" s="78">
        <v>0</v>
      </c>
      <c r="E110" s="77"/>
      <c r="F110" s="77">
        <f t="shared" si="9"/>
        <v>7</v>
      </c>
      <c r="G110" s="61"/>
      <c r="H110" s="61" t="str">
        <f t="shared" si="8"/>
        <v/>
      </c>
      <c r="I110" s="66" t="s">
        <v>344</v>
      </c>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row>
    <row r="111" spans="1:65" s="51" customFormat="1" ht="30" customHeight="1" thickBot="1" x14ac:dyDescent="0.35">
      <c r="A111" s="46"/>
      <c r="B111" s="80" t="s">
        <v>190</v>
      </c>
      <c r="C111" s="79" t="s">
        <v>121</v>
      </c>
      <c r="D111" s="78">
        <v>0.1</v>
      </c>
      <c r="E111" s="77"/>
      <c r="F111" s="77">
        <f t="shared" si="9"/>
        <v>7</v>
      </c>
      <c r="G111" s="61"/>
      <c r="H111" s="61" t="str">
        <f t="shared" si="8"/>
        <v/>
      </c>
      <c r="I111" s="66" t="s">
        <v>343</v>
      </c>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row>
    <row r="112" spans="1:65" s="51" customFormat="1" ht="30" customHeight="1" thickBot="1" x14ac:dyDescent="0.35">
      <c r="A112" s="46"/>
      <c r="B112" s="80" t="s">
        <v>189</v>
      </c>
      <c r="C112" s="79" t="s">
        <v>181</v>
      </c>
      <c r="D112" s="78">
        <v>0.1</v>
      </c>
      <c r="E112" s="77"/>
      <c r="F112" s="77">
        <f t="shared" si="9"/>
        <v>7</v>
      </c>
      <c r="G112" s="61"/>
      <c r="H112" s="61" t="str">
        <f t="shared" si="8"/>
        <v/>
      </c>
      <c r="I112" s="66" t="s">
        <v>343</v>
      </c>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row>
    <row r="113" spans="1:65" s="51" customFormat="1" ht="30" customHeight="1" thickBot="1" x14ac:dyDescent="0.35">
      <c r="A113" s="46"/>
      <c r="B113" s="80" t="s">
        <v>188</v>
      </c>
      <c r="C113" s="79" t="s">
        <v>181</v>
      </c>
      <c r="D113" s="78">
        <v>0.1</v>
      </c>
      <c r="E113" s="77"/>
      <c r="F113" s="77">
        <f t="shared" si="9"/>
        <v>7</v>
      </c>
      <c r="G113" s="61"/>
      <c r="H113" s="61" t="str">
        <f t="shared" si="8"/>
        <v/>
      </c>
      <c r="I113" s="66" t="s">
        <v>343</v>
      </c>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row>
    <row r="114" spans="1:65" s="51" customFormat="1" ht="30" customHeight="1" thickBot="1" x14ac:dyDescent="0.35">
      <c r="A114" s="46"/>
      <c r="B114" s="80" t="s">
        <v>187</v>
      </c>
      <c r="C114" s="79" t="s">
        <v>121</v>
      </c>
      <c r="D114" s="78">
        <v>0.1</v>
      </c>
      <c r="E114" s="77"/>
      <c r="F114" s="77">
        <f t="shared" si="9"/>
        <v>7</v>
      </c>
      <c r="G114" s="61"/>
      <c r="H114" s="61" t="str">
        <f t="shared" si="8"/>
        <v/>
      </c>
      <c r="I114" s="66" t="s">
        <v>343</v>
      </c>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row>
    <row r="115" spans="1:65" s="51" customFormat="1" ht="30" customHeight="1" thickBot="1" x14ac:dyDescent="0.35">
      <c r="A115" s="46"/>
      <c r="B115" s="80"/>
      <c r="C115" s="79"/>
      <c r="D115" s="78"/>
      <c r="E115" s="77"/>
      <c r="F115" s="77"/>
      <c r="G115" s="61"/>
      <c r="H115" s="61"/>
      <c r="I115" s="66"/>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row>
    <row r="116" spans="1:65" s="51" customFormat="1" ht="30" customHeight="1" thickBot="1" x14ac:dyDescent="0.35">
      <c r="A116" s="46" t="s">
        <v>186</v>
      </c>
      <c r="B116" s="76" t="s">
        <v>185</v>
      </c>
      <c r="C116" s="75"/>
      <c r="D116" s="74"/>
      <c r="E116" s="73"/>
      <c r="F116" s="72"/>
      <c r="G116" s="61"/>
      <c r="H116" s="61" t="str">
        <f t="shared" ref="H116:H147" si="10">IF(OR(ISBLANK(task_start),ISBLANK(task_end)),"",task_end-task_start+1)</f>
        <v/>
      </c>
      <c r="I116" s="66"/>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row>
    <row r="117" spans="1:65" s="51" customFormat="1" ht="30" customHeight="1" thickBot="1" x14ac:dyDescent="0.35">
      <c r="A117" s="46"/>
      <c r="B117" s="70" t="s">
        <v>184</v>
      </c>
      <c r="C117" s="69" t="s">
        <v>121</v>
      </c>
      <c r="D117" s="68">
        <v>0.7</v>
      </c>
      <c r="E117" s="71">
        <v>43811</v>
      </c>
      <c r="F117" s="122">
        <f>E117+5</f>
        <v>43816</v>
      </c>
      <c r="G117" s="61"/>
      <c r="H117" s="61">
        <f t="shared" si="10"/>
        <v>6</v>
      </c>
      <c r="I117" s="66" t="s">
        <v>346</v>
      </c>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row>
    <row r="118" spans="1:65" s="51" customFormat="1" ht="30" customHeight="1" thickBot="1" x14ac:dyDescent="0.35">
      <c r="A118" s="46"/>
      <c r="B118" s="70" t="s">
        <v>183</v>
      </c>
      <c r="C118" s="69" t="s">
        <v>121</v>
      </c>
      <c r="D118" s="68">
        <v>0.5</v>
      </c>
      <c r="E118" s="67">
        <v>43817</v>
      </c>
      <c r="F118" s="122">
        <f>E118+14</f>
        <v>43831</v>
      </c>
      <c r="G118" s="61"/>
      <c r="H118" s="61">
        <f t="shared" si="10"/>
        <v>15</v>
      </c>
      <c r="I118" s="66" t="s">
        <v>347</v>
      </c>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row>
    <row r="119" spans="1:65" s="51" customFormat="1" ht="30" customHeight="1" thickBot="1" x14ac:dyDescent="0.35">
      <c r="A119" s="46"/>
      <c r="B119" s="70" t="s">
        <v>182</v>
      </c>
      <c r="C119" s="69" t="s">
        <v>181</v>
      </c>
      <c r="D119" s="68">
        <v>0.5</v>
      </c>
      <c r="E119" s="67">
        <v>43833</v>
      </c>
      <c r="F119" s="122">
        <f>E119+14</f>
        <v>43847</v>
      </c>
      <c r="G119" s="61"/>
      <c r="H119" s="61">
        <f t="shared" si="10"/>
        <v>15</v>
      </c>
      <c r="I119" s="66" t="s">
        <v>348</v>
      </c>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row>
    <row r="120" spans="1:65" s="51" customFormat="1" ht="30" customHeight="1" thickBot="1" x14ac:dyDescent="0.35">
      <c r="A120" s="46"/>
      <c r="B120" s="70" t="s">
        <v>180</v>
      </c>
      <c r="C120" s="69" t="s">
        <v>121</v>
      </c>
      <c r="D120" s="68">
        <v>0.7</v>
      </c>
      <c r="E120" s="67">
        <v>43833</v>
      </c>
      <c r="F120" s="122">
        <f>E120+3</f>
        <v>43836</v>
      </c>
      <c r="G120" s="61"/>
      <c r="H120" s="61">
        <f t="shared" si="10"/>
        <v>4</v>
      </c>
      <c r="I120" s="66"/>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row>
    <row r="121" spans="1:65" s="51" customFormat="1" ht="30" customHeight="1" thickBot="1" x14ac:dyDescent="0.35">
      <c r="A121" s="46"/>
      <c r="B121" s="70" t="s">
        <v>179</v>
      </c>
      <c r="C121" s="69" t="s">
        <v>121</v>
      </c>
      <c r="D121" s="68">
        <v>0.7</v>
      </c>
      <c r="E121" s="67">
        <v>43837</v>
      </c>
      <c r="F121" s="122">
        <f t="shared" ref="F121:F128" si="11">E121+5</f>
        <v>43842</v>
      </c>
      <c r="G121" s="61"/>
      <c r="H121" s="61">
        <f t="shared" si="10"/>
        <v>6</v>
      </c>
      <c r="I121" s="66" t="s">
        <v>349</v>
      </c>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row>
    <row r="122" spans="1:65" s="51" customFormat="1" ht="30" customHeight="1" thickBot="1" x14ac:dyDescent="0.35">
      <c r="A122" s="46"/>
      <c r="B122" s="70" t="s">
        <v>178</v>
      </c>
      <c r="C122" s="69" t="s">
        <v>121</v>
      </c>
      <c r="D122" s="68">
        <v>0.8</v>
      </c>
      <c r="E122" s="67">
        <v>43844</v>
      </c>
      <c r="F122" s="122">
        <f t="shared" si="11"/>
        <v>43849</v>
      </c>
      <c r="G122" s="61"/>
      <c r="H122" s="61">
        <f t="shared" si="10"/>
        <v>6</v>
      </c>
      <c r="I122" s="66"/>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row>
    <row r="123" spans="1:65" s="51" customFormat="1" ht="30" customHeight="1" thickBot="1" x14ac:dyDescent="0.35">
      <c r="A123" s="46"/>
      <c r="B123" s="70" t="s">
        <v>177</v>
      </c>
      <c r="C123" s="69" t="s">
        <v>121</v>
      </c>
      <c r="D123" s="68">
        <v>0.7</v>
      </c>
      <c r="E123" s="67">
        <v>43845</v>
      </c>
      <c r="F123" s="122">
        <f t="shared" si="11"/>
        <v>43850</v>
      </c>
      <c r="G123" s="61"/>
      <c r="H123" s="61">
        <f t="shared" si="10"/>
        <v>6</v>
      </c>
      <c r="I123" s="66"/>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row>
    <row r="124" spans="1:65" s="51" customFormat="1" ht="30" customHeight="1" thickBot="1" x14ac:dyDescent="0.35">
      <c r="A124" s="46"/>
      <c r="B124" s="70" t="s">
        <v>176</v>
      </c>
      <c r="C124" s="69" t="s">
        <v>121</v>
      </c>
      <c r="D124" s="68">
        <v>0.8</v>
      </c>
      <c r="E124" s="67">
        <v>43850</v>
      </c>
      <c r="F124" s="122">
        <f>E124+3</f>
        <v>43853</v>
      </c>
      <c r="G124" s="61"/>
      <c r="H124" s="61">
        <f t="shared" si="10"/>
        <v>4</v>
      </c>
      <c r="I124" s="66"/>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row>
    <row r="125" spans="1:65" s="51" customFormat="1" ht="30" customHeight="1" thickBot="1" x14ac:dyDescent="0.35">
      <c r="A125" s="46"/>
      <c r="B125" s="70" t="s">
        <v>175</v>
      </c>
      <c r="C125" s="69" t="s">
        <v>121</v>
      </c>
      <c r="D125" s="68">
        <v>0.7</v>
      </c>
      <c r="E125" s="67">
        <v>43854</v>
      </c>
      <c r="F125" s="122">
        <f>E125+5</f>
        <v>43859</v>
      </c>
      <c r="G125" s="61"/>
      <c r="H125" s="61">
        <f t="shared" si="10"/>
        <v>6</v>
      </c>
      <c r="I125" s="66" t="s">
        <v>350</v>
      </c>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60"/>
      <c r="BI125" s="60"/>
      <c r="BJ125" s="60"/>
      <c r="BK125" s="60"/>
      <c r="BL125" s="60"/>
      <c r="BM125" s="60"/>
    </row>
    <row r="126" spans="1:65" s="51" customFormat="1" ht="30" customHeight="1" thickBot="1" x14ac:dyDescent="0.35">
      <c r="A126" s="46"/>
      <c r="B126" s="70" t="s">
        <v>174</v>
      </c>
      <c r="C126" s="69" t="s">
        <v>121</v>
      </c>
      <c r="D126" s="68">
        <v>0.9</v>
      </c>
      <c r="E126" s="67">
        <v>43860</v>
      </c>
      <c r="F126" s="122">
        <f>E126+3</f>
        <v>43863</v>
      </c>
      <c r="G126" s="61"/>
      <c r="H126" s="61">
        <f t="shared" si="10"/>
        <v>4</v>
      </c>
      <c r="I126" s="66"/>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60"/>
      <c r="BI126" s="60"/>
      <c r="BJ126" s="60"/>
      <c r="BK126" s="60"/>
      <c r="BL126" s="60"/>
      <c r="BM126" s="60"/>
    </row>
    <row r="127" spans="1:65" s="51" customFormat="1" ht="30" customHeight="1" thickBot="1" x14ac:dyDescent="0.35">
      <c r="A127" s="46"/>
      <c r="B127" s="70" t="s">
        <v>173</v>
      </c>
      <c r="C127" s="69" t="s">
        <v>121</v>
      </c>
      <c r="D127" s="68">
        <v>0.5</v>
      </c>
      <c r="E127" s="67">
        <v>43862</v>
      </c>
      <c r="F127" s="122">
        <f>E127+2</f>
        <v>43864</v>
      </c>
      <c r="G127" s="61"/>
      <c r="H127" s="61">
        <f t="shared" si="10"/>
        <v>3</v>
      </c>
      <c r="I127" s="66" t="s">
        <v>351</v>
      </c>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row>
    <row r="128" spans="1:65" s="51" customFormat="1" ht="30" customHeight="1" thickBot="1" x14ac:dyDescent="0.35">
      <c r="A128" s="46"/>
      <c r="B128" s="70" t="s">
        <v>172</v>
      </c>
      <c r="C128" s="69" t="s">
        <v>121</v>
      </c>
      <c r="D128" s="68">
        <v>0.5</v>
      </c>
      <c r="E128" s="67">
        <v>43864</v>
      </c>
      <c r="F128" s="122">
        <f t="shared" si="11"/>
        <v>43869</v>
      </c>
      <c r="G128" s="61"/>
      <c r="H128" s="61">
        <f t="shared" si="10"/>
        <v>6</v>
      </c>
      <c r="I128" s="66"/>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60"/>
      <c r="BI128" s="60"/>
      <c r="BJ128" s="60"/>
      <c r="BK128" s="60"/>
      <c r="BL128" s="60"/>
      <c r="BM128" s="60"/>
    </row>
    <row r="129" spans="1:65" s="51" customFormat="1" ht="30" customHeight="1" thickBot="1" x14ac:dyDescent="0.35">
      <c r="A129" s="46"/>
      <c r="B129" s="70" t="s">
        <v>171</v>
      </c>
      <c r="C129" s="69" t="s">
        <v>121</v>
      </c>
      <c r="D129" s="68">
        <v>0</v>
      </c>
      <c r="E129" s="67"/>
      <c r="F129" s="122"/>
      <c r="G129" s="61"/>
      <c r="H129" s="61" t="str">
        <f t="shared" si="10"/>
        <v/>
      </c>
      <c r="I129" s="66"/>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60"/>
      <c r="BI129" s="60"/>
      <c r="BJ129" s="60"/>
      <c r="BK129" s="60"/>
      <c r="BL129" s="60"/>
      <c r="BM129" s="60"/>
    </row>
    <row r="130" spans="1:65" s="51" customFormat="1" ht="30" customHeight="1" thickBot="1" x14ac:dyDescent="0.35">
      <c r="A130" s="46"/>
      <c r="B130" s="70" t="s">
        <v>170</v>
      </c>
      <c r="C130" s="69" t="s">
        <v>121</v>
      </c>
      <c r="D130" s="68">
        <v>0</v>
      </c>
      <c r="E130" s="67"/>
      <c r="F130" s="122"/>
      <c r="G130" s="61"/>
      <c r="H130" s="61" t="str">
        <f t="shared" si="10"/>
        <v/>
      </c>
      <c r="I130" s="66"/>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60"/>
      <c r="BI130" s="60"/>
      <c r="BJ130" s="60"/>
      <c r="BK130" s="60"/>
      <c r="BL130" s="60"/>
      <c r="BM130" s="60"/>
    </row>
    <row r="131" spans="1:65" s="51" customFormat="1" ht="30" customHeight="1" thickBot="1" x14ac:dyDescent="0.35">
      <c r="A131" s="46"/>
      <c r="B131" s="70" t="s">
        <v>169</v>
      </c>
      <c r="C131" s="69" t="s">
        <v>121</v>
      </c>
      <c r="D131" s="68">
        <v>0</v>
      </c>
      <c r="E131" s="67"/>
      <c r="F131" s="122"/>
      <c r="G131" s="61"/>
      <c r="H131" s="61" t="str">
        <f t="shared" si="10"/>
        <v/>
      </c>
      <c r="I131" s="66"/>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60"/>
      <c r="BI131" s="60"/>
      <c r="BJ131" s="60"/>
      <c r="BK131" s="60"/>
      <c r="BL131" s="60"/>
      <c r="BM131" s="60"/>
    </row>
    <row r="132" spans="1:65" s="51" customFormat="1" ht="30" customHeight="1" thickBot="1" x14ac:dyDescent="0.35">
      <c r="A132" s="46"/>
      <c r="B132" s="70" t="s">
        <v>168</v>
      </c>
      <c r="C132" s="69" t="s">
        <v>121</v>
      </c>
      <c r="D132" s="68">
        <v>0</v>
      </c>
      <c r="E132" s="67"/>
      <c r="F132" s="122"/>
      <c r="G132" s="61"/>
      <c r="H132" s="61" t="str">
        <f t="shared" si="10"/>
        <v/>
      </c>
      <c r="I132" s="66"/>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60"/>
      <c r="BI132" s="60"/>
      <c r="BJ132" s="60"/>
      <c r="BK132" s="60"/>
      <c r="BL132" s="60"/>
      <c r="BM132" s="60"/>
    </row>
    <row r="133" spans="1:65" s="51" customFormat="1" ht="30" customHeight="1" thickBot="1" x14ac:dyDescent="0.35">
      <c r="A133" s="46"/>
      <c r="B133" s="70" t="s">
        <v>167</v>
      </c>
      <c r="C133" s="69" t="s">
        <v>121</v>
      </c>
      <c r="D133" s="68">
        <v>0</v>
      </c>
      <c r="E133" s="67"/>
      <c r="F133" s="122"/>
      <c r="G133" s="61"/>
      <c r="H133" s="61" t="str">
        <f t="shared" si="10"/>
        <v/>
      </c>
      <c r="I133" s="66"/>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60"/>
      <c r="BI133" s="60"/>
      <c r="BJ133" s="60"/>
      <c r="BK133" s="60"/>
      <c r="BL133" s="60"/>
      <c r="BM133" s="60"/>
    </row>
    <row r="134" spans="1:65" s="51" customFormat="1" ht="30" customHeight="1" thickBot="1" x14ac:dyDescent="0.35">
      <c r="A134" s="46"/>
      <c r="B134" s="70" t="s">
        <v>166</v>
      </c>
      <c r="C134" s="69" t="s">
        <v>121</v>
      </c>
      <c r="D134" s="68">
        <v>0</v>
      </c>
      <c r="E134" s="67"/>
      <c r="F134" s="67"/>
      <c r="G134" s="61"/>
      <c r="H134" s="61" t="str">
        <f t="shared" si="10"/>
        <v/>
      </c>
      <c r="I134" s="66"/>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60"/>
      <c r="BI134" s="60"/>
      <c r="BJ134" s="60"/>
      <c r="BK134" s="60"/>
      <c r="BL134" s="60"/>
      <c r="BM134" s="60"/>
    </row>
    <row r="135" spans="1:65" s="51" customFormat="1" ht="30" customHeight="1" thickBot="1" x14ac:dyDescent="0.35">
      <c r="A135" s="46"/>
      <c r="B135" s="70" t="s">
        <v>165</v>
      </c>
      <c r="C135" s="69" t="s">
        <v>121</v>
      </c>
      <c r="D135" s="68">
        <v>0</v>
      </c>
      <c r="E135" s="67"/>
      <c r="F135" s="67"/>
      <c r="G135" s="61"/>
      <c r="H135" s="61" t="str">
        <f t="shared" si="10"/>
        <v/>
      </c>
      <c r="I135" s="66"/>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60"/>
      <c r="BI135" s="60"/>
      <c r="BJ135" s="60"/>
      <c r="BK135" s="60"/>
      <c r="BL135" s="60"/>
      <c r="BM135" s="60"/>
    </row>
    <row r="136" spans="1:65" s="51" customFormat="1" ht="30" customHeight="1" thickBot="1" x14ac:dyDescent="0.35">
      <c r="A136" s="46"/>
      <c r="B136" s="70" t="s">
        <v>164</v>
      </c>
      <c r="C136" s="69" t="s">
        <v>121</v>
      </c>
      <c r="D136" s="68">
        <v>0</v>
      </c>
      <c r="E136" s="67"/>
      <c r="F136" s="67"/>
      <c r="G136" s="61"/>
      <c r="H136" s="61" t="str">
        <f t="shared" si="10"/>
        <v/>
      </c>
      <c r="I136" s="66"/>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60"/>
      <c r="BI136" s="60"/>
      <c r="BJ136" s="60"/>
      <c r="BK136" s="60"/>
      <c r="BL136" s="60"/>
      <c r="BM136" s="60"/>
    </row>
    <row r="137" spans="1:65" s="51" customFormat="1" ht="30" customHeight="1" thickBot="1" x14ac:dyDescent="0.35">
      <c r="A137" s="46"/>
      <c r="B137" s="70" t="s">
        <v>163</v>
      </c>
      <c r="C137" s="69" t="s">
        <v>121</v>
      </c>
      <c r="D137" s="68">
        <v>0</v>
      </c>
      <c r="E137" s="67"/>
      <c r="F137" s="67"/>
      <c r="G137" s="61"/>
      <c r="H137" s="61" t="str">
        <f t="shared" si="10"/>
        <v/>
      </c>
      <c r="I137" s="66"/>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60"/>
      <c r="BI137" s="60"/>
      <c r="BJ137" s="60"/>
      <c r="BK137" s="60"/>
      <c r="BL137" s="60"/>
      <c r="BM137" s="60"/>
    </row>
    <row r="138" spans="1:65" s="51" customFormat="1" ht="30" customHeight="1" thickBot="1" x14ac:dyDescent="0.35">
      <c r="A138" s="46"/>
      <c r="B138" s="70" t="s">
        <v>162</v>
      </c>
      <c r="C138" s="69" t="s">
        <v>121</v>
      </c>
      <c r="D138" s="68">
        <v>0</v>
      </c>
      <c r="E138" s="67"/>
      <c r="F138" s="67"/>
      <c r="G138" s="61"/>
      <c r="H138" s="61" t="str">
        <f t="shared" si="10"/>
        <v/>
      </c>
      <c r="I138" s="66"/>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60"/>
      <c r="BI138" s="60"/>
      <c r="BJ138" s="60"/>
      <c r="BK138" s="60"/>
      <c r="BL138" s="60"/>
      <c r="BM138" s="60"/>
    </row>
    <row r="139" spans="1:65" s="51" customFormat="1" ht="30" customHeight="1" thickBot="1" x14ac:dyDescent="0.35">
      <c r="A139" s="46"/>
      <c r="B139" s="70" t="s">
        <v>161</v>
      </c>
      <c r="C139" s="69" t="s">
        <v>121</v>
      </c>
      <c r="D139" s="68">
        <v>0</v>
      </c>
      <c r="E139" s="67"/>
      <c r="F139" s="67"/>
      <c r="G139" s="61"/>
      <c r="H139" s="61" t="str">
        <f t="shared" si="10"/>
        <v/>
      </c>
      <c r="I139" s="66"/>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row>
    <row r="140" spans="1:65" s="51" customFormat="1" ht="30" customHeight="1" thickBot="1" x14ac:dyDescent="0.35">
      <c r="A140" s="46"/>
      <c r="B140" s="70" t="s">
        <v>160</v>
      </c>
      <c r="C140" s="69" t="s">
        <v>121</v>
      </c>
      <c r="D140" s="68">
        <v>0</v>
      </c>
      <c r="E140" s="67"/>
      <c r="F140" s="67"/>
      <c r="G140" s="61"/>
      <c r="H140" s="61" t="str">
        <f t="shared" si="10"/>
        <v/>
      </c>
      <c r="I140" s="66"/>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60"/>
      <c r="BI140" s="60"/>
      <c r="BJ140" s="60"/>
      <c r="BK140" s="60"/>
      <c r="BL140" s="60"/>
      <c r="BM140" s="60"/>
    </row>
    <row r="141" spans="1:65" s="51" customFormat="1" ht="30" customHeight="1" thickBot="1" x14ac:dyDescent="0.35">
      <c r="A141" s="46"/>
      <c r="B141" s="70" t="s">
        <v>159</v>
      </c>
      <c r="C141" s="69" t="s">
        <v>121</v>
      </c>
      <c r="D141" s="68">
        <v>0</v>
      </c>
      <c r="E141" s="67"/>
      <c r="F141" s="67"/>
      <c r="G141" s="61"/>
      <c r="H141" s="61" t="str">
        <f t="shared" si="10"/>
        <v/>
      </c>
      <c r="I141" s="66"/>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60"/>
      <c r="BI141" s="60"/>
      <c r="BJ141" s="60"/>
      <c r="BK141" s="60"/>
      <c r="BL141" s="60"/>
      <c r="BM141" s="60"/>
    </row>
    <row r="142" spans="1:65" s="51" customFormat="1" ht="30" customHeight="1" thickBot="1" x14ac:dyDescent="0.35">
      <c r="A142" s="46"/>
      <c r="B142" s="70" t="s">
        <v>158</v>
      </c>
      <c r="C142" s="69" t="s">
        <v>121</v>
      </c>
      <c r="D142" s="68">
        <v>0</v>
      </c>
      <c r="E142" s="67"/>
      <c r="F142" s="67"/>
      <c r="G142" s="61"/>
      <c r="H142" s="61" t="str">
        <f t="shared" si="10"/>
        <v/>
      </c>
      <c r="I142" s="66"/>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60"/>
      <c r="BI142" s="60"/>
      <c r="BJ142" s="60"/>
      <c r="BK142" s="60"/>
      <c r="BL142" s="60"/>
      <c r="BM142" s="60"/>
    </row>
    <row r="143" spans="1:65" s="51" customFormat="1" ht="30" customHeight="1" thickBot="1" x14ac:dyDescent="0.35">
      <c r="A143" s="46"/>
      <c r="B143" s="70" t="s">
        <v>157</v>
      </c>
      <c r="C143" s="69" t="s">
        <v>121</v>
      </c>
      <c r="D143" s="68">
        <v>0</v>
      </c>
      <c r="E143" s="67"/>
      <c r="F143" s="67"/>
      <c r="G143" s="61"/>
      <c r="H143" s="61" t="str">
        <f t="shared" si="10"/>
        <v/>
      </c>
      <c r="I143" s="66"/>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60"/>
      <c r="BI143" s="60"/>
      <c r="BJ143" s="60"/>
      <c r="BK143" s="60"/>
      <c r="BL143" s="60"/>
      <c r="BM143" s="60"/>
    </row>
    <row r="144" spans="1:65" s="51" customFormat="1" ht="30" customHeight="1" thickBot="1" x14ac:dyDescent="0.35">
      <c r="A144" s="46"/>
      <c r="B144" s="70" t="s">
        <v>156</v>
      </c>
      <c r="C144" s="69" t="s">
        <v>121</v>
      </c>
      <c r="D144" s="68">
        <v>0</v>
      </c>
      <c r="E144" s="67"/>
      <c r="F144" s="67"/>
      <c r="G144" s="61"/>
      <c r="H144" s="61" t="str">
        <f t="shared" si="10"/>
        <v/>
      </c>
      <c r="I144" s="66"/>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60"/>
      <c r="BI144" s="60"/>
      <c r="BJ144" s="60"/>
      <c r="BK144" s="60"/>
      <c r="BL144" s="60"/>
      <c r="BM144" s="60"/>
    </row>
    <row r="145" spans="1:65" s="51" customFormat="1" ht="30" customHeight="1" thickBot="1" x14ac:dyDescent="0.35">
      <c r="A145" s="46"/>
      <c r="B145" s="70" t="s">
        <v>155</v>
      </c>
      <c r="C145" s="69" t="s">
        <v>121</v>
      </c>
      <c r="D145" s="68">
        <v>0</v>
      </c>
      <c r="E145" s="67"/>
      <c r="F145" s="67"/>
      <c r="G145" s="61"/>
      <c r="H145" s="61" t="str">
        <f t="shared" si="10"/>
        <v/>
      </c>
      <c r="I145" s="66"/>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60"/>
      <c r="BI145" s="60"/>
      <c r="BJ145" s="60"/>
      <c r="BK145" s="60"/>
      <c r="BL145" s="60"/>
      <c r="BM145" s="60"/>
    </row>
    <row r="146" spans="1:65" s="51" customFormat="1" ht="30" customHeight="1" thickBot="1" x14ac:dyDescent="0.35">
      <c r="A146" s="46"/>
      <c r="B146" s="70" t="s">
        <v>154</v>
      </c>
      <c r="C146" s="69" t="s">
        <v>121</v>
      </c>
      <c r="D146" s="68">
        <v>0</v>
      </c>
      <c r="E146" s="67"/>
      <c r="F146" s="67"/>
      <c r="G146" s="61"/>
      <c r="H146" s="61" t="str">
        <f t="shared" si="10"/>
        <v/>
      </c>
      <c r="I146" s="66"/>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60"/>
      <c r="BI146" s="60"/>
      <c r="BJ146" s="60"/>
      <c r="BK146" s="60"/>
      <c r="BL146" s="60"/>
      <c r="BM146" s="60"/>
    </row>
    <row r="147" spans="1:65" s="51" customFormat="1" ht="30" customHeight="1" thickBot="1" x14ac:dyDescent="0.35">
      <c r="A147" s="46"/>
      <c r="B147" s="70" t="s">
        <v>153</v>
      </c>
      <c r="C147" s="69" t="s">
        <v>121</v>
      </c>
      <c r="D147" s="68">
        <v>0</v>
      </c>
      <c r="E147" s="67"/>
      <c r="F147" s="67"/>
      <c r="G147" s="61"/>
      <c r="H147" s="61" t="str">
        <f t="shared" si="10"/>
        <v/>
      </c>
      <c r="I147" s="66"/>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60"/>
      <c r="BI147" s="60"/>
      <c r="BJ147" s="60"/>
      <c r="BK147" s="60"/>
      <c r="BL147" s="60"/>
      <c r="BM147" s="60"/>
    </row>
    <row r="148" spans="1:65" s="51" customFormat="1" ht="30" customHeight="1" thickBot="1" x14ac:dyDescent="0.35">
      <c r="A148" s="46"/>
      <c r="B148" s="70" t="s">
        <v>152</v>
      </c>
      <c r="C148" s="69" t="s">
        <v>121</v>
      </c>
      <c r="D148" s="68">
        <v>0</v>
      </c>
      <c r="E148" s="67"/>
      <c r="F148" s="67"/>
      <c r="G148" s="61"/>
      <c r="H148" s="61" t="str">
        <f t="shared" ref="H148:H182" si="12">IF(OR(ISBLANK(task_start),ISBLANK(task_end)),"",task_end-task_start+1)</f>
        <v/>
      </c>
      <c r="I148" s="66"/>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60"/>
      <c r="BI148" s="60"/>
      <c r="BJ148" s="60"/>
      <c r="BK148" s="60"/>
      <c r="BL148" s="60"/>
      <c r="BM148" s="60"/>
    </row>
    <row r="149" spans="1:65" s="51" customFormat="1" ht="30" customHeight="1" thickBot="1" x14ac:dyDescent="0.35">
      <c r="A149" s="46"/>
      <c r="B149" s="70" t="s">
        <v>151</v>
      </c>
      <c r="C149" s="69" t="s">
        <v>121</v>
      </c>
      <c r="D149" s="68">
        <v>0</v>
      </c>
      <c r="E149" s="67"/>
      <c r="F149" s="67"/>
      <c r="G149" s="61"/>
      <c r="H149" s="61" t="str">
        <f t="shared" si="12"/>
        <v/>
      </c>
      <c r="I149" s="66"/>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60"/>
      <c r="BI149" s="60"/>
      <c r="BJ149" s="60"/>
      <c r="BK149" s="60"/>
      <c r="BL149" s="60"/>
      <c r="BM149" s="60"/>
    </row>
    <row r="150" spans="1:65" s="51" customFormat="1" ht="30" customHeight="1" thickBot="1" x14ac:dyDescent="0.35">
      <c r="A150" s="46"/>
      <c r="B150" s="70" t="s">
        <v>150</v>
      </c>
      <c r="C150" s="69" t="s">
        <v>121</v>
      </c>
      <c r="D150" s="68">
        <v>0</v>
      </c>
      <c r="E150" s="67"/>
      <c r="F150" s="67"/>
      <c r="G150" s="61"/>
      <c r="H150" s="61" t="str">
        <f t="shared" si="12"/>
        <v/>
      </c>
      <c r="I150" s="66"/>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60"/>
      <c r="BI150" s="60"/>
      <c r="BJ150" s="60"/>
      <c r="BK150" s="60"/>
      <c r="BL150" s="60"/>
      <c r="BM150" s="60"/>
    </row>
    <row r="151" spans="1:65" s="51" customFormat="1" ht="30" customHeight="1" thickBot="1" x14ac:dyDescent="0.35">
      <c r="A151" s="46"/>
      <c r="B151" s="70" t="s">
        <v>149</v>
      </c>
      <c r="C151" s="69" t="s">
        <v>121</v>
      </c>
      <c r="D151" s="68">
        <v>0</v>
      </c>
      <c r="E151" s="67"/>
      <c r="F151" s="67"/>
      <c r="G151" s="61"/>
      <c r="H151" s="61" t="str">
        <f t="shared" si="12"/>
        <v/>
      </c>
      <c r="I151" s="66"/>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60"/>
      <c r="BI151" s="60"/>
      <c r="BJ151" s="60"/>
      <c r="BK151" s="60"/>
      <c r="BL151" s="60"/>
      <c r="BM151" s="60"/>
    </row>
    <row r="152" spans="1:65" s="51" customFormat="1" ht="30" customHeight="1" thickBot="1" x14ac:dyDescent="0.35">
      <c r="A152" s="46"/>
      <c r="B152" s="70" t="s">
        <v>148</v>
      </c>
      <c r="C152" s="69" t="s">
        <v>121</v>
      </c>
      <c r="D152" s="68">
        <v>0</v>
      </c>
      <c r="E152" s="67"/>
      <c r="F152" s="67"/>
      <c r="G152" s="61"/>
      <c r="H152" s="61" t="str">
        <f t="shared" si="12"/>
        <v/>
      </c>
      <c r="I152" s="66"/>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row>
    <row r="153" spans="1:65" s="51" customFormat="1" ht="30" customHeight="1" thickBot="1" x14ac:dyDescent="0.35">
      <c r="A153" s="46"/>
      <c r="B153" s="70" t="s">
        <v>147</v>
      </c>
      <c r="C153" s="69" t="s">
        <v>121</v>
      </c>
      <c r="D153" s="68">
        <v>0</v>
      </c>
      <c r="E153" s="67"/>
      <c r="F153" s="67"/>
      <c r="G153" s="61"/>
      <c r="H153" s="61" t="str">
        <f t="shared" si="12"/>
        <v/>
      </c>
      <c r="I153" s="66"/>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c r="BE153" s="60"/>
      <c r="BF153" s="60"/>
      <c r="BG153" s="60"/>
      <c r="BH153" s="60"/>
      <c r="BI153" s="60"/>
      <c r="BJ153" s="60"/>
      <c r="BK153" s="60"/>
      <c r="BL153" s="60"/>
      <c r="BM153" s="60"/>
    </row>
    <row r="154" spans="1:65" s="51" customFormat="1" ht="30" customHeight="1" thickBot="1" x14ac:dyDescent="0.35">
      <c r="A154" s="46"/>
      <c r="B154" s="70" t="s">
        <v>146</v>
      </c>
      <c r="C154" s="69" t="s">
        <v>121</v>
      </c>
      <c r="D154" s="68">
        <v>0</v>
      </c>
      <c r="E154" s="67"/>
      <c r="F154" s="67"/>
      <c r="G154" s="61"/>
      <c r="H154" s="61" t="str">
        <f t="shared" si="12"/>
        <v/>
      </c>
      <c r="I154" s="66"/>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c r="BE154" s="60"/>
      <c r="BF154" s="60"/>
      <c r="BG154" s="60"/>
      <c r="BH154" s="60"/>
      <c r="BI154" s="60"/>
      <c r="BJ154" s="60"/>
      <c r="BK154" s="60"/>
      <c r="BL154" s="60"/>
      <c r="BM154" s="60"/>
    </row>
    <row r="155" spans="1:65" s="51" customFormat="1" ht="30" customHeight="1" thickBot="1" x14ac:dyDescent="0.35">
      <c r="A155" s="46"/>
      <c r="B155" s="70" t="s">
        <v>145</v>
      </c>
      <c r="C155" s="69" t="s">
        <v>121</v>
      </c>
      <c r="D155" s="68">
        <v>0</v>
      </c>
      <c r="E155" s="67"/>
      <c r="F155" s="67"/>
      <c r="G155" s="61"/>
      <c r="H155" s="61" t="str">
        <f t="shared" si="12"/>
        <v/>
      </c>
      <c r="I155" s="66"/>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c r="BE155" s="60"/>
      <c r="BF155" s="60"/>
      <c r="BG155" s="60"/>
      <c r="BH155" s="60"/>
      <c r="BI155" s="60"/>
      <c r="BJ155" s="60"/>
      <c r="BK155" s="60"/>
      <c r="BL155" s="60"/>
      <c r="BM155" s="60"/>
    </row>
    <row r="156" spans="1:65" s="51" customFormat="1" ht="30" customHeight="1" thickBot="1" x14ac:dyDescent="0.35">
      <c r="A156" s="46"/>
      <c r="B156" s="70" t="s">
        <v>144</v>
      </c>
      <c r="C156" s="69" t="s">
        <v>121</v>
      </c>
      <c r="D156" s="68">
        <v>0</v>
      </c>
      <c r="E156" s="67"/>
      <c r="F156" s="67"/>
      <c r="G156" s="61"/>
      <c r="H156" s="61" t="str">
        <f t="shared" si="12"/>
        <v/>
      </c>
      <c r="I156" s="66"/>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c r="BE156" s="60"/>
      <c r="BF156" s="60"/>
      <c r="BG156" s="60"/>
      <c r="BH156" s="60"/>
      <c r="BI156" s="60"/>
      <c r="BJ156" s="60"/>
      <c r="BK156" s="60"/>
      <c r="BL156" s="60"/>
      <c r="BM156" s="60"/>
    </row>
    <row r="157" spans="1:65" s="51" customFormat="1" ht="30" customHeight="1" thickBot="1" x14ac:dyDescent="0.35">
      <c r="A157" s="46"/>
      <c r="B157" s="70" t="s">
        <v>353</v>
      </c>
      <c r="C157" s="69" t="s">
        <v>121</v>
      </c>
      <c r="D157" s="68">
        <v>0</v>
      </c>
      <c r="E157" s="67"/>
      <c r="F157" s="67"/>
      <c r="G157" s="61"/>
      <c r="H157" s="61" t="str">
        <f t="shared" si="12"/>
        <v/>
      </c>
      <c r="I157" s="66"/>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c r="BE157" s="60"/>
      <c r="BF157" s="60"/>
      <c r="BG157" s="60"/>
      <c r="BH157" s="60"/>
      <c r="BI157" s="60"/>
      <c r="BJ157" s="60"/>
      <c r="BK157" s="60"/>
      <c r="BL157" s="60"/>
      <c r="BM157" s="60"/>
    </row>
    <row r="158" spans="1:65" s="51" customFormat="1" ht="30" customHeight="1" thickBot="1" x14ac:dyDescent="0.35">
      <c r="A158" s="46"/>
      <c r="B158" s="70" t="s">
        <v>352</v>
      </c>
      <c r="C158" s="69" t="s">
        <v>121</v>
      </c>
      <c r="D158" s="68">
        <v>0.5</v>
      </c>
      <c r="E158" s="67"/>
      <c r="F158" s="67"/>
      <c r="G158" s="61"/>
      <c r="H158" s="61" t="str">
        <f t="shared" si="12"/>
        <v/>
      </c>
      <c r="I158" s="66"/>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c r="BE158" s="60"/>
      <c r="BF158" s="60"/>
      <c r="BG158" s="60"/>
      <c r="BH158" s="60"/>
      <c r="BI158" s="60"/>
      <c r="BJ158" s="60"/>
      <c r="BK158" s="60"/>
      <c r="BL158" s="60"/>
      <c r="BM158" s="60"/>
    </row>
    <row r="159" spans="1:65" s="51" customFormat="1" ht="30" customHeight="1" thickBot="1" x14ac:dyDescent="0.35">
      <c r="A159" s="46"/>
      <c r="B159" s="70" t="s">
        <v>354</v>
      </c>
      <c r="C159" s="69" t="s">
        <v>121</v>
      </c>
      <c r="D159" s="68">
        <v>0.3</v>
      </c>
      <c r="E159" s="67"/>
      <c r="F159" s="67"/>
      <c r="G159" s="61"/>
      <c r="H159" s="61" t="str">
        <f t="shared" si="12"/>
        <v/>
      </c>
      <c r="I159" s="66" t="s">
        <v>355</v>
      </c>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c r="BE159" s="60"/>
      <c r="BF159" s="60"/>
      <c r="BG159" s="60"/>
      <c r="BH159" s="60"/>
      <c r="BI159" s="60"/>
      <c r="BJ159" s="60"/>
      <c r="BK159" s="60"/>
      <c r="BL159" s="60"/>
      <c r="BM159" s="60"/>
    </row>
    <row r="160" spans="1:65" s="51" customFormat="1" ht="30" customHeight="1" thickBot="1" x14ac:dyDescent="0.35">
      <c r="A160" s="46"/>
      <c r="B160" s="70" t="s">
        <v>143</v>
      </c>
      <c r="C160" s="69" t="s">
        <v>121</v>
      </c>
      <c r="D160" s="68">
        <v>0.7</v>
      </c>
      <c r="E160" s="67"/>
      <c r="F160" s="67"/>
      <c r="G160" s="61"/>
      <c r="H160" s="61" t="str">
        <f t="shared" si="12"/>
        <v/>
      </c>
      <c r="I160" s="66"/>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c r="BE160" s="60"/>
      <c r="BF160" s="60"/>
      <c r="BG160" s="60"/>
      <c r="BH160" s="60"/>
      <c r="BI160" s="60"/>
      <c r="BJ160" s="60"/>
      <c r="BK160" s="60"/>
      <c r="BL160" s="60"/>
      <c r="BM160" s="60"/>
    </row>
    <row r="161" spans="1:65" s="51" customFormat="1" ht="30" customHeight="1" thickBot="1" x14ac:dyDescent="0.35">
      <c r="A161" s="46"/>
      <c r="B161" s="70" t="s">
        <v>142</v>
      </c>
      <c r="C161" s="69" t="s">
        <v>121</v>
      </c>
      <c r="D161" s="68">
        <v>0.6</v>
      </c>
      <c r="E161" s="67"/>
      <c r="F161" s="67"/>
      <c r="G161" s="61"/>
      <c r="H161" s="61" t="str">
        <f t="shared" si="12"/>
        <v/>
      </c>
      <c r="I161" s="66" t="s">
        <v>356</v>
      </c>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c r="BE161" s="60"/>
      <c r="BF161" s="60"/>
      <c r="BG161" s="60"/>
      <c r="BH161" s="60"/>
      <c r="BI161" s="60"/>
      <c r="BJ161" s="60"/>
      <c r="BK161" s="60"/>
      <c r="BL161" s="60"/>
      <c r="BM161" s="60"/>
    </row>
    <row r="162" spans="1:65" s="51" customFormat="1" ht="30" customHeight="1" thickBot="1" x14ac:dyDescent="0.35">
      <c r="A162" s="46"/>
      <c r="B162" s="70" t="s">
        <v>141</v>
      </c>
      <c r="C162" s="69" t="s">
        <v>121</v>
      </c>
      <c r="D162" s="68">
        <v>0.4</v>
      </c>
      <c r="E162" s="67"/>
      <c r="F162" s="67"/>
      <c r="G162" s="61"/>
      <c r="H162" s="61" t="str">
        <f t="shared" si="12"/>
        <v/>
      </c>
      <c r="I162" s="66"/>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c r="BE162" s="60"/>
      <c r="BF162" s="60"/>
      <c r="BG162" s="60"/>
      <c r="BH162" s="60"/>
      <c r="BI162" s="60"/>
      <c r="BJ162" s="60"/>
      <c r="BK162" s="60"/>
      <c r="BL162" s="60"/>
      <c r="BM162" s="60"/>
    </row>
    <row r="163" spans="1:65" s="51" customFormat="1" ht="30" customHeight="1" thickBot="1" x14ac:dyDescent="0.35">
      <c r="A163" s="46"/>
      <c r="B163" s="70" t="s">
        <v>140</v>
      </c>
      <c r="C163" s="69" t="s">
        <v>121</v>
      </c>
      <c r="D163" s="68">
        <v>0.4</v>
      </c>
      <c r="E163" s="67"/>
      <c r="F163" s="67"/>
      <c r="G163" s="61"/>
      <c r="H163" s="61" t="str">
        <f t="shared" si="12"/>
        <v/>
      </c>
      <c r="I163" s="66"/>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c r="BE163" s="60"/>
      <c r="BF163" s="60"/>
      <c r="BG163" s="60"/>
      <c r="BH163" s="60"/>
      <c r="BI163" s="60"/>
      <c r="BJ163" s="60"/>
      <c r="BK163" s="60"/>
      <c r="BL163" s="60"/>
      <c r="BM163" s="60"/>
    </row>
    <row r="164" spans="1:65" s="51" customFormat="1" ht="30" customHeight="1" thickBot="1" x14ac:dyDescent="0.35">
      <c r="A164" s="46"/>
      <c r="B164" s="70" t="s">
        <v>139</v>
      </c>
      <c r="C164" s="69" t="s">
        <v>121</v>
      </c>
      <c r="D164" s="68">
        <v>0</v>
      </c>
      <c r="E164" s="67"/>
      <c r="F164" s="67"/>
      <c r="G164" s="61"/>
      <c r="H164" s="61" t="str">
        <f t="shared" si="12"/>
        <v/>
      </c>
      <c r="I164" s="66"/>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c r="BE164" s="60"/>
      <c r="BF164" s="60"/>
      <c r="BG164" s="60"/>
      <c r="BH164" s="60"/>
      <c r="BI164" s="60"/>
      <c r="BJ164" s="60"/>
      <c r="BK164" s="60"/>
      <c r="BL164" s="60"/>
      <c r="BM164" s="60"/>
    </row>
    <row r="165" spans="1:65" s="51" customFormat="1" ht="30" customHeight="1" thickBot="1" x14ac:dyDescent="0.35">
      <c r="A165" s="46"/>
      <c r="B165" s="70" t="s">
        <v>138</v>
      </c>
      <c r="C165" s="69" t="s">
        <v>121</v>
      </c>
      <c r="D165" s="68">
        <v>0.7</v>
      </c>
      <c r="E165" s="67"/>
      <c r="F165" s="67"/>
      <c r="G165" s="61"/>
      <c r="H165" s="61" t="str">
        <f t="shared" si="12"/>
        <v/>
      </c>
      <c r="I165" s="66"/>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c r="BE165" s="60"/>
      <c r="BF165" s="60"/>
      <c r="BG165" s="60"/>
      <c r="BH165" s="60"/>
      <c r="BI165" s="60"/>
      <c r="BJ165" s="60"/>
      <c r="BK165" s="60"/>
      <c r="BL165" s="60"/>
      <c r="BM165" s="60"/>
    </row>
    <row r="166" spans="1:65" s="51" customFormat="1" ht="30" customHeight="1" thickBot="1" x14ac:dyDescent="0.35">
      <c r="A166" s="46"/>
      <c r="B166" s="70" t="s">
        <v>137</v>
      </c>
      <c r="C166" s="69" t="s">
        <v>121</v>
      </c>
      <c r="D166" s="68">
        <v>0.6</v>
      </c>
      <c r="E166" s="67"/>
      <c r="F166" s="67"/>
      <c r="G166" s="61"/>
      <c r="H166" s="61" t="str">
        <f t="shared" si="12"/>
        <v/>
      </c>
      <c r="I166" s="66"/>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c r="BE166" s="60"/>
      <c r="BF166" s="60"/>
      <c r="BG166" s="60"/>
      <c r="BH166" s="60"/>
      <c r="BI166" s="60"/>
      <c r="BJ166" s="60"/>
      <c r="BK166" s="60"/>
      <c r="BL166" s="60"/>
      <c r="BM166" s="60"/>
    </row>
    <row r="167" spans="1:65" s="51" customFormat="1" ht="30" customHeight="1" thickBot="1" x14ac:dyDescent="0.35">
      <c r="A167" s="46"/>
      <c r="B167" s="70" t="s">
        <v>136</v>
      </c>
      <c r="C167" s="69" t="s">
        <v>121</v>
      </c>
      <c r="D167" s="68">
        <v>0</v>
      </c>
      <c r="E167" s="67"/>
      <c r="F167" s="67"/>
      <c r="G167" s="61"/>
      <c r="H167" s="61" t="str">
        <f t="shared" si="12"/>
        <v/>
      </c>
      <c r="I167" s="66"/>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c r="BE167" s="60"/>
      <c r="BF167" s="60"/>
      <c r="BG167" s="60"/>
      <c r="BH167" s="60"/>
      <c r="BI167" s="60"/>
      <c r="BJ167" s="60"/>
      <c r="BK167" s="60"/>
      <c r="BL167" s="60"/>
      <c r="BM167" s="60"/>
    </row>
    <row r="168" spans="1:65" s="51" customFormat="1" ht="30" customHeight="1" thickBot="1" x14ac:dyDescent="0.35">
      <c r="A168" s="46"/>
      <c r="B168" s="70" t="s">
        <v>135</v>
      </c>
      <c r="C168" s="69" t="s">
        <v>121</v>
      </c>
      <c r="D168" s="68">
        <v>0</v>
      </c>
      <c r="E168" s="67"/>
      <c r="F168" s="67"/>
      <c r="G168" s="61"/>
      <c r="H168" s="61" t="str">
        <f t="shared" si="12"/>
        <v/>
      </c>
      <c r="I168" s="66"/>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c r="BE168" s="60"/>
      <c r="BF168" s="60"/>
      <c r="BG168" s="60"/>
      <c r="BH168" s="60"/>
      <c r="BI168" s="60"/>
      <c r="BJ168" s="60"/>
      <c r="BK168" s="60"/>
      <c r="BL168" s="60"/>
      <c r="BM168" s="60"/>
    </row>
    <row r="169" spans="1:65" s="51" customFormat="1" ht="30" customHeight="1" thickBot="1" x14ac:dyDescent="0.35">
      <c r="A169" s="46"/>
      <c r="B169" s="70"/>
      <c r="C169" s="69" t="s">
        <v>121</v>
      </c>
      <c r="D169" s="68"/>
      <c r="E169" s="67"/>
      <c r="F169" s="67"/>
      <c r="G169" s="61"/>
      <c r="H169" s="61" t="str">
        <f t="shared" si="12"/>
        <v/>
      </c>
      <c r="I169" s="66"/>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c r="BE169" s="60"/>
      <c r="BF169" s="60"/>
      <c r="BG169" s="60"/>
      <c r="BH169" s="60"/>
      <c r="BI169" s="60"/>
      <c r="BJ169" s="60"/>
      <c r="BK169" s="60"/>
      <c r="BL169" s="60"/>
      <c r="BM169" s="60"/>
    </row>
    <row r="170" spans="1:65" s="51" customFormat="1" ht="30" customHeight="1" thickBot="1" x14ac:dyDescent="0.35">
      <c r="A170" s="46"/>
      <c r="B170" s="70" t="s">
        <v>134</v>
      </c>
      <c r="C170" s="69" t="s">
        <v>121</v>
      </c>
      <c r="D170" s="68">
        <v>0.3</v>
      </c>
      <c r="E170" s="67"/>
      <c r="F170" s="67"/>
      <c r="G170" s="61"/>
      <c r="H170" s="61" t="str">
        <f t="shared" si="12"/>
        <v/>
      </c>
      <c r="I170" s="66"/>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c r="BE170" s="60"/>
      <c r="BF170" s="60"/>
      <c r="BG170" s="60"/>
      <c r="BH170" s="60"/>
      <c r="BI170" s="60"/>
      <c r="BJ170" s="60"/>
      <c r="BK170" s="60"/>
      <c r="BL170" s="60"/>
      <c r="BM170" s="60"/>
    </row>
    <row r="171" spans="1:65" s="51" customFormat="1" ht="30" customHeight="1" thickBot="1" x14ac:dyDescent="0.35">
      <c r="A171" s="46"/>
      <c r="B171" s="70" t="s">
        <v>133</v>
      </c>
      <c r="C171" s="69" t="s">
        <v>121</v>
      </c>
      <c r="D171" s="68">
        <v>0.4</v>
      </c>
      <c r="E171" s="67"/>
      <c r="F171" s="67"/>
      <c r="G171" s="61"/>
      <c r="H171" s="61" t="str">
        <f t="shared" si="12"/>
        <v/>
      </c>
      <c r="I171" s="66"/>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c r="BE171" s="60"/>
      <c r="BF171" s="60"/>
      <c r="BG171" s="60"/>
      <c r="BH171" s="60"/>
      <c r="BI171" s="60"/>
      <c r="BJ171" s="60"/>
      <c r="BK171" s="60"/>
      <c r="BL171" s="60"/>
      <c r="BM171" s="60"/>
    </row>
    <row r="172" spans="1:65" s="51" customFormat="1" ht="30" customHeight="1" thickBot="1" x14ac:dyDescent="0.35">
      <c r="A172" s="46"/>
      <c r="B172" s="70" t="s">
        <v>132</v>
      </c>
      <c r="C172" s="69" t="s">
        <v>121</v>
      </c>
      <c r="D172" s="68">
        <v>0.5</v>
      </c>
      <c r="E172" s="67"/>
      <c r="F172" s="67"/>
      <c r="G172" s="61"/>
      <c r="H172" s="61" t="str">
        <f t="shared" si="12"/>
        <v/>
      </c>
      <c r="I172" s="66"/>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c r="BE172" s="60"/>
      <c r="BF172" s="60"/>
      <c r="BG172" s="60"/>
      <c r="BH172" s="60"/>
      <c r="BI172" s="60"/>
      <c r="BJ172" s="60"/>
      <c r="BK172" s="60"/>
      <c r="BL172" s="60"/>
      <c r="BM172" s="60"/>
    </row>
    <row r="173" spans="1:65" s="51" customFormat="1" ht="30" customHeight="1" thickBot="1" x14ac:dyDescent="0.35">
      <c r="A173" s="46"/>
      <c r="B173" s="70" t="s">
        <v>131</v>
      </c>
      <c r="C173" s="69" t="s">
        <v>121</v>
      </c>
      <c r="D173" s="68">
        <v>0.5</v>
      </c>
      <c r="E173" s="67"/>
      <c r="F173" s="67"/>
      <c r="G173" s="61"/>
      <c r="H173" s="61" t="str">
        <f t="shared" si="12"/>
        <v/>
      </c>
      <c r="I173" s="66"/>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c r="BE173" s="60"/>
      <c r="BF173" s="60"/>
      <c r="BG173" s="60"/>
      <c r="BH173" s="60"/>
      <c r="BI173" s="60"/>
      <c r="BJ173" s="60"/>
      <c r="BK173" s="60"/>
      <c r="BL173" s="60"/>
      <c r="BM173" s="60"/>
    </row>
    <row r="174" spans="1:65" s="51" customFormat="1" ht="30" customHeight="1" thickBot="1" x14ac:dyDescent="0.35">
      <c r="A174" s="46"/>
      <c r="B174" s="70" t="s">
        <v>130</v>
      </c>
      <c r="C174" s="69" t="s">
        <v>121</v>
      </c>
      <c r="D174" s="68">
        <v>0.5</v>
      </c>
      <c r="E174" s="67"/>
      <c r="F174" s="67"/>
      <c r="G174" s="61"/>
      <c r="H174" s="61" t="str">
        <f t="shared" si="12"/>
        <v/>
      </c>
      <c r="I174" s="66"/>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c r="BE174" s="60"/>
      <c r="BF174" s="60"/>
      <c r="BG174" s="60"/>
      <c r="BH174" s="60"/>
      <c r="BI174" s="60"/>
      <c r="BJ174" s="60"/>
      <c r="BK174" s="60"/>
      <c r="BL174" s="60"/>
      <c r="BM174" s="60"/>
    </row>
    <row r="175" spans="1:65" s="51" customFormat="1" ht="30" customHeight="1" thickBot="1" x14ac:dyDescent="0.35">
      <c r="A175" s="46"/>
      <c r="B175" s="70" t="s">
        <v>129</v>
      </c>
      <c r="C175" s="69" t="s">
        <v>121</v>
      </c>
      <c r="D175" s="68">
        <v>0.5</v>
      </c>
      <c r="E175" s="67"/>
      <c r="F175" s="67"/>
      <c r="G175" s="61"/>
      <c r="H175" s="61" t="str">
        <f t="shared" si="12"/>
        <v/>
      </c>
      <c r="I175" s="66"/>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c r="BE175" s="60"/>
      <c r="BF175" s="60"/>
      <c r="BG175" s="60"/>
      <c r="BH175" s="60"/>
      <c r="BI175" s="60"/>
      <c r="BJ175" s="60"/>
      <c r="BK175" s="60"/>
      <c r="BL175" s="60"/>
      <c r="BM175" s="60"/>
    </row>
    <row r="176" spans="1:65" s="51" customFormat="1" ht="30" customHeight="1" thickBot="1" x14ac:dyDescent="0.35">
      <c r="A176" s="46"/>
      <c r="B176" s="70" t="s">
        <v>128</v>
      </c>
      <c r="C176" s="69" t="s">
        <v>121</v>
      </c>
      <c r="D176" s="68">
        <v>0.6</v>
      </c>
      <c r="E176" s="67"/>
      <c r="F176" s="67"/>
      <c r="G176" s="61"/>
      <c r="H176" s="61" t="str">
        <f t="shared" si="12"/>
        <v/>
      </c>
      <c r="I176" s="66"/>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c r="BE176" s="60"/>
      <c r="BF176" s="60"/>
      <c r="BG176" s="60"/>
      <c r="BH176" s="60"/>
      <c r="BI176" s="60"/>
      <c r="BJ176" s="60"/>
      <c r="BK176" s="60"/>
      <c r="BL176" s="60"/>
      <c r="BM176" s="60"/>
    </row>
    <row r="177" spans="1:65" s="51" customFormat="1" ht="30" customHeight="1" thickBot="1" x14ac:dyDescent="0.35">
      <c r="A177" s="46"/>
      <c r="B177" s="70" t="s">
        <v>127</v>
      </c>
      <c r="C177" s="69" t="s">
        <v>121</v>
      </c>
      <c r="D177" s="68">
        <v>0.4</v>
      </c>
      <c r="E177" s="67"/>
      <c r="F177" s="67"/>
      <c r="G177" s="61"/>
      <c r="H177" s="61" t="str">
        <f t="shared" si="12"/>
        <v/>
      </c>
      <c r="I177" s="66"/>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c r="BE177" s="60"/>
      <c r="BF177" s="60"/>
      <c r="BG177" s="60"/>
      <c r="BH177" s="60"/>
      <c r="BI177" s="60"/>
      <c r="BJ177" s="60"/>
      <c r="BK177" s="60"/>
      <c r="BL177" s="60"/>
      <c r="BM177" s="60"/>
    </row>
    <row r="178" spans="1:65" s="51" customFormat="1" ht="30" customHeight="1" thickBot="1" x14ac:dyDescent="0.35">
      <c r="A178" s="46"/>
      <c r="B178" s="70" t="s">
        <v>126</v>
      </c>
      <c r="C178" s="69" t="s">
        <v>121</v>
      </c>
      <c r="D178" s="68">
        <v>0.4</v>
      </c>
      <c r="E178" s="67"/>
      <c r="F178" s="67"/>
      <c r="G178" s="61"/>
      <c r="H178" s="61" t="str">
        <f t="shared" si="12"/>
        <v/>
      </c>
      <c r="I178" s="66"/>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c r="BE178" s="60"/>
      <c r="BF178" s="60"/>
      <c r="BG178" s="60"/>
      <c r="BH178" s="60"/>
      <c r="BI178" s="60"/>
      <c r="BJ178" s="60"/>
      <c r="BK178" s="60"/>
      <c r="BL178" s="60"/>
      <c r="BM178" s="60"/>
    </row>
    <row r="179" spans="1:65" s="51" customFormat="1" ht="30" customHeight="1" thickBot="1" x14ac:dyDescent="0.35">
      <c r="A179" s="46"/>
      <c r="B179" s="70" t="s">
        <v>125</v>
      </c>
      <c r="C179" s="69" t="s">
        <v>121</v>
      </c>
      <c r="D179" s="68">
        <v>0.1</v>
      </c>
      <c r="E179" s="67"/>
      <c r="F179" s="67"/>
      <c r="G179" s="61"/>
      <c r="H179" s="61" t="str">
        <f t="shared" si="12"/>
        <v/>
      </c>
      <c r="I179" s="66"/>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c r="BE179" s="60"/>
      <c r="BF179" s="60"/>
      <c r="BG179" s="60"/>
      <c r="BH179" s="60"/>
      <c r="BI179" s="60"/>
      <c r="BJ179" s="60"/>
      <c r="BK179" s="60"/>
      <c r="BL179" s="60"/>
      <c r="BM179" s="60"/>
    </row>
    <row r="180" spans="1:65" s="51" customFormat="1" ht="30" customHeight="1" thickBot="1" x14ac:dyDescent="0.35">
      <c r="A180" s="46"/>
      <c r="B180" s="70" t="s">
        <v>124</v>
      </c>
      <c r="C180" s="69" t="s">
        <v>121</v>
      </c>
      <c r="D180" s="68">
        <v>0.2</v>
      </c>
      <c r="E180" s="67"/>
      <c r="F180" s="67"/>
      <c r="G180" s="61"/>
      <c r="H180" s="61" t="str">
        <f t="shared" si="12"/>
        <v/>
      </c>
      <c r="I180" s="66"/>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c r="BE180" s="60"/>
      <c r="BF180" s="60"/>
      <c r="BG180" s="60"/>
      <c r="BH180" s="60"/>
      <c r="BI180" s="60"/>
      <c r="BJ180" s="60"/>
      <c r="BK180" s="60"/>
      <c r="BL180" s="60"/>
      <c r="BM180" s="60"/>
    </row>
    <row r="181" spans="1:65" s="51" customFormat="1" ht="30" customHeight="1" thickBot="1" x14ac:dyDescent="0.35">
      <c r="A181" s="46"/>
      <c r="B181" s="70" t="s">
        <v>123</v>
      </c>
      <c r="C181" s="69" t="s">
        <v>121</v>
      </c>
      <c r="D181" s="68">
        <v>0.1</v>
      </c>
      <c r="E181" s="67"/>
      <c r="F181" s="67"/>
      <c r="G181" s="61"/>
      <c r="H181" s="61" t="str">
        <f t="shared" si="12"/>
        <v/>
      </c>
      <c r="I181" s="66"/>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c r="BE181" s="60"/>
      <c r="BF181" s="60"/>
      <c r="BG181" s="60"/>
      <c r="BH181" s="60"/>
      <c r="BI181" s="60"/>
      <c r="BJ181" s="60"/>
      <c r="BK181" s="60"/>
      <c r="BL181" s="60"/>
      <c r="BM181" s="60"/>
    </row>
    <row r="182" spans="1:65" s="51" customFormat="1" ht="30" customHeight="1" thickBot="1" x14ac:dyDescent="0.35">
      <c r="A182" s="46"/>
      <c r="B182" s="70" t="s">
        <v>122</v>
      </c>
      <c r="C182" s="69" t="s">
        <v>121</v>
      </c>
      <c r="D182" s="68">
        <v>0.2</v>
      </c>
      <c r="E182" s="67"/>
      <c r="F182" s="67"/>
      <c r="G182" s="61"/>
      <c r="H182" s="61" t="str">
        <f t="shared" si="12"/>
        <v/>
      </c>
      <c r="I182" s="66"/>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c r="BE182" s="60"/>
      <c r="BF182" s="60"/>
      <c r="BG182" s="60"/>
      <c r="BH182" s="60"/>
      <c r="BI182" s="60"/>
      <c r="BJ182" s="60"/>
      <c r="BK182" s="60"/>
      <c r="BL182" s="60"/>
      <c r="BM182" s="60"/>
    </row>
    <row r="183" spans="1:65" s="51" customFormat="1" ht="30" customHeight="1" thickBot="1" x14ac:dyDescent="0.35">
      <c r="A183" s="46"/>
      <c r="B183" s="70" t="s">
        <v>357</v>
      </c>
      <c r="C183" s="69" t="s">
        <v>121</v>
      </c>
      <c r="D183" s="68">
        <v>0.2</v>
      </c>
      <c r="E183" s="67"/>
      <c r="F183" s="67"/>
      <c r="G183" s="61"/>
      <c r="H183" s="61"/>
      <c r="I183" s="66"/>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c r="BE183" s="60"/>
      <c r="BF183" s="60"/>
      <c r="BG183" s="60"/>
      <c r="BH183" s="60"/>
      <c r="BI183" s="60"/>
      <c r="BJ183" s="60"/>
      <c r="BK183" s="60"/>
      <c r="BL183" s="60"/>
      <c r="BM183" s="60"/>
    </row>
    <row r="184" spans="1:65" s="51" customFormat="1" ht="30" customHeight="1" thickBot="1" x14ac:dyDescent="0.35">
      <c r="A184" s="46"/>
      <c r="B184" s="70"/>
      <c r="C184" s="69"/>
      <c r="D184" s="68"/>
      <c r="E184" s="67"/>
      <c r="F184" s="67"/>
      <c r="G184" s="61"/>
      <c r="H184" s="61"/>
      <c r="I184" s="66"/>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c r="BE184" s="60"/>
      <c r="BF184" s="60"/>
      <c r="BG184" s="60"/>
      <c r="BH184" s="60"/>
      <c r="BI184" s="60"/>
      <c r="BJ184" s="60"/>
      <c r="BK184" s="60"/>
      <c r="BL184" s="60"/>
      <c r="BM184" s="60"/>
    </row>
    <row r="185" spans="1:65" s="51" customFormat="1" ht="30" customHeight="1" thickBot="1" x14ac:dyDescent="0.35">
      <c r="A185" s="46"/>
      <c r="B185" s="70" t="s">
        <v>120</v>
      </c>
      <c r="C185" s="69"/>
      <c r="D185" s="68"/>
      <c r="E185" s="67" t="s">
        <v>119</v>
      </c>
      <c r="F185" s="67" t="s">
        <v>119</v>
      </c>
      <c r="G185" s="61"/>
      <c r="H185" s="61" t="e">
        <f>IF(OR(ISBLANK(task_start),ISBLANK(task_end)),"",task_end-task_start+1)</f>
        <v>#VALUE!</v>
      </c>
      <c r="I185" s="66"/>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c r="BE185" s="60"/>
      <c r="BF185" s="60"/>
      <c r="BG185" s="60"/>
      <c r="BH185" s="60"/>
      <c r="BI185" s="60"/>
      <c r="BJ185" s="60"/>
      <c r="BK185" s="60"/>
      <c r="BL185" s="60"/>
      <c r="BM185" s="60"/>
    </row>
    <row r="186" spans="1:65" s="51" customFormat="1" ht="30" customHeight="1" thickBot="1" x14ac:dyDescent="0.35">
      <c r="A186" s="46" t="s">
        <v>118</v>
      </c>
      <c r="B186" s="65"/>
      <c r="C186" s="64"/>
      <c r="D186" s="63"/>
      <c r="E186" s="62"/>
      <c r="F186" s="62"/>
      <c r="G186" s="61"/>
      <c r="H186" s="61" t="str">
        <f>IF(OR(ISBLANK(task_start),ISBLANK(task_end)),"",task_end-task_start+1)</f>
        <v/>
      </c>
      <c r="I186" s="61"/>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c r="BE186" s="60"/>
      <c r="BF186" s="60"/>
      <c r="BG186" s="60"/>
      <c r="BH186" s="60"/>
      <c r="BI186" s="60"/>
      <c r="BJ186" s="60"/>
      <c r="BK186" s="60"/>
      <c r="BL186" s="60"/>
      <c r="BM186" s="60"/>
    </row>
    <row r="187" spans="1:65" s="51" customFormat="1" ht="30" customHeight="1" thickBot="1" x14ac:dyDescent="0.35">
      <c r="A187" s="59" t="s">
        <v>117</v>
      </c>
      <c r="B187" s="58" t="s">
        <v>116</v>
      </c>
      <c r="C187" s="57"/>
      <c r="D187" s="56"/>
      <c r="E187" s="55"/>
      <c r="F187" s="54"/>
      <c r="G187" s="53"/>
      <c r="H187" s="53" t="str">
        <f>IF(OR(ISBLANK(task_start),ISBLANK(task_end)),"",task_end-task_start+1)</f>
        <v/>
      </c>
      <c r="I187" s="53"/>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row>
    <row r="188" spans="1:65" ht="30" customHeight="1" x14ac:dyDescent="0.3">
      <c r="G188" s="50"/>
    </row>
    <row r="189" spans="1:65" ht="30" customHeight="1" x14ac:dyDescent="0.3">
      <c r="C189" s="49"/>
      <c r="F189" s="48"/>
    </row>
    <row r="190" spans="1:65" ht="30" customHeight="1" x14ac:dyDescent="0.35">
      <c r="C190" s="47"/>
    </row>
    <row r="191" spans="1:65" ht="30" customHeight="1" x14ac:dyDescent="0.3">
      <c r="G191" s="123" t="s">
        <v>361</v>
      </c>
    </row>
  </sheetData>
  <mergeCells count="12">
    <mergeCell ref="C3:D3"/>
    <mergeCell ref="C4:D4"/>
    <mergeCell ref="B5:G5"/>
    <mergeCell ref="AL4:AR4"/>
    <mergeCell ref="AS4:AY4"/>
    <mergeCell ref="BG4:BM4"/>
    <mergeCell ref="E3:F3"/>
    <mergeCell ref="J4:P4"/>
    <mergeCell ref="Q4:W4"/>
    <mergeCell ref="X4:AD4"/>
    <mergeCell ref="AE4:AK4"/>
    <mergeCell ref="AZ4:BF4"/>
  </mergeCells>
  <phoneticPr fontId="34" type="noConversion"/>
  <conditionalFormatting sqref="D7:D187 C35:C87">
    <cfRule type="dataBar" priority="1">
      <dataBar>
        <cfvo type="num" val="0"/>
        <cfvo type="num" val="1"/>
        <color theme="0" tint="-0.249977111117893"/>
      </dataBar>
      <extLst>
        <ext xmlns:x14="http://schemas.microsoft.com/office/spreadsheetml/2009/9/main" uri="{B025F937-C7B1-47D3-B67F-A62EFF666E3E}">
          <x14:id>{E5013463-682B-462E-935E-46779145AE95}</x14:id>
        </ext>
      </extLst>
    </cfRule>
  </conditionalFormatting>
  <conditionalFormatting sqref="J5:BM187">
    <cfRule type="expression" dxfId="266" priority="4">
      <formula>AND(TODAY()&gt;=J$5,TODAY()&lt;K$5)</formula>
    </cfRule>
  </conditionalFormatting>
  <conditionalFormatting sqref="J7:BM187">
    <cfRule type="expression" dxfId="265" priority="2">
      <formula>AND(task_start&lt;=J$5,ROUNDDOWN((task_end-task_start+1)*task_progress,0)+task_start-1&gt;=J$5)</formula>
    </cfRule>
    <cfRule type="expression" dxfId="264"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E5013463-682B-462E-935E-46779145AE95}">
            <x14:dataBar minLength="0" maxLength="100" gradient="0">
              <x14:cfvo type="num">
                <xm:f>0</xm:f>
              </x14:cfvo>
              <x14:cfvo type="num">
                <xm:f>1</xm:f>
              </x14:cfvo>
              <x14:negativeFillColor rgb="FFFF0000"/>
              <x14:axisColor rgb="FF000000"/>
            </x14:dataBar>
          </x14:cfRule>
          <xm:sqref>D7:D187 C35:C87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31" activePane="bottomLeft" state="frozen"/>
      <selection pane="bottomLeft" activeCell="J1" sqref="J1"/>
    </sheetView>
  </sheetViews>
  <sheetFormatPr defaultRowHeight="30" customHeight="1" x14ac:dyDescent="0.3"/>
  <cols>
    <col min="1" max="1" width="3.125" style="46" customWidth="1"/>
    <col min="2" max="2" width="31.875" style="44" customWidth="1"/>
    <col min="3" max="3" width="9.875" style="44" customWidth="1"/>
    <col min="4" max="4" width="13" style="44" customWidth="1"/>
    <col min="5" max="5" width="11.625" style="45" customWidth="1"/>
    <col min="6" max="6" width="11.25" style="44" customWidth="1"/>
    <col min="7" max="7" width="3.125" style="44" customWidth="1"/>
    <col min="8" max="8" width="7.875" style="44" customWidth="1"/>
    <col min="9" max="9" width="39.625" style="44" customWidth="1"/>
    <col min="10" max="65" width="3" style="44" customWidth="1"/>
    <col min="66" max="16384" width="9" style="44"/>
  </cols>
  <sheetData>
    <row r="1" spans="1:65" ht="30" customHeight="1" x14ac:dyDescent="0.55000000000000004">
      <c r="A1" s="59" t="s">
        <v>338</v>
      </c>
      <c r="B1" s="121" t="s">
        <v>439</v>
      </c>
      <c r="C1" s="120"/>
      <c r="D1" s="117"/>
      <c r="E1" s="119"/>
      <c r="F1" s="118"/>
      <c r="H1" s="117"/>
      <c r="I1" s="117"/>
      <c r="J1" s="49" t="s">
        <v>336</v>
      </c>
    </row>
    <row r="2" spans="1:65" ht="30" customHeight="1" x14ac:dyDescent="0.35">
      <c r="A2" s="46" t="s">
        <v>335</v>
      </c>
      <c r="B2" s="116" t="s">
        <v>334</v>
      </c>
      <c r="J2" s="115" t="s">
        <v>333</v>
      </c>
    </row>
    <row r="3" spans="1:65" ht="30" customHeight="1" x14ac:dyDescent="0.3">
      <c r="A3" s="46" t="s">
        <v>332</v>
      </c>
      <c r="B3" s="114" t="s">
        <v>331</v>
      </c>
      <c r="C3" s="160" t="s">
        <v>330</v>
      </c>
      <c r="D3" s="161"/>
      <c r="E3" s="159">
        <v>43922</v>
      </c>
      <c r="F3" s="159"/>
    </row>
    <row r="4" spans="1:65" ht="30" customHeight="1" x14ac:dyDescent="0.3">
      <c r="A4" s="59" t="s">
        <v>329</v>
      </c>
      <c r="C4" s="160" t="s">
        <v>328</v>
      </c>
      <c r="D4" s="161"/>
      <c r="E4" s="113">
        <v>1</v>
      </c>
      <c r="J4" s="156">
        <f>J5</f>
        <v>43919</v>
      </c>
      <c r="K4" s="157"/>
      <c r="L4" s="157"/>
      <c r="M4" s="157"/>
      <c r="N4" s="157"/>
      <c r="O4" s="157"/>
      <c r="P4" s="158"/>
      <c r="Q4" s="156">
        <f>Q5</f>
        <v>43926</v>
      </c>
      <c r="R4" s="157"/>
      <c r="S4" s="157"/>
      <c r="T4" s="157"/>
      <c r="U4" s="157"/>
      <c r="V4" s="157"/>
      <c r="W4" s="158"/>
      <c r="X4" s="156">
        <f>X5</f>
        <v>43933</v>
      </c>
      <c r="Y4" s="157"/>
      <c r="Z4" s="157"/>
      <c r="AA4" s="157"/>
      <c r="AB4" s="157"/>
      <c r="AC4" s="157"/>
      <c r="AD4" s="158"/>
      <c r="AE4" s="156">
        <f>AE5</f>
        <v>43940</v>
      </c>
      <c r="AF4" s="157"/>
      <c r="AG4" s="157"/>
      <c r="AH4" s="157"/>
      <c r="AI4" s="157"/>
      <c r="AJ4" s="157"/>
      <c r="AK4" s="158"/>
      <c r="AL4" s="156">
        <f>AL5</f>
        <v>43947</v>
      </c>
      <c r="AM4" s="157"/>
      <c r="AN4" s="157"/>
      <c r="AO4" s="157"/>
      <c r="AP4" s="157"/>
      <c r="AQ4" s="157"/>
      <c r="AR4" s="158"/>
      <c r="AS4" s="156">
        <f>AS5</f>
        <v>43954</v>
      </c>
      <c r="AT4" s="157"/>
      <c r="AU4" s="157"/>
      <c r="AV4" s="157"/>
      <c r="AW4" s="157"/>
      <c r="AX4" s="157"/>
      <c r="AY4" s="158"/>
      <c r="AZ4" s="156">
        <f>AZ5</f>
        <v>43961</v>
      </c>
      <c r="BA4" s="157"/>
      <c r="BB4" s="157"/>
      <c r="BC4" s="157"/>
      <c r="BD4" s="157"/>
      <c r="BE4" s="157"/>
      <c r="BF4" s="158"/>
      <c r="BG4" s="156">
        <f>BG5</f>
        <v>43968</v>
      </c>
      <c r="BH4" s="157"/>
      <c r="BI4" s="157"/>
      <c r="BJ4" s="157"/>
      <c r="BK4" s="157"/>
      <c r="BL4" s="157"/>
      <c r="BM4" s="158"/>
    </row>
    <row r="5" spans="1:65" ht="15" customHeight="1" x14ac:dyDescent="0.3">
      <c r="A5" s="59" t="s">
        <v>327</v>
      </c>
      <c r="B5" s="162"/>
      <c r="C5" s="162"/>
      <c r="D5" s="162"/>
      <c r="E5" s="162"/>
      <c r="F5" s="162"/>
      <c r="G5" s="162"/>
      <c r="J5" s="112">
        <f>Project_Start-WEEKDAY(Project_Start,1)+1+7*(Display_Week-1)</f>
        <v>43919</v>
      </c>
      <c r="K5" s="111">
        <f t="shared" ref="K5:BM5" si="0">J5+1</f>
        <v>43920</v>
      </c>
      <c r="L5" s="111">
        <f t="shared" si="0"/>
        <v>43921</v>
      </c>
      <c r="M5" s="111">
        <f t="shared" si="0"/>
        <v>43922</v>
      </c>
      <c r="N5" s="111">
        <f t="shared" si="0"/>
        <v>43923</v>
      </c>
      <c r="O5" s="111">
        <f t="shared" si="0"/>
        <v>43924</v>
      </c>
      <c r="P5" s="110">
        <f t="shared" si="0"/>
        <v>43925</v>
      </c>
      <c r="Q5" s="112">
        <f t="shared" si="0"/>
        <v>43926</v>
      </c>
      <c r="R5" s="111">
        <f t="shared" si="0"/>
        <v>43927</v>
      </c>
      <c r="S5" s="111">
        <f t="shared" si="0"/>
        <v>43928</v>
      </c>
      <c r="T5" s="111">
        <f t="shared" si="0"/>
        <v>43929</v>
      </c>
      <c r="U5" s="111">
        <f t="shared" si="0"/>
        <v>43930</v>
      </c>
      <c r="V5" s="111">
        <f t="shared" si="0"/>
        <v>43931</v>
      </c>
      <c r="W5" s="110">
        <f t="shared" si="0"/>
        <v>43932</v>
      </c>
      <c r="X5" s="112">
        <f t="shared" si="0"/>
        <v>43933</v>
      </c>
      <c r="Y5" s="111">
        <f t="shared" si="0"/>
        <v>43934</v>
      </c>
      <c r="Z5" s="111">
        <f t="shared" si="0"/>
        <v>43935</v>
      </c>
      <c r="AA5" s="111">
        <f t="shared" si="0"/>
        <v>43936</v>
      </c>
      <c r="AB5" s="111">
        <f t="shared" si="0"/>
        <v>43937</v>
      </c>
      <c r="AC5" s="111">
        <f t="shared" si="0"/>
        <v>43938</v>
      </c>
      <c r="AD5" s="110">
        <f t="shared" si="0"/>
        <v>43939</v>
      </c>
      <c r="AE5" s="112">
        <f t="shared" si="0"/>
        <v>43940</v>
      </c>
      <c r="AF5" s="111">
        <f t="shared" si="0"/>
        <v>43941</v>
      </c>
      <c r="AG5" s="111">
        <f t="shared" si="0"/>
        <v>43942</v>
      </c>
      <c r="AH5" s="111">
        <f t="shared" si="0"/>
        <v>43943</v>
      </c>
      <c r="AI5" s="111">
        <f t="shared" si="0"/>
        <v>43944</v>
      </c>
      <c r="AJ5" s="111">
        <f t="shared" si="0"/>
        <v>43945</v>
      </c>
      <c r="AK5" s="110">
        <f t="shared" si="0"/>
        <v>43946</v>
      </c>
      <c r="AL5" s="112">
        <f t="shared" si="0"/>
        <v>43947</v>
      </c>
      <c r="AM5" s="111">
        <f t="shared" si="0"/>
        <v>43948</v>
      </c>
      <c r="AN5" s="111">
        <f t="shared" si="0"/>
        <v>43949</v>
      </c>
      <c r="AO5" s="111">
        <f t="shared" si="0"/>
        <v>43950</v>
      </c>
      <c r="AP5" s="111">
        <f t="shared" si="0"/>
        <v>43951</v>
      </c>
      <c r="AQ5" s="111">
        <f t="shared" si="0"/>
        <v>43952</v>
      </c>
      <c r="AR5" s="110">
        <f t="shared" si="0"/>
        <v>43953</v>
      </c>
      <c r="AS5" s="112">
        <f t="shared" si="0"/>
        <v>43954</v>
      </c>
      <c r="AT5" s="111">
        <f t="shared" si="0"/>
        <v>43955</v>
      </c>
      <c r="AU5" s="111">
        <f t="shared" si="0"/>
        <v>43956</v>
      </c>
      <c r="AV5" s="111">
        <f t="shared" si="0"/>
        <v>43957</v>
      </c>
      <c r="AW5" s="111">
        <f t="shared" si="0"/>
        <v>43958</v>
      </c>
      <c r="AX5" s="111">
        <f t="shared" si="0"/>
        <v>43959</v>
      </c>
      <c r="AY5" s="110">
        <f t="shared" si="0"/>
        <v>43960</v>
      </c>
      <c r="AZ5" s="112">
        <f t="shared" si="0"/>
        <v>43961</v>
      </c>
      <c r="BA5" s="111">
        <f t="shared" si="0"/>
        <v>43962</v>
      </c>
      <c r="BB5" s="111">
        <f t="shared" si="0"/>
        <v>43963</v>
      </c>
      <c r="BC5" s="111">
        <f t="shared" si="0"/>
        <v>43964</v>
      </c>
      <c r="BD5" s="111">
        <f t="shared" si="0"/>
        <v>43965</v>
      </c>
      <c r="BE5" s="111">
        <f t="shared" si="0"/>
        <v>43966</v>
      </c>
      <c r="BF5" s="110">
        <f t="shared" si="0"/>
        <v>43967</v>
      </c>
      <c r="BG5" s="112">
        <f t="shared" si="0"/>
        <v>43968</v>
      </c>
      <c r="BH5" s="111">
        <f t="shared" si="0"/>
        <v>43969</v>
      </c>
      <c r="BI5" s="111">
        <f t="shared" si="0"/>
        <v>43970</v>
      </c>
      <c r="BJ5" s="111">
        <f t="shared" si="0"/>
        <v>43971</v>
      </c>
      <c r="BK5" s="111">
        <f t="shared" si="0"/>
        <v>43972</v>
      </c>
      <c r="BL5" s="111">
        <f t="shared" si="0"/>
        <v>43973</v>
      </c>
      <c r="BM5" s="110">
        <f t="shared" si="0"/>
        <v>43974</v>
      </c>
    </row>
    <row r="6" spans="1:65" ht="30" customHeight="1" thickBot="1" x14ac:dyDescent="0.35">
      <c r="A6" s="59" t="s">
        <v>326</v>
      </c>
      <c r="B6" s="109" t="s">
        <v>325</v>
      </c>
      <c r="C6" s="108" t="s">
        <v>324</v>
      </c>
      <c r="D6" s="108" t="s">
        <v>323</v>
      </c>
      <c r="E6" s="108" t="s">
        <v>322</v>
      </c>
      <c r="F6" s="108" t="s">
        <v>321</v>
      </c>
      <c r="G6" s="108"/>
      <c r="H6" s="108" t="s">
        <v>320</v>
      </c>
      <c r="I6" s="107" t="s">
        <v>319</v>
      </c>
      <c r="J6" s="106" t="str">
        <f t="shared" ref="J6:BM6" si="1">LEFT(TEXT(J5,"aaa"),1)</f>
        <v>日</v>
      </c>
      <c r="K6" s="106" t="str">
        <f t="shared" si="1"/>
        <v>一</v>
      </c>
      <c r="L6" s="106" t="str">
        <f t="shared" si="1"/>
        <v>二</v>
      </c>
      <c r="M6" s="106" t="str">
        <f t="shared" si="1"/>
        <v>三</v>
      </c>
      <c r="N6" s="106" t="str">
        <f t="shared" si="1"/>
        <v>四</v>
      </c>
      <c r="O6" s="106" t="str">
        <f t="shared" si="1"/>
        <v>五</v>
      </c>
      <c r="P6" s="106" t="str">
        <f t="shared" si="1"/>
        <v>六</v>
      </c>
      <c r="Q6" s="106" t="str">
        <f t="shared" si="1"/>
        <v>日</v>
      </c>
      <c r="R6" s="106" t="str">
        <f t="shared" si="1"/>
        <v>一</v>
      </c>
      <c r="S6" s="106" t="str">
        <f t="shared" si="1"/>
        <v>二</v>
      </c>
      <c r="T6" s="106" t="str">
        <f t="shared" si="1"/>
        <v>三</v>
      </c>
      <c r="U6" s="106" t="str">
        <f t="shared" si="1"/>
        <v>四</v>
      </c>
      <c r="V6" s="106" t="str">
        <f t="shared" si="1"/>
        <v>五</v>
      </c>
      <c r="W6" s="106" t="str">
        <f t="shared" si="1"/>
        <v>六</v>
      </c>
      <c r="X6" s="106" t="str">
        <f t="shared" si="1"/>
        <v>日</v>
      </c>
      <c r="Y6" s="106" t="str">
        <f t="shared" si="1"/>
        <v>一</v>
      </c>
      <c r="Z6" s="106" t="str">
        <f t="shared" si="1"/>
        <v>二</v>
      </c>
      <c r="AA6" s="106" t="str">
        <f t="shared" si="1"/>
        <v>三</v>
      </c>
      <c r="AB6" s="106" t="str">
        <f t="shared" si="1"/>
        <v>四</v>
      </c>
      <c r="AC6" s="106" t="str">
        <f t="shared" si="1"/>
        <v>五</v>
      </c>
      <c r="AD6" s="106" t="str">
        <f t="shared" si="1"/>
        <v>六</v>
      </c>
      <c r="AE6" s="106" t="str">
        <f t="shared" si="1"/>
        <v>日</v>
      </c>
      <c r="AF6" s="106" t="str">
        <f t="shared" si="1"/>
        <v>一</v>
      </c>
      <c r="AG6" s="106" t="str">
        <f t="shared" si="1"/>
        <v>二</v>
      </c>
      <c r="AH6" s="106" t="str">
        <f t="shared" si="1"/>
        <v>三</v>
      </c>
      <c r="AI6" s="106" t="str">
        <f t="shared" si="1"/>
        <v>四</v>
      </c>
      <c r="AJ6" s="106" t="str">
        <f t="shared" si="1"/>
        <v>五</v>
      </c>
      <c r="AK6" s="106" t="str">
        <f t="shared" si="1"/>
        <v>六</v>
      </c>
      <c r="AL6" s="106" t="str">
        <f t="shared" si="1"/>
        <v>日</v>
      </c>
      <c r="AM6" s="106" t="str">
        <f t="shared" si="1"/>
        <v>一</v>
      </c>
      <c r="AN6" s="106" t="str">
        <f t="shared" si="1"/>
        <v>二</v>
      </c>
      <c r="AO6" s="106" t="str">
        <f t="shared" si="1"/>
        <v>三</v>
      </c>
      <c r="AP6" s="106" t="str">
        <f t="shared" si="1"/>
        <v>四</v>
      </c>
      <c r="AQ6" s="106" t="str">
        <f t="shared" si="1"/>
        <v>五</v>
      </c>
      <c r="AR6" s="106" t="str">
        <f t="shared" si="1"/>
        <v>六</v>
      </c>
      <c r="AS6" s="106" t="str">
        <f t="shared" si="1"/>
        <v>日</v>
      </c>
      <c r="AT6" s="106" t="str">
        <f t="shared" si="1"/>
        <v>一</v>
      </c>
      <c r="AU6" s="106" t="str">
        <f t="shared" si="1"/>
        <v>二</v>
      </c>
      <c r="AV6" s="106" t="str">
        <f t="shared" si="1"/>
        <v>三</v>
      </c>
      <c r="AW6" s="106" t="str">
        <f t="shared" si="1"/>
        <v>四</v>
      </c>
      <c r="AX6" s="106" t="str">
        <f t="shared" si="1"/>
        <v>五</v>
      </c>
      <c r="AY6" s="106" t="str">
        <f t="shared" si="1"/>
        <v>六</v>
      </c>
      <c r="AZ6" s="106" t="str">
        <f t="shared" si="1"/>
        <v>日</v>
      </c>
      <c r="BA6" s="106" t="str">
        <f t="shared" si="1"/>
        <v>一</v>
      </c>
      <c r="BB6" s="106" t="str">
        <f t="shared" si="1"/>
        <v>二</v>
      </c>
      <c r="BC6" s="106" t="str">
        <f t="shared" si="1"/>
        <v>三</v>
      </c>
      <c r="BD6" s="106" t="str">
        <f t="shared" si="1"/>
        <v>四</v>
      </c>
      <c r="BE6" s="106" t="str">
        <f t="shared" si="1"/>
        <v>五</v>
      </c>
      <c r="BF6" s="106" t="str">
        <f t="shared" si="1"/>
        <v>六</v>
      </c>
      <c r="BG6" s="106" t="str">
        <f t="shared" si="1"/>
        <v>日</v>
      </c>
      <c r="BH6" s="106" t="str">
        <f t="shared" si="1"/>
        <v>一</v>
      </c>
      <c r="BI6" s="106" t="str">
        <f t="shared" si="1"/>
        <v>二</v>
      </c>
      <c r="BJ6" s="106" t="str">
        <f t="shared" si="1"/>
        <v>三</v>
      </c>
      <c r="BK6" s="106" t="str">
        <f t="shared" si="1"/>
        <v>四</v>
      </c>
      <c r="BL6" s="106" t="str">
        <f t="shared" si="1"/>
        <v>五</v>
      </c>
      <c r="BM6" s="106" t="str">
        <f t="shared" si="1"/>
        <v>六</v>
      </c>
    </row>
    <row r="7" spans="1:65" ht="30" hidden="1" customHeight="1" thickBot="1" x14ac:dyDescent="0.35">
      <c r="A7" s="46" t="s">
        <v>318</v>
      </c>
      <c r="C7" s="105"/>
      <c r="E7" s="44"/>
      <c r="H7" s="44" t="str">
        <f t="shared" ref="H7:H38" si="2">IF(OR(ISBLANK(task_start),ISBLANK(task_end)),"",task_end-task_start+1)</f>
        <v/>
      </c>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row>
    <row r="8" spans="1:65" s="51" customFormat="1" ht="30" customHeight="1" thickBot="1" x14ac:dyDescent="0.35">
      <c r="A8" s="59" t="s">
        <v>317</v>
      </c>
      <c r="B8" s="104" t="s">
        <v>415</v>
      </c>
      <c r="C8" s="103"/>
      <c r="D8" s="102"/>
      <c r="E8" s="101"/>
      <c r="F8" s="100"/>
      <c r="G8" s="61"/>
      <c r="H8" s="61" t="str">
        <f t="shared" si="2"/>
        <v/>
      </c>
      <c r="I8" s="66"/>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row>
    <row r="9" spans="1:65" s="51" customFormat="1" ht="30" customHeight="1" thickBot="1" x14ac:dyDescent="0.35">
      <c r="A9" s="59" t="s">
        <v>315</v>
      </c>
      <c r="B9" s="99" t="s">
        <v>410</v>
      </c>
      <c r="C9" s="98" t="s">
        <v>408</v>
      </c>
      <c r="D9" s="97">
        <v>0</v>
      </c>
      <c r="E9" s="96">
        <v>43928</v>
      </c>
      <c r="F9" s="96">
        <f>E9+2</f>
        <v>43930</v>
      </c>
      <c r="G9" s="61"/>
      <c r="H9" s="61">
        <f t="shared" si="2"/>
        <v>3</v>
      </c>
      <c r="I9" s="66"/>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row>
    <row r="10" spans="1:65" s="51" customFormat="1" ht="30" customHeight="1" thickBot="1" x14ac:dyDescent="0.35">
      <c r="A10" s="59"/>
      <c r="B10" s="99" t="s">
        <v>411</v>
      </c>
      <c r="C10" s="98" t="s">
        <v>409</v>
      </c>
      <c r="D10" s="97">
        <v>0</v>
      </c>
      <c r="E10" s="96">
        <v>43649</v>
      </c>
      <c r="F10" s="96">
        <f>E10+1</f>
        <v>43650</v>
      </c>
      <c r="G10" s="61"/>
      <c r="H10" s="61">
        <f t="shared" si="2"/>
        <v>2</v>
      </c>
      <c r="I10" s="66"/>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row>
    <row r="11" spans="1:65" s="51" customFormat="1" ht="30" customHeight="1" thickBot="1" x14ac:dyDescent="0.35">
      <c r="A11" s="59" t="s">
        <v>311</v>
      </c>
      <c r="B11" s="99" t="s">
        <v>412</v>
      </c>
      <c r="C11" s="98" t="s">
        <v>409</v>
      </c>
      <c r="D11" s="97"/>
      <c r="E11" s="96">
        <v>43647</v>
      </c>
      <c r="F11" s="96">
        <f>E11+2</f>
        <v>43649</v>
      </c>
      <c r="G11" s="61"/>
      <c r="H11" s="61">
        <f t="shared" si="2"/>
        <v>3</v>
      </c>
      <c r="I11" s="66"/>
      <c r="J11" s="60"/>
      <c r="K11" s="60"/>
      <c r="L11" s="60"/>
      <c r="M11" s="60"/>
      <c r="N11" s="60"/>
      <c r="O11" s="60"/>
      <c r="P11" s="60"/>
      <c r="Q11" s="60"/>
      <c r="R11" s="60"/>
      <c r="S11" s="60"/>
      <c r="T11" s="60"/>
      <c r="U11" s="60"/>
      <c r="V11" s="90"/>
      <c r="W11" s="9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row>
    <row r="12" spans="1:65" s="51" customFormat="1" ht="30" customHeight="1" thickBot="1" x14ac:dyDescent="0.35">
      <c r="A12" s="46"/>
      <c r="B12" s="99" t="s">
        <v>413</v>
      </c>
      <c r="C12" s="98" t="s">
        <v>409</v>
      </c>
      <c r="D12" s="97"/>
      <c r="E12" s="96">
        <v>43650</v>
      </c>
      <c r="F12" s="96">
        <f>E12+6</f>
        <v>43656</v>
      </c>
      <c r="G12" s="61"/>
      <c r="H12" s="61">
        <f t="shared" si="2"/>
        <v>7</v>
      </c>
      <c r="I12" s="66"/>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row>
    <row r="13" spans="1:65" s="51" customFormat="1" ht="30" customHeight="1" thickBot="1" x14ac:dyDescent="0.35">
      <c r="A13" s="46"/>
      <c r="B13" s="99" t="s">
        <v>414</v>
      </c>
      <c r="C13" s="98" t="s">
        <v>409</v>
      </c>
      <c r="D13" s="97"/>
      <c r="E13" s="96">
        <v>43658</v>
      </c>
      <c r="F13" s="96">
        <f>E13+14</f>
        <v>43672</v>
      </c>
      <c r="G13" s="61"/>
      <c r="H13" s="61">
        <f t="shared" si="2"/>
        <v>15</v>
      </c>
      <c r="I13" s="89"/>
      <c r="J13" s="60"/>
      <c r="K13" s="60"/>
      <c r="L13" s="60"/>
      <c r="M13" s="60"/>
      <c r="N13" s="60"/>
      <c r="O13" s="60"/>
      <c r="P13" s="60"/>
      <c r="Q13" s="60"/>
      <c r="R13" s="60"/>
      <c r="S13" s="60"/>
      <c r="T13" s="60"/>
      <c r="U13" s="60"/>
      <c r="V13" s="60"/>
      <c r="W13" s="60"/>
      <c r="X13" s="60"/>
      <c r="Y13" s="60"/>
      <c r="Z13" s="9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row>
    <row r="14" spans="1:65" s="51" customFormat="1" ht="30" customHeight="1" thickBot="1" x14ac:dyDescent="0.35">
      <c r="A14" s="46"/>
      <c r="B14" s="99" t="s">
        <v>416</v>
      </c>
      <c r="C14" s="98" t="s">
        <v>409</v>
      </c>
      <c r="D14" s="97"/>
      <c r="E14" s="96">
        <v>43661</v>
      </c>
      <c r="F14" s="96">
        <f>E14+10</f>
        <v>43671</v>
      </c>
      <c r="G14" s="61"/>
      <c r="H14" s="61">
        <f t="shared" si="2"/>
        <v>11</v>
      </c>
      <c r="I14" s="66"/>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row>
    <row r="15" spans="1:65" s="51" customFormat="1" ht="30" customHeight="1" thickBot="1" x14ac:dyDescent="0.35">
      <c r="A15" s="46"/>
      <c r="B15" s="99" t="s">
        <v>417</v>
      </c>
      <c r="C15" s="98" t="s">
        <v>409</v>
      </c>
      <c r="D15" s="97"/>
      <c r="E15" s="96">
        <v>43674</v>
      </c>
      <c r="F15" s="96">
        <f>E15+5</f>
        <v>43679</v>
      </c>
      <c r="G15" s="61"/>
      <c r="H15" s="61">
        <f t="shared" si="2"/>
        <v>6</v>
      </c>
      <c r="I15" s="66"/>
      <c r="J15" s="60"/>
      <c r="K15" s="60"/>
      <c r="L15" s="60"/>
      <c r="M15" s="60"/>
      <c r="N15" s="60"/>
      <c r="O15" s="60"/>
      <c r="P15" s="60"/>
      <c r="Q15" s="60"/>
      <c r="R15" s="60"/>
      <c r="S15" s="60"/>
      <c r="T15" s="60"/>
      <c r="U15" s="60"/>
      <c r="V15" s="60"/>
      <c r="W15" s="60"/>
      <c r="X15" s="60"/>
      <c r="Y15" s="60"/>
      <c r="Z15" s="9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row>
    <row r="16" spans="1:65" s="51" customFormat="1" ht="30" customHeight="1" thickBot="1" x14ac:dyDescent="0.35">
      <c r="A16" s="46"/>
      <c r="B16" s="99"/>
      <c r="C16" s="98"/>
      <c r="D16" s="97"/>
      <c r="E16" s="96"/>
      <c r="F16" s="96"/>
      <c r="G16" s="61"/>
      <c r="H16" s="61" t="str">
        <f t="shared" si="2"/>
        <v/>
      </c>
      <c r="I16" s="66"/>
      <c r="J16" s="60"/>
      <c r="K16" s="60"/>
      <c r="L16" s="60"/>
      <c r="M16" s="60"/>
      <c r="N16" s="60"/>
      <c r="O16" s="60"/>
      <c r="P16" s="60"/>
      <c r="Q16" s="60"/>
      <c r="R16" s="60"/>
      <c r="S16" s="60"/>
      <c r="T16" s="60"/>
      <c r="U16" s="60"/>
      <c r="V16" s="60"/>
      <c r="W16" s="60"/>
      <c r="X16" s="60"/>
      <c r="Y16" s="60"/>
      <c r="Z16" s="9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s="51" customFormat="1" ht="30" customHeight="1" thickBot="1" x14ac:dyDescent="0.35">
      <c r="A17" s="46"/>
      <c r="B17" s="99"/>
      <c r="C17" s="98"/>
      <c r="D17" s="97"/>
      <c r="E17" s="96"/>
      <c r="F17" s="96"/>
      <c r="G17" s="61"/>
      <c r="H17" s="61" t="str">
        <f t="shared" si="2"/>
        <v/>
      </c>
      <c r="I17" s="66"/>
      <c r="J17" s="60"/>
      <c r="K17" s="60"/>
      <c r="L17" s="60"/>
      <c r="M17" s="60"/>
      <c r="N17" s="60"/>
      <c r="O17" s="60"/>
      <c r="P17" s="60"/>
      <c r="Q17" s="60"/>
      <c r="R17" s="60"/>
      <c r="S17" s="60"/>
      <c r="T17" s="60"/>
      <c r="U17" s="60"/>
      <c r="V17" s="60"/>
      <c r="W17" s="60"/>
      <c r="X17" s="60"/>
      <c r="Y17" s="60"/>
      <c r="Z17" s="9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row>
    <row r="18" spans="1:65" s="51" customFormat="1" ht="30" customHeight="1" thickBot="1" x14ac:dyDescent="0.35">
      <c r="A18" s="46"/>
      <c r="B18" s="99"/>
      <c r="C18" s="98"/>
      <c r="D18" s="97"/>
      <c r="E18" s="96"/>
      <c r="F18" s="96"/>
      <c r="G18" s="61"/>
      <c r="H18" s="61" t="str">
        <f t="shared" si="2"/>
        <v/>
      </c>
      <c r="I18" s="89"/>
      <c r="J18" s="60"/>
      <c r="K18" s="60"/>
      <c r="L18" s="60"/>
      <c r="M18" s="60"/>
      <c r="N18" s="60"/>
      <c r="O18" s="60"/>
      <c r="P18" s="60"/>
      <c r="Q18" s="60"/>
      <c r="R18" s="60"/>
      <c r="S18" s="60"/>
      <c r="T18" s="60"/>
      <c r="U18" s="60"/>
      <c r="V18" s="60"/>
      <c r="W18" s="60"/>
      <c r="X18" s="60"/>
      <c r="Y18" s="60"/>
      <c r="Z18" s="9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row>
    <row r="19" spans="1:65" s="51" customFormat="1" ht="30" customHeight="1" thickBot="1" x14ac:dyDescent="0.35">
      <c r="A19" s="46"/>
      <c r="B19" s="99"/>
      <c r="C19" s="98"/>
      <c r="D19" s="97"/>
      <c r="E19" s="96"/>
      <c r="F19" s="96"/>
      <c r="G19" s="61"/>
      <c r="H19" s="61" t="str">
        <f t="shared" si="2"/>
        <v/>
      </c>
      <c r="I19" s="89"/>
      <c r="J19" s="60"/>
      <c r="K19" s="60"/>
      <c r="L19" s="60"/>
      <c r="M19" s="60"/>
      <c r="N19" s="60"/>
      <c r="O19" s="60"/>
      <c r="P19" s="60"/>
      <c r="Q19" s="60"/>
      <c r="R19" s="60"/>
      <c r="S19" s="60"/>
      <c r="T19" s="60"/>
      <c r="U19" s="60"/>
      <c r="V19" s="60"/>
      <c r="W19" s="60"/>
      <c r="X19" s="60"/>
      <c r="Y19" s="60"/>
      <c r="Z19" s="9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row>
    <row r="20" spans="1:65" s="51" customFormat="1" ht="30" customHeight="1" thickBot="1" x14ac:dyDescent="0.35">
      <c r="A20" s="46"/>
      <c r="B20" s="99"/>
      <c r="C20" s="98"/>
      <c r="D20" s="97"/>
      <c r="E20" s="96"/>
      <c r="F20" s="96"/>
      <c r="G20" s="61"/>
      <c r="H20" s="61" t="str">
        <f t="shared" si="2"/>
        <v/>
      </c>
      <c r="I20" s="66"/>
      <c r="J20" s="60"/>
      <c r="K20" s="60"/>
      <c r="L20" s="60"/>
      <c r="M20" s="60"/>
      <c r="N20" s="60"/>
      <c r="O20" s="60"/>
      <c r="P20" s="60"/>
      <c r="Q20" s="60"/>
      <c r="R20" s="60"/>
      <c r="S20" s="60"/>
      <c r="T20" s="60"/>
      <c r="U20" s="60"/>
      <c r="V20" s="60"/>
      <c r="W20" s="60"/>
      <c r="X20" s="60"/>
      <c r="Y20" s="60"/>
      <c r="Z20" s="9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row>
    <row r="21" spans="1:65" s="51" customFormat="1" ht="30" customHeight="1" thickBot="1" x14ac:dyDescent="0.35">
      <c r="A21" s="46"/>
      <c r="B21" s="99"/>
      <c r="C21" s="98"/>
      <c r="D21" s="97"/>
      <c r="E21" s="96"/>
      <c r="F21" s="96"/>
      <c r="G21" s="61"/>
      <c r="H21" s="61" t="str">
        <f t="shared" si="2"/>
        <v/>
      </c>
      <c r="I21" s="66"/>
      <c r="J21" s="60"/>
      <c r="K21" s="60"/>
      <c r="L21" s="60"/>
      <c r="M21" s="60"/>
      <c r="N21" s="60"/>
      <c r="O21" s="60"/>
      <c r="P21" s="60"/>
      <c r="Q21" s="60"/>
      <c r="R21" s="60"/>
      <c r="S21" s="60"/>
      <c r="T21" s="60"/>
      <c r="U21" s="60"/>
      <c r="V21" s="60"/>
      <c r="W21" s="60"/>
      <c r="X21" s="60"/>
      <c r="Y21" s="60"/>
      <c r="Z21" s="9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row>
    <row r="22" spans="1:65" s="51" customFormat="1" ht="30" customHeight="1" thickBot="1" x14ac:dyDescent="0.35">
      <c r="A22" s="46"/>
      <c r="B22" s="99"/>
      <c r="C22" s="98"/>
      <c r="D22" s="97"/>
      <c r="E22" s="96"/>
      <c r="F22" s="96"/>
      <c r="G22" s="61"/>
      <c r="H22" s="61" t="str">
        <f t="shared" si="2"/>
        <v/>
      </c>
      <c r="I22" s="89"/>
      <c r="J22" s="60"/>
      <c r="K22" s="60"/>
      <c r="L22" s="60"/>
      <c r="M22" s="60"/>
      <c r="N22" s="60"/>
      <c r="O22" s="60"/>
      <c r="P22" s="60"/>
      <c r="Q22" s="60"/>
      <c r="R22" s="60"/>
      <c r="S22" s="60"/>
      <c r="T22" s="60"/>
      <c r="U22" s="60"/>
      <c r="V22" s="60"/>
      <c r="W22" s="60"/>
      <c r="X22" s="60"/>
      <c r="Y22" s="60"/>
      <c r="Z22" s="9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row>
    <row r="23" spans="1:65" s="51" customFormat="1" ht="30" customHeight="1" thickBot="1" x14ac:dyDescent="0.35">
      <c r="A23" s="46"/>
      <c r="B23" s="99"/>
      <c r="C23" s="98"/>
      <c r="D23" s="97"/>
      <c r="E23" s="96"/>
      <c r="F23" s="96"/>
      <c r="G23" s="61"/>
      <c r="H23" s="61" t="str">
        <f t="shared" si="2"/>
        <v/>
      </c>
      <c r="I23" s="89"/>
      <c r="J23" s="60"/>
      <c r="K23" s="60"/>
      <c r="L23" s="60"/>
      <c r="M23" s="60"/>
      <c r="N23" s="60"/>
      <c r="O23" s="60"/>
      <c r="P23" s="60"/>
      <c r="Q23" s="60"/>
      <c r="R23" s="60"/>
      <c r="S23" s="60"/>
      <c r="T23" s="60"/>
      <c r="U23" s="60"/>
      <c r="V23" s="60"/>
      <c r="W23" s="60"/>
      <c r="X23" s="60"/>
      <c r="Y23" s="60"/>
      <c r="Z23" s="9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row>
    <row r="24" spans="1:65" s="51" customFormat="1" ht="30" customHeight="1" thickBot="1" x14ac:dyDescent="0.35">
      <c r="A24" s="46"/>
      <c r="B24" s="99"/>
      <c r="C24" s="98"/>
      <c r="D24" s="97"/>
      <c r="E24" s="96"/>
      <c r="F24" s="96"/>
      <c r="G24" s="61"/>
      <c r="H24" s="61" t="str">
        <f t="shared" si="2"/>
        <v/>
      </c>
      <c r="I24" s="66"/>
      <c r="J24" s="60"/>
      <c r="K24" s="60"/>
      <c r="L24" s="60"/>
      <c r="M24" s="60"/>
      <c r="N24" s="60"/>
      <c r="O24" s="60"/>
      <c r="P24" s="60"/>
      <c r="Q24" s="60"/>
      <c r="R24" s="60"/>
      <c r="S24" s="60"/>
      <c r="T24" s="60"/>
      <c r="U24" s="60"/>
      <c r="V24" s="60"/>
      <c r="W24" s="60"/>
      <c r="X24" s="60"/>
      <c r="Y24" s="60"/>
      <c r="Z24" s="9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row>
    <row r="25" spans="1:65" s="51" customFormat="1" ht="30" customHeight="1" thickBot="1" x14ac:dyDescent="0.35">
      <c r="A25" s="46"/>
      <c r="B25" s="99"/>
      <c r="C25" s="98"/>
      <c r="D25" s="97"/>
      <c r="E25" s="96"/>
      <c r="F25" s="96"/>
      <c r="G25" s="61"/>
      <c r="H25" s="61" t="str">
        <f t="shared" si="2"/>
        <v/>
      </c>
      <c r="I25" s="66"/>
      <c r="J25" s="60"/>
      <c r="K25" s="60"/>
      <c r="L25" s="60"/>
      <c r="M25" s="60"/>
      <c r="N25" s="60"/>
      <c r="O25" s="60"/>
      <c r="P25" s="60"/>
      <c r="Q25" s="60"/>
      <c r="R25" s="60"/>
      <c r="S25" s="60"/>
      <c r="T25" s="60"/>
      <c r="U25" s="60"/>
      <c r="V25" s="60"/>
      <c r="W25" s="60"/>
      <c r="X25" s="60"/>
      <c r="Y25" s="60"/>
      <c r="Z25" s="9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row>
    <row r="26" spans="1:65" s="51" customFormat="1" ht="30" customHeight="1" thickBot="1" x14ac:dyDescent="0.35">
      <c r="A26" s="46"/>
      <c r="B26" s="99"/>
      <c r="C26" s="98"/>
      <c r="D26" s="97"/>
      <c r="E26" s="96"/>
      <c r="F26" s="96"/>
      <c r="G26" s="61"/>
      <c r="H26" s="61" t="str">
        <f t="shared" si="2"/>
        <v/>
      </c>
      <c r="I26" s="66"/>
      <c r="J26" s="60"/>
      <c r="K26" s="60"/>
      <c r="L26" s="60"/>
      <c r="M26" s="60"/>
      <c r="N26" s="60"/>
      <c r="O26" s="60"/>
      <c r="P26" s="60"/>
      <c r="Q26" s="60"/>
      <c r="R26" s="60"/>
      <c r="S26" s="60"/>
      <c r="T26" s="60"/>
      <c r="U26" s="60"/>
      <c r="V26" s="60"/>
      <c r="W26" s="60"/>
      <c r="X26" s="60"/>
      <c r="Y26" s="60"/>
      <c r="Z26" s="9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row>
    <row r="27" spans="1:65" s="51" customFormat="1" ht="30" customHeight="1" thickBot="1" x14ac:dyDescent="0.35">
      <c r="A27" s="46"/>
      <c r="B27" s="99"/>
      <c r="C27" s="98"/>
      <c r="D27" s="97"/>
      <c r="E27" s="96"/>
      <c r="F27" s="96"/>
      <c r="G27" s="61"/>
      <c r="H27" s="61" t="str">
        <f t="shared" si="2"/>
        <v/>
      </c>
      <c r="I27" s="89"/>
      <c r="J27" s="60"/>
      <c r="K27" s="60"/>
      <c r="L27" s="60"/>
      <c r="M27" s="60"/>
      <c r="N27" s="60"/>
      <c r="O27" s="60"/>
      <c r="P27" s="60"/>
      <c r="Q27" s="60"/>
      <c r="R27" s="60"/>
      <c r="S27" s="60"/>
      <c r="T27" s="60"/>
      <c r="U27" s="60"/>
      <c r="V27" s="60"/>
      <c r="W27" s="60"/>
      <c r="X27" s="60"/>
      <c r="Y27" s="60"/>
      <c r="Z27" s="9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row>
    <row r="28" spans="1:65" s="51" customFormat="1" ht="30" customHeight="1" thickBot="1" x14ac:dyDescent="0.35">
      <c r="A28" s="46"/>
      <c r="B28" s="99"/>
      <c r="C28" s="98"/>
      <c r="D28" s="97"/>
      <c r="E28" s="96"/>
      <c r="F28" s="96"/>
      <c r="G28" s="61"/>
      <c r="H28" s="61" t="str">
        <f t="shared" si="2"/>
        <v/>
      </c>
      <c r="I28" s="66"/>
      <c r="J28" s="60"/>
      <c r="K28" s="60"/>
      <c r="L28" s="60"/>
      <c r="M28" s="60"/>
      <c r="N28" s="60"/>
      <c r="O28" s="60"/>
      <c r="P28" s="60"/>
      <c r="Q28" s="60"/>
      <c r="R28" s="60"/>
      <c r="S28" s="60"/>
      <c r="T28" s="60"/>
      <c r="U28" s="60"/>
      <c r="V28" s="60"/>
      <c r="W28" s="60"/>
      <c r="X28" s="60"/>
      <c r="Y28" s="60"/>
      <c r="Z28" s="9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row>
    <row r="29" spans="1:65" s="51" customFormat="1" ht="30" customHeight="1" thickBot="1" x14ac:dyDescent="0.35">
      <c r="A29" s="46"/>
      <c r="B29" s="99"/>
      <c r="C29" s="98"/>
      <c r="D29" s="97"/>
      <c r="E29" s="96"/>
      <c r="F29" s="96"/>
      <c r="G29" s="61"/>
      <c r="H29" s="61" t="str">
        <f t="shared" si="2"/>
        <v/>
      </c>
      <c r="I29" s="66"/>
      <c r="J29" s="60"/>
      <c r="K29" s="60"/>
      <c r="L29" s="60"/>
      <c r="M29" s="60"/>
      <c r="N29" s="60"/>
      <c r="O29" s="60"/>
      <c r="P29" s="60"/>
      <c r="Q29" s="60"/>
      <c r="R29" s="60"/>
      <c r="S29" s="60"/>
      <c r="T29" s="60"/>
      <c r="U29" s="60"/>
      <c r="V29" s="60"/>
      <c r="W29" s="60"/>
      <c r="X29" s="60"/>
      <c r="Y29" s="60"/>
      <c r="Z29" s="9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row>
    <row r="30" spans="1:65" s="51" customFormat="1" ht="30" customHeight="1" thickBot="1" x14ac:dyDescent="0.35">
      <c r="A30" s="46"/>
      <c r="B30" s="99"/>
      <c r="C30" s="98"/>
      <c r="D30" s="97"/>
      <c r="E30" s="96"/>
      <c r="F30" s="96"/>
      <c r="G30" s="61"/>
      <c r="H30" s="61" t="str">
        <f t="shared" si="2"/>
        <v/>
      </c>
      <c r="I30" s="89"/>
      <c r="J30" s="60"/>
      <c r="K30" s="60"/>
      <c r="L30" s="60"/>
      <c r="M30" s="60"/>
      <c r="N30" s="60"/>
      <c r="O30" s="60"/>
      <c r="P30" s="60"/>
      <c r="Q30" s="60"/>
      <c r="R30" s="60"/>
      <c r="S30" s="60"/>
      <c r="T30" s="60"/>
      <c r="U30" s="60"/>
      <c r="V30" s="60"/>
      <c r="W30" s="60"/>
      <c r="X30" s="60"/>
      <c r="Y30" s="60"/>
      <c r="Z30" s="9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row>
    <row r="31" spans="1:65" s="51" customFormat="1" ht="30" customHeight="1" thickBot="1" x14ac:dyDescent="0.35">
      <c r="A31" s="46"/>
      <c r="B31" s="99"/>
      <c r="C31" s="98"/>
      <c r="D31" s="97"/>
      <c r="E31" s="96"/>
      <c r="F31" s="96"/>
      <c r="G31" s="61"/>
      <c r="H31" s="61" t="str">
        <f t="shared" si="2"/>
        <v/>
      </c>
      <c r="I31" s="66"/>
      <c r="J31" s="60"/>
      <c r="K31" s="60"/>
      <c r="L31" s="60"/>
      <c r="M31" s="60"/>
      <c r="N31" s="60"/>
      <c r="O31" s="60"/>
      <c r="P31" s="60"/>
      <c r="Q31" s="60"/>
      <c r="R31" s="60"/>
      <c r="S31" s="60"/>
      <c r="T31" s="60"/>
      <c r="U31" s="60"/>
      <c r="V31" s="60"/>
      <c r="W31" s="60"/>
      <c r="X31" s="60"/>
      <c r="Y31" s="60"/>
      <c r="Z31" s="9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row>
    <row r="32" spans="1:65" s="51" customFormat="1" ht="30" customHeight="1" thickBot="1" x14ac:dyDescent="0.35">
      <c r="A32" s="46"/>
      <c r="B32" s="99"/>
      <c r="C32" s="98"/>
      <c r="D32" s="97"/>
      <c r="E32" s="96"/>
      <c r="F32" s="96"/>
      <c r="G32" s="61"/>
      <c r="H32" s="61" t="str">
        <f t="shared" si="2"/>
        <v/>
      </c>
      <c r="I32" s="66"/>
      <c r="J32" s="60"/>
      <c r="K32" s="60"/>
      <c r="L32" s="60"/>
      <c r="M32" s="60"/>
      <c r="N32" s="60"/>
      <c r="O32" s="60"/>
      <c r="P32" s="60"/>
      <c r="Q32" s="60"/>
      <c r="R32" s="60"/>
      <c r="S32" s="60"/>
      <c r="T32" s="60"/>
      <c r="U32" s="60"/>
      <c r="V32" s="60"/>
      <c r="W32" s="60"/>
      <c r="X32" s="60"/>
      <c r="Y32" s="60"/>
      <c r="Z32" s="9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row>
    <row r="33" spans="1:65" s="51" customFormat="1" ht="30" customHeight="1" thickBot="1" x14ac:dyDescent="0.35">
      <c r="A33" s="46"/>
      <c r="B33" s="99"/>
      <c r="C33" s="98"/>
      <c r="D33" s="97"/>
      <c r="E33" s="96"/>
      <c r="F33" s="96"/>
      <c r="G33" s="61"/>
      <c r="H33" s="61" t="str">
        <f t="shared" si="2"/>
        <v/>
      </c>
      <c r="I33" s="66"/>
      <c r="J33" s="60"/>
      <c r="K33" s="60"/>
      <c r="L33" s="60"/>
      <c r="M33" s="60"/>
      <c r="N33" s="60"/>
      <c r="O33" s="60"/>
      <c r="P33" s="60"/>
      <c r="Q33" s="60"/>
      <c r="R33" s="60"/>
      <c r="S33" s="60"/>
      <c r="T33" s="60"/>
      <c r="U33" s="60"/>
      <c r="V33" s="60"/>
      <c r="W33" s="60"/>
      <c r="X33" s="60"/>
      <c r="Y33" s="60"/>
      <c r="Z33" s="9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row>
    <row r="34" spans="1:65" s="51" customFormat="1" ht="30" customHeight="1" thickBot="1" x14ac:dyDescent="0.35">
      <c r="A34" s="59" t="s">
        <v>275</v>
      </c>
      <c r="B34" s="95" t="s">
        <v>418</v>
      </c>
      <c r="C34" s="94"/>
      <c r="D34" s="93"/>
      <c r="E34" s="92"/>
      <c r="F34" s="91"/>
      <c r="G34" s="61"/>
      <c r="H34" s="61" t="str">
        <f t="shared" si="2"/>
        <v/>
      </c>
      <c r="I34" s="66"/>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row>
    <row r="35" spans="1:65" s="51" customFormat="1" ht="30" customHeight="1" thickBot="1" x14ac:dyDescent="0.35">
      <c r="A35" s="59"/>
      <c r="B35" s="88" t="s">
        <v>419</v>
      </c>
      <c r="C35" s="87" t="s">
        <v>200</v>
      </c>
      <c r="D35" s="87"/>
      <c r="E35" s="86"/>
      <c r="F35" s="86"/>
      <c r="G35" s="61"/>
      <c r="H35" s="61" t="str">
        <f t="shared" si="2"/>
        <v/>
      </c>
      <c r="I35" s="66"/>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row>
    <row r="36" spans="1:65" s="51" customFormat="1" ht="30" customHeight="1" thickBot="1" x14ac:dyDescent="0.35">
      <c r="A36" s="59"/>
      <c r="B36" s="88" t="s">
        <v>420</v>
      </c>
      <c r="C36" s="87" t="s">
        <v>421</v>
      </c>
      <c r="D36" s="87"/>
      <c r="E36" s="86"/>
      <c r="F36" s="86"/>
      <c r="G36" s="61"/>
      <c r="H36" s="61" t="str">
        <f t="shared" si="2"/>
        <v/>
      </c>
      <c r="I36" s="89"/>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row>
    <row r="37" spans="1:65" s="51" customFormat="1" ht="30" customHeight="1" thickBot="1" x14ac:dyDescent="0.35">
      <c r="A37" s="46"/>
      <c r="B37" s="88" t="s">
        <v>423</v>
      </c>
      <c r="C37" s="87" t="s">
        <v>121</v>
      </c>
      <c r="D37" s="87"/>
      <c r="E37" s="86"/>
      <c r="F37" s="86"/>
      <c r="G37" s="61"/>
      <c r="H37" s="61" t="str">
        <f t="shared" si="2"/>
        <v/>
      </c>
      <c r="I37" s="66"/>
      <c r="J37" s="60"/>
      <c r="K37" s="60"/>
      <c r="L37" s="60"/>
      <c r="M37" s="60"/>
      <c r="N37" s="60"/>
      <c r="O37" s="60"/>
      <c r="P37" s="60"/>
      <c r="Q37" s="60"/>
      <c r="R37" s="60"/>
      <c r="S37" s="60"/>
      <c r="T37" s="60"/>
      <c r="U37" s="60"/>
      <c r="V37" s="90"/>
      <c r="W37" s="9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row>
    <row r="38" spans="1:65" s="51" customFormat="1" ht="30" customHeight="1" thickBot="1" x14ac:dyDescent="0.35">
      <c r="A38" s="46"/>
      <c r="B38" s="88" t="s">
        <v>422</v>
      </c>
      <c r="C38" s="87" t="s">
        <v>121</v>
      </c>
      <c r="D38" s="87"/>
      <c r="E38" s="86"/>
      <c r="F38" s="86"/>
      <c r="G38" s="61"/>
      <c r="H38" s="61" t="str">
        <f t="shared" si="2"/>
        <v/>
      </c>
      <c r="I38" s="89"/>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row>
    <row r="39" spans="1:65" s="51" customFormat="1" ht="30" customHeight="1" thickBot="1" x14ac:dyDescent="0.35">
      <c r="A39" s="46"/>
      <c r="B39" s="88" t="s">
        <v>425</v>
      </c>
      <c r="C39" s="87" t="s">
        <v>121</v>
      </c>
      <c r="D39" s="87"/>
      <c r="E39" s="86"/>
      <c r="F39" s="86"/>
      <c r="G39" s="61"/>
      <c r="H39" s="61" t="str">
        <f t="shared" ref="H39:H70" si="3">IF(OR(ISBLANK(task_start),ISBLANK(task_end)),"",task_end-task_start+1)</f>
        <v/>
      </c>
      <c r="I39" s="66"/>
      <c r="J39" s="60"/>
      <c r="K39" s="60"/>
      <c r="L39" s="60"/>
      <c r="M39" s="60"/>
      <c r="N39" s="60"/>
      <c r="O39" s="60"/>
      <c r="P39" s="60"/>
      <c r="Q39" s="60"/>
      <c r="R39" s="60"/>
      <c r="S39" s="60"/>
      <c r="T39" s="60"/>
      <c r="U39" s="60"/>
      <c r="V39" s="60"/>
      <c r="W39" s="60"/>
      <c r="X39" s="60"/>
      <c r="Y39" s="60"/>
      <c r="Z39" s="9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row>
    <row r="40" spans="1:65" s="51" customFormat="1" ht="30" customHeight="1" thickBot="1" x14ac:dyDescent="0.35">
      <c r="A40" s="46"/>
      <c r="B40" s="88" t="s">
        <v>424</v>
      </c>
      <c r="C40" s="87" t="s">
        <v>426</v>
      </c>
      <c r="D40" s="87"/>
      <c r="E40" s="86"/>
      <c r="F40" s="86"/>
      <c r="G40" s="61"/>
      <c r="H40" s="61" t="str">
        <f t="shared" si="3"/>
        <v/>
      </c>
      <c r="I40" s="89"/>
      <c r="J40" s="60"/>
      <c r="K40" s="60"/>
      <c r="L40" s="60"/>
      <c r="M40" s="60"/>
      <c r="N40" s="60"/>
      <c r="O40" s="60"/>
      <c r="P40" s="60"/>
      <c r="Q40" s="60"/>
      <c r="R40" s="60"/>
      <c r="S40" s="60"/>
      <c r="T40" s="60"/>
      <c r="U40" s="60"/>
      <c r="V40" s="60"/>
      <c r="W40" s="60"/>
      <c r="X40" s="60"/>
      <c r="Y40" s="60"/>
      <c r="Z40" s="9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row>
    <row r="41" spans="1:65" s="51" customFormat="1" ht="30" customHeight="1" thickBot="1" x14ac:dyDescent="0.35">
      <c r="A41" s="46"/>
      <c r="B41" s="88" t="s">
        <v>427</v>
      </c>
      <c r="C41" s="87" t="s">
        <v>121</v>
      </c>
      <c r="D41" s="87"/>
      <c r="E41" s="86"/>
      <c r="F41" s="86"/>
      <c r="G41" s="61"/>
      <c r="H41" s="61" t="str">
        <f t="shared" si="3"/>
        <v/>
      </c>
      <c r="I41" s="66"/>
      <c r="J41" s="60"/>
      <c r="K41" s="60"/>
      <c r="L41" s="60"/>
      <c r="M41" s="60"/>
      <c r="N41" s="60"/>
      <c r="O41" s="60"/>
      <c r="P41" s="60"/>
      <c r="Q41" s="60"/>
      <c r="R41" s="60"/>
      <c r="S41" s="60"/>
      <c r="T41" s="60"/>
      <c r="U41" s="60"/>
      <c r="V41" s="60"/>
      <c r="W41" s="60"/>
      <c r="X41" s="60"/>
      <c r="Y41" s="60"/>
      <c r="Z41" s="9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row>
    <row r="42" spans="1:65" s="51" customFormat="1" ht="30" customHeight="1" thickBot="1" x14ac:dyDescent="0.35">
      <c r="A42" s="46"/>
      <c r="B42" s="88" t="s">
        <v>428</v>
      </c>
      <c r="C42" s="87"/>
      <c r="D42" s="87"/>
      <c r="E42" s="86"/>
      <c r="F42" s="86"/>
      <c r="G42" s="61"/>
      <c r="H42" s="61" t="str">
        <f t="shared" si="3"/>
        <v/>
      </c>
      <c r="I42" s="66"/>
      <c r="J42" s="60"/>
      <c r="K42" s="60"/>
      <c r="L42" s="60"/>
      <c r="M42" s="60"/>
      <c r="N42" s="60"/>
      <c r="O42" s="60"/>
      <c r="P42" s="60"/>
      <c r="Q42" s="60"/>
      <c r="R42" s="60"/>
      <c r="S42" s="60"/>
      <c r="T42" s="60"/>
      <c r="U42" s="60"/>
      <c r="V42" s="60"/>
      <c r="W42" s="60"/>
      <c r="X42" s="60"/>
      <c r="Y42" s="60"/>
      <c r="Z42" s="9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row>
    <row r="43" spans="1:65" s="51" customFormat="1" ht="30" customHeight="1" thickBot="1" x14ac:dyDescent="0.35">
      <c r="A43" s="46"/>
      <c r="B43" s="88" t="s">
        <v>430</v>
      </c>
      <c r="C43" s="87" t="s">
        <v>121</v>
      </c>
      <c r="D43" s="87"/>
      <c r="E43" s="86"/>
      <c r="F43" s="86"/>
      <c r="G43" s="61"/>
      <c r="H43" s="61" t="str">
        <f t="shared" si="3"/>
        <v/>
      </c>
      <c r="I43" s="66"/>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row>
    <row r="44" spans="1:65" s="51" customFormat="1" ht="30" customHeight="1" thickBot="1" x14ac:dyDescent="0.35">
      <c r="A44" s="46"/>
      <c r="B44" s="88" t="s">
        <v>429</v>
      </c>
      <c r="C44" s="87" t="s">
        <v>121</v>
      </c>
      <c r="D44" s="87"/>
      <c r="E44" s="86"/>
      <c r="F44" s="86"/>
      <c r="G44" s="61"/>
      <c r="H44" s="61" t="str">
        <f t="shared" si="3"/>
        <v/>
      </c>
      <c r="I44" s="89"/>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row>
    <row r="45" spans="1:65" s="51" customFormat="1" ht="30" customHeight="1" thickBot="1" x14ac:dyDescent="0.35">
      <c r="A45" s="46"/>
      <c r="B45" s="88" t="s">
        <v>431</v>
      </c>
      <c r="C45" s="87" t="s">
        <v>121</v>
      </c>
      <c r="D45" s="87"/>
      <c r="E45" s="86"/>
      <c r="F45" s="86"/>
      <c r="G45" s="61"/>
      <c r="H45" s="61" t="str">
        <f t="shared" si="3"/>
        <v/>
      </c>
      <c r="I45" s="89"/>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row>
    <row r="46" spans="1:65" s="51" customFormat="1" ht="30" customHeight="1" thickBot="1" x14ac:dyDescent="0.35">
      <c r="A46" s="46"/>
      <c r="B46" s="88" t="s">
        <v>432</v>
      </c>
      <c r="C46" s="87" t="s">
        <v>121</v>
      </c>
      <c r="D46" s="87"/>
      <c r="E46" s="86"/>
      <c r="F46" s="86"/>
      <c r="G46" s="61"/>
      <c r="H46" s="61" t="str">
        <f t="shared" si="3"/>
        <v/>
      </c>
      <c r="I46" s="66"/>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row>
    <row r="47" spans="1:65" s="51" customFormat="1" ht="30" customHeight="1" thickBot="1" x14ac:dyDescent="0.35">
      <c r="A47" s="46"/>
      <c r="B47" s="88" t="s">
        <v>433</v>
      </c>
      <c r="C47" s="87" t="s">
        <v>121</v>
      </c>
      <c r="D47" s="87"/>
      <c r="E47" s="86"/>
      <c r="F47" s="86"/>
      <c r="G47" s="61"/>
      <c r="H47" s="61" t="str">
        <f t="shared" si="3"/>
        <v/>
      </c>
      <c r="I47" s="66"/>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row>
    <row r="48" spans="1:65" s="51" customFormat="1" ht="30" customHeight="1" thickBot="1" x14ac:dyDescent="0.35">
      <c r="A48" s="46"/>
      <c r="B48" s="88" t="s">
        <v>434</v>
      </c>
      <c r="C48" s="87" t="s">
        <v>121</v>
      </c>
      <c r="D48" s="87"/>
      <c r="E48" s="86"/>
      <c r="F48" s="86"/>
      <c r="G48" s="61"/>
      <c r="H48" s="61" t="str">
        <f t="shared" si="3"/>
        <v/>
      </c>
      <c r="I48" s="66"/>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row>
    <row r="49" spans="1:65" s="51" customFormat="1" ht="30" customHeight="1" thickBot="1" x14ac:dyDescent="0.35">
      <c r="A49" s="46"/>
      <c r="B49" s="88" t="s">
        <v>435</v>
      </c>
      <c r="C49" s="87" t="s">
        <v>121</v>
      </c>
      <c r="D49" s="87"/>
      <c r="E49" s="86"/>
      <c r="F49" s="86"/>
      <c r="G49" s="61"/>
      <c r="H49" s="61" t="str">
        <f t="shared" si="3"/>
        <v/>
      </c>
      <c r="I49" s="66"/>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row>
    <row r="50" spans="1:65" s="51" customFormat="1" ht="30" customHeight="1" thickBot="1" x14ac:dyDescent="0.35">
      <c r="A50" s="46"/>
      <c r="B50" s="88" t="s">
        <v>436</v>
      </c>
      <c r="C50" s="87" t="s">
        <v>121</v>
      </c>
      <c r="D50" s="87"/>
      <c r="E50" s="86"/>
      <c r="F50" s="86"/>
      <c r="G50" s="61"/>
      <c r="H50" s="61" t="str">
        <f t="shared" si="3"/>
        <v/>
      </c>
      <c r="I50" s="66"/>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row>
    <row r="51" spans="1:65" s="51" customFormat="1" ht="30" customHeight="1" thickBot="1" x14ac:dyDescent="0.35">
      <c r="A51" s="46"/>
      <c r="B51" s="88" t="s">
        <v>437</v>
      </c>
      <c r="C51" s="87" t="s">
        <v>121</v>
      </c>
      <c r="D51" s="87"/>
      <c r="E51" s="86"/>
      <c r="F51" s="86"/>
      <c r="G51" s="61"/>
      <c r="H51" s="61" t="str">
        <f t="shared" si="3"/>
        <v/>
      </c>
      <c r="I51" s="66"/>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row>
    <row r="52" spans="1:65" s="51" customFormat="1" ht="30" customHeight="1" thickBot="1" x14ac:dyDescent="0.35">
      <c r="A52" s="46"/>
      <c r="B52" s="88" t="s">
        <v>438</v>
      </c>
      <c r="C52" s="87" t="s">
        <v>121</v>
      </c>
      <c r="D52" s="87"/>
      <c r="E52" s="86"/>
      <c r="F52" s="86"/>
      <c r="G52" s="61"/>
      <c r="H52" s="61" t="str">
        <f t="shared" si="3"/>
        <v/>
      </c>
      <c r="I52" s="66"/>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row>
    <row r="53" spans="1:65" s="51" customFormat="1" ht="30" customHeight="1" thickBot="1" x14ac:dyDescent="0.35">
      <c r="A53" s="46"/>
      <c r="B53" s="88" t="s">
        <v>466</v>
      </c>
      <c r="C53" s="87" t="s">
        <v>121</v>
      </c>
      <c r="D53" s="87"/>
      <c r="E53" s="86"/>
      <c r="F53" s="86"/>
      <c r="G53" s="61"/>
      <c r="H53" s="61" t="str">
        <f t="shared" si="3"/>
        <v/>
      </c>
      <c r="I53" s="66"/>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row>
    <row r="54" spans="1:65" s="51" customFormat="1" ht="30" customHeight="1" thickBot="1" x14ac:dyDescent="0.35">
      <c r="A54" s="46"/>
      <c r="B54" s="88"/>
      <c r="C54" s="87" t="s">
        <v>121</v>
      </c>
      <c r="D54" s="87"/>
      <c r="E54" s="86"/>
      <c r="F54" s="86"/>
      <c r="G54" s="61"/>
      <c r="H54" s="61" t="str">
        <f t="shared" si="3"/>
        <v/>
      </c>
      <c r="I54" s="66"/>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row>
    <row r="55" spans="1:65" s="51" customFormat="1" ht="30" customHeight="1" thickBot="1" x14ac:dyDescent="0.35">
      <c r="A55" s="46"/>
      <c r="B55" s="88"/>
      <c r="C55" s="87" t="s">
        <v>121</v>
      </c>
      <c r="D55" s="87"/>
      <c r="E55" s="86"/>
      <c r="F55" s="86"/>
      <c r="G55" s="61"/>
      <c r="H55" s="61" t="str">
        <f t="shared" si="3"/>
        <v/>
      </c>
      <c r="I55" s="66"/>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row>
    <row r="56" spans="1:65" s="51" customFormat="1" ht="30" customHeight="1" thickBot="1" x14ac:dyDescent="0.35">
      <c r="A56" s="46"/>
      <c r="B56" s="88"/>
      <c r="C56" s="87" t="s">
        <v>121</v>
      </c>
      <c r="D56" s="87"/>
      <c r="E56" s="86"/>
      <c r="F56" s="86"/>
      <c r="G56" s="61"/>
      <c r="H56" s="61" t="str">
        <f t="shared" si="3"/>
        <v/>
      </c>
      <c r="I56" s="66"/>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row>
    <row r="57" spans="1:65" s="51" customFormat="1" ht="30" customHeight="1" thickBot="1" x14ac:dyDescent="0.35">
      <c r="A57" s="46"/>
      <c r="B57" s="88"/>
      <c r="C57" s="87" t="s">
        <v>121</v>
      </c>
      <c r="D57" s="87"/>
      <c r="E57" s="86"/>
      <c r="F57" s="86"/>
      <c r="G57" s="61"/>
      <c r="H57" s="61" t="str">
        <f t="shared" si="3"/>
        <v/>
      </c>
      <c r="I57" s="66"/>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row>
    <row r="58" spans="1:65" s="51" customFormat="1" ht="30" customHeight="1" thickBot="1" x14ac:dyDescent="0.35">
      <c r="A58" s="46"/>
      <c r="B58" s="88"/>
      <c r="C58" s="87" t="s">
        <v>121</v>
      </c>
      <c r="D58" s="87"/>
      <c r="E58" s="86"/>
      <c r="F58" s="86"/>
      <c r="G58" s="61"/>
      <c r="H58" s="61" t="str">
        <f t="shared" si="3"/>
        <v/>
      </c>
      <c r="I58" s="66"/>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row>
    <row r="59" spans="1:65" s="51" customFormat="1" ht="30" customHeight="1" thickBot="1" x14ac:dyDescent="0.35">
      <c r="A59" s="46"/>
      <c r="B59" s="88"/>
      <c r="C59" s="87" t="s">
        <v>121</v>
      </c>
      <c r="D59" s="87"/>
      <c r="E59" s="86"/>
      <c r="F59" s="86"/>
      <c r="G59" s="61"/>
      <c r="H59" s="61" t="str">
        <f t="shared" si="3"/>
        <v/>
      </c>
      <c r="I59" s="66"/>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row>
    <row r="60" spans="1:65" s="51" customFormat="1" ht="30" customHeight="1" thickBot="1" x14ac:dyDescent="0.35">
      <c r="A60" s="46"/>
      <c r="B60" s="88"/>
      <c r="C60" s="87" t="s">
        <v>121</v>
      </c>
      <c r="D60" s="87"/>
      <c r="E60" s="86"/>
      <c r="F60" s="86"/>
      <c r="G60" s="61"/>
      <c r="H60" s="61" t="str">
        <f t="shared" si="3"/>
        <v/>
      </c>
      <c r="I60" s="66"/>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row>
    <row r="61" spans="1:65" s="51" customFormat="1" ht="30" customHeight="1" thickBot="1" x14ac:dyDescent="0.35">
      <c r="A61" s="46"/>
      <c r="B61" s="88"/>
      <c r="C61" s="87" t="s">
        <v>121</v>
      </c>
      <c r="D61" s="87"/>
      <c r="E61" s="86"/>
      <c r="F61" s="86"/>
      <c r="G61" s="61"/>
      <c r="H61" s="61" t="str">
        <f t="shared" si="3"/>
        <v/>
      </c>
      <c r="I61" s="66"/>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row>
    <row r="62" spans="1:65" s="51" customFormat="1" ht="30" customHeight="1" thickBot="1" x14ac:dyDescent="0.35">
      <c r="A62" s="46"/>
      <c r="B62" s="88"/>
      <c r="C62" s="87" t="s">
        <v>121</v>
      </c>
      <c r="D62" s="87"/>
      <c r="E62" s="86"/>
      <c r="F62" s="86"/>
      <c r="G62" s="61"/>
      <c r="H62" s="61" t="str">
        <f t="shared" si="3"/>
        <v/>
      </c>
      <c r="I62" s="66"/>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row>
    <row r="63" spans="1:65" s="51" customFormat="1" ht="30" customHeight="1" thickBot="1" x14ac:dyDescent="0.35">
      <c r="A63" s="46"/>
      <c r="B63" s="88"/>
      <c r="C63" s="87" t="s">
        <v>121</v>
      </c>
      <c r="D63" s="87"/>
      <c r="E63" s="86"/>
      <c r="F63" s="86"/>
      <c r="G63" s="61"/>
      <c r="H63" s="61" t="str">
        <f t="shared" si="3"/>
        <v/>
      </c>
      <c r="I63" s="66"/>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row>
    <row r="64" spans="1:65" s="51" customFormat="1" ht="30" customHeight="1" thickBot="1" x14ac:dyDescent="0.35">
      <c r="A64" s="46"/>
      <c r="B64" s="88"/>
      <c r="C64" s="87" t="s">
        <v>121</v>
      </c>
      <c r="D64" s="87"/>
      <c r="E64" s="86"/>
      <c r="F64" s="86"/>
      <c r="G64" s="61"/>
      <c r="H64" s="61" t="str">
        <f t="shared" si="3"/>
        <v/>
      </c>
      <c r="I64" s="66"/>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row>
    <row r="65" spans="1:65" s="51" customFormat="1" ht="30" customHeight="1" thickBot="1" x14ac:dyDescent="0.35">
      <c r="A65" s="46"/>
      <c r="B65" s="88"/>
      <c r="C65" s="87" t="s">
        <v>121</v>
      </c>
      <c r="D65" s="87"/>
      <c r="E65" s="86"/>
      <c r="F65" s="86"/>
      <c r="G65" s="61"/>
      <c r="H65" s="61" t="str">
        <f t="shared" si="3"/>
        <v/>
      </c>
      <c r="I65" s="66"/>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row>
    <row r="66" spans="1:65" s="51" customFormat="1" ht="30" customHeight="1" thickBot="1" x14ac:dyDescent="0.35">
      <c r="A66" s="46"/>
      <c r="B66" s="88"/>
      <c r="C66" s="87" t="s">
        <v>121</v>
      </c>
      <c r="D66" s="87"/>
      <c r="E66" s="86"/>
      <c r="F66" s="86"/>
      <c r="G66" s="61"/>
      <c r="H66" s="61" t="str">
        <f t="shared" si="3"/>
        <v/>
      </c>
      <c r="I66" s="66"/>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row>
    <row r="67" spans="1:65" s="51" customFormat="1" ht="30" customHeight="1" thickBot="1" x14ac:dyDescent="0.35">
      <c r="A67" s="46"/>
      <c r="B67" s="88"/>
      <c r="C67" s="87" t="s">
        <v>121</v>
      </c>
      <c r="D67" s="87"/>
      <c r="E67" s="86"/>
      <c r="F67" s="86"/>
      <c r="G67" s="61"/>
      <c r="H67" s="61" t="str">
        <f t="shared" si="3"/>
        <v/>
      </c>
      <c r="I67" s="66"/>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row>
    <row r="68" spans="1:65" s="51" customFormat="1" ht="30" customHeight="1" thickBot="1" x14ac:dyDescent="0.35">
      <c r="A68" s="46"/>
      <c r="B68" s="88"/>
      <c r="C68" s="87" t="s">
        <v>121</v>
      </c>
      <c r="D68" s="87"/>
      <c r="E68" s="86"/>
      <c r="F68" s="86"/>
      <c r="G68" s="61"/>
      <c r="H68" s="61" t="str">
        <f t="shared" si="3"/>
        <v/>
      </c>
      <c r="I68" s="66"/>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row>
    <row r="69" spans="1:65" s="51" customFormat="1" ht="30" customHeight="1" thickBot="1" x14ac:dyDescent="0.35">
      <c r="A69" s="46"/>
      <c r="B69" s="88"/>
      <c r="C69" s="87" t="s">
        <v>121</v>
      </c>
      <c r="D69" s="87"/>
      <c r="E69" s="86"/>
      <c r="F69" s="86"/>
      <c r="G69" s="61"/>
      <c r="H69" s="61" t="str">
        <f t="shared" si="3"/>
        <v/>
      </c>
      <c r="I69" s="66"/>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row>
    <row r="70" spans="1:65" s="51" customFormat="1" ht="30" customHeight="1" thickBot="1" x14ac:dyDescent="0.35">
      <c r="A70" s="46"/>
      <c r="B70" s="88"/>
      <c r="C70" s="87" t="s">
        <v>121</v>
      </c>
      <c r="D70" s="87"/>
      <c r="E70" s="86"/>
      <c r="F70" s="86"/>
      <c r="G70" s="61"/>
      <c r="H70" s="61" t="str">
        <f t="shared" si="3"/>
        <v/>
      </c>
      <c r="I70" s="66"/>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row>
    <row r="71" spans="1:65" s="51" customFormat="1" ht="30" customHeight="1" thickBot="1" x14ac:dyDescent="0.35">
      <c r="A71" s="46"/>
      <c r="B71" s="88"/>
      <c r="C71" s="87" t="s">
        <v>121</v>
      </c>
      <c r="D71" s="87"/>
      <c r="E71" s="86"/>
      <c r="F71" s="86"/>
      <c r="G71" s="61"/>
      <c r="H71" s="61" t="str">
        <f t="shared" ref="H71:H78" si="4">IF(OR(ISBLANK(task_start),ISBLANK(task_end)),"",task_end-task_start+1)</f>
        <v/>
      </c>
      <c r="I71" s="66"/>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row>
    <row r="72" spans="1:65" s="51" customFormat="1" ht="30" customHeight="1" thickBot="1" x14ac:dyDescent="0.35">
      <c r="A72" s="46"/>
      <c r="B72" s="88"/>
      <c r="C72" s="87" t="s">
        <v>121</v>
      </c>
      <c r="D72" s="87"/>
      <c r="E72" s="86"/>
      <c r="F72" s="86"/>
      <c r="G72" s="61"/>
      <c r="H72" s="61" t="str">
        <f t="shared" si="4"/>
        <v/>
      </c>
      <c r="I72" s="66"/>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row>
    <row r="73" spans="1:65" s="51" customFormat="1" ht="30" customHeight="1" thickBot="1" x14ac:dyDescent="0.35">
      <c r="A73" s="46"/>
      <c r="B73" s="88"/>
      <c r="C73" s="87" t="s">
        <v>121</v>
      </c>
      <c r="D73" s="87"/>
      <c r="E73" s="86"/>
      <c r="F73" s="86"/>
      <c r="G73" s="61"/>
      <c r="H73" s="61" t="str">
        <f t="shared" si="4"/>
        <v/>
      </c>
      <c r="I73" s="66"/>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row>
    <row r="74" spans="1:65" s="51" customFormat="1" ht="30" customHeight="1" thickBot="1" x14ac:dyDescent="0.35">
      <c r="A74" s="46"/>
      <c r="B74" s="88"/>
      <c r="C74" s="87" t="s">
        <v>121</v>
      </c>
      <c r="D74" s="87"/>
      <c r="E74" s="86"/>
      <c r="F74" s="86"/>
      <c r="G74" s="61"/>
      <c r="H74" s="61" t="str">
        <f t="shared" si="4"/>
        <v/>
      </c>
      <c r="I74" s="66"/>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row>
    <row r="75" spans="1:65" s="51" customFormat="1" ht="30" customHeight="1" thickBot="1" x14ac:dyDescent="0.35">
      <c r="A75" s="46"/>
      <c r="B75" s="88"/>
      <c r="C75" s="87" t="s">
        <v>121</v>
      </c>
      <c r="D75" s="87"/>
      <c r="E75" s="86"/>
      <c r="F75" s="86"/>
      <c r="G75" s="61"/>
      <c r="H75" s="61" t="str">
        <f t="shared" si="4"/>
        <v/>
      </c>
      <c r="I75" s="66"/>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row>
    <row r="76" spans="1:65" s="51" customFormat="1" ht="30" customHeight="1" thickBot="1" x14ac:dyDescent="0.35">
      <c r="A76" s="46"/>
      <c r="B76" s="88"/>
      <c r="C76" s="87" t="s">
        <v>121</v>
      </c>
      <c r="D76" s="87"/>
      <c r="E76" s="86"/>
      <c r="F76" s="86"/>
      <c r="G76" s="61"/>
      <c r="H76" s="61" t="str">
        <f t="shared" si="4"/>
        <v/>
      </c>
      <c r="I76" s="66"/>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row>
    <row r="77" spans="1:65" s="51" customFormat="1" ht="30" customHeight="1" thickBot="1" x14ac:dyDescent="0.35">
      <c r="A77" s="46"/>
      <c r="B77" s="88"/>
      <c r="C77" s="87" t="s">
        <v>121</v>
      </c>
      <c r="D77" s="87"/>
      <c r="E77" s="86"/>
      <c r="F77" s="86"/>
      <c r="G77" s="61"/>
      <c r="H77" s="61" t="str">
        <f t="shared" si="4"/>
        <v/>
      </c>
      <c r="I77" s="89"/>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row>
    <row r="78" spans="1:65" s="51" customFormat="1" ht="30" customHeight="1" thickBot="1" x14ac:dyDescent="0.35">
      <c r="A78" s="46"/>
      <c r="B78" s="88"/>
      <c r="C78" s="87" t="s">
        <v>121</v>
      </c>
      <c r="D78" s="87"/>
      <c r="E78" s="86"/>
      <c r="F78" s="86"/>
      <c r="G78" s="61"/>
      <c r="H78" s="61" t="str">
        <f t="shared" si="4"/>
        <v/>
      </c>
      <c r="I78" s="89"/>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row>
    <row r="79" spans="1:65" s="51" customFormat="1" ht="30" customHeight="1" thickBot="1" x14ac:dyDescent="0.35">
      <c r="A79" s="46"/>
      <c r="B79" s="88"/>
      <c r="C79" s="87" t="s">
        <v>121</v>
      </c>
      <c r="D79" s="87"/>
      <c r="E79" s="86"/>
      <c r="F79" s="86"/>
      <c r="G79" s="61"/>
      <c r="H79" s="61"/>
      <c r="I79" s="66"/>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row>
    <row r="80" spans="1:65" s="51" customFormat="1" ht="30" customHeight="1" thickBot="1" x14ac:dyDescent="0.35">
      <c r="A80" s="46"/>
      <c r="B80" s="88"/>
      <c r="C80" s="87" t="s">
        <v>121</v>
      </c>
      <c r="D80" s="87"/>
      <c r="E80" s="86"/>
      <c r="F80" s="86"/>
      <c r="G80" s="61"/>
      <c r="H80" s="61"/>
      <c r="I80" s="66"/>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row>
    <row r="81" spans="1:65" s="51" customFormat="1" ht="30" customHeight="1" thickBot="1" x14ac:dyDescent="0.35">
      <c r="A81" s="46"/>
      <c r="B81" s="88"/>
      <c r="C81" s="87" t="s">
        <v>121</v>
      </c>
      <c r="D81" s="87"/>
      <c r="E81" s="86"/>
      <c r="F81" s="86"/>
      <c r="G81" s="61"/>
      <c r="H81" s="61"/>
      <c r="I81" s="66"/>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row>
    <row r="82" spans="1:65" s="51" customFormat="1" ht="30" customHeight="1" thickBot="1" x14ac:dyDescent="0.35">
      <c r="A82" s="46"/>
      <c r="B82" s="88"/>
      <c r="C82" s="87" t="s">
        <v>121</v>
      </c>
      <c r="D82" s="87"/>
      <c r="E82" s="86"/>
      <c r="F82" s="86"/>
      <c r="G82" s="61"/>
      <c r="H82" s="61"/>
      <c r="I82" s="66"/>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row>
    <row r="83" spans="1:65" s="51" customFormat="1" ht="30" customHeight="1" thickBot="1" x14ac:dyDescent="0.35">
      <c r="A83" s="46"/>
      <c r="B83" s="88"/>
      <c r="C83" s="87" t="s">
        <v>121</v>
      </c>
      <c r="D83" s="87"/>
      <c r="E83" s="86"/>
      <c r="F83" s="86"/>
      <c r="G83" s="61"/>
      <c r="H83" s="61"/>
      <c r="I83" s="66"/>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row>
    <row r="84" spans="1:65" s="51" customFormat="1" ht="30" customHeight="1" thickBot="1" x14ac:dyDescent="0.35">
      <c r="A84" s="46"/>
      <c r="B84" s="88"/>
      <c r="C84" s="87"/>
      <c r="D84" s="87"/>
      <c r="E84" s="86"/>
      <c r="F84" s="86"/>
      <c r="G84" s="61"/>
      <c r="H84" s="61"/>
      <c r="I84" s="66"/>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row>
    <row r="85" spans="1:65" s="51" customFormat="1" ht="30" customHeight="1" thickBot="1" x14ac:dyDescent="0.35">
      <c r="A85" s="46"/>
      <c r="B85" s="88"/>
      <c r="C85" s="87"/>
      <c r="D85" s="87"/>
      <c r="E85" s="86"/>
      <c r="F85" s="86"/>
      <c r="G85" s="61"/>
      <c r="H85" s="61"/>
      <c r="I85" s="66"/>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row>
    <row r="86" spans="1:65" s="51" customFormat="1" ht="30" customHeight="1" thickBot="1" x14ac:dyDescent="0.35">
      <c r="A86" s="46"/>
      <c r="B86" s="88"/>
      <c r="C86" s="87"/>
      <c r="D86" s="87"/>
      <c r="E86" s="86"/>
      <c r="F86" s="86"/>
      <c r="G86" s="61"/>
      <c r="H86" s="61"/>
      <c r="I86" s="66"/>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row>
    <row r="87" spans="1:65" s="51" customFormat="1" ht="30" customHeight="1" thickBot="1" x14ac:dyDescent="0.35">
      <c r="A87" s="46"/>
      <c r="B87" s="88"/>
      <c r="C87" s="87"/>
      <c r="D87" s="87"/>
      <c r="E87" s="86"/>
      <c r="F87" s="86"/>
      <c r="G87" s="61"/>
      <c r="H87" s="61"/>
      <c r="I87" s="66"/>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row>
    <row r="88" spans="1:65" s="51" customFormat="1" ht="30" customHeight="1" thickBot="1" x14ac:dyDescent="0.35">
      <c r="A88" s="46" t="s">
        <v>186</v>
      </c>
      <c r="B88" s="85" t="s">
        <v>440</v>
      </c>
      <c r="C88" s="84"/>
      <c r="D88" s="83"/>
      <c r="E88" s="82"/>
      <c r="F88" s="81"/>
      <c r="G88" s="61"/>
      <c r="H88" s="61" t="str">
        <f t="shared" ref="H88:H114" si="5">IF(OR(ISBLANK(task_start),ISBLANK(task_end)),"",task_end-task_start+1)</f>
        <v/>
      </c>
      <c r="I88" s="66"/>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row>
    <row r="89" spans="1:65" s="51" customFormat="1" ht="30" customHeight="1" thickBot="1" x14ac:dyDescent="0.35">
      <c r="A89" s="46"/>
      <c r="B89" s="80" t="s">
        <v>441</v>
      </c>
      <c r="C89" s="79" t="s">
        <v>121</v>
      </c>
      <c r="D89" s="78">
        <v>0.9</v>
      </c>
      <c r="E89" s="77">
        <v>43746</v>
      </c>
      <c r="F89" s="77">
        <f>E89+5</f>
        <v>43751</v>
      </c>
      <c r="G89" s="61"/>
      <c r="H89" s="61">
        <f t="shared" si="5"/>
        <v>6</v>
      </c>
      <c r="I89" s="66"/>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row>
    <row r="90" spans="1:65" s="51" customFormat="1" ht="30" customHeight="1" thickBot="1" x14ac:dyDescent="0.35">
      <c r="A90" s="46"/>
      <c r="B90" s="80" t="s">
        <v>442</v>
      </c>
      <c r="C90" s="79" t="s">
        <v>121</v>
      </c>
      <c r="D90" s="78">
        <v>0.9</v>
      </c>
      <c r="E90" s="77">
        <f>F89+1</f>
        <v>43752</v>
      </c>
      <c r="F90" s="77">
        <f>E90+2</f>
        <v>43754</v>
      </c>
      <c r="G90" s="61"/>
      <c r="H90" s="61">
        <f t="shared" si="5"/>
        <v>3</v>
      </c>
      <c r="I90" s="66"/>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row>
    <row r="91" spans="1:65" s="51" customFormat="1" ht="30" customHeight="1" thickBot="1" x14ac:dyDescent="0.35">
      <c r="A91" s="46"/>
      <c r="B91" s="80" t="s">
        <v>443</v>
      </c>
      <c r="C91" s="79" t="s">
        <v>121</v>
      </c>
      <c r="D91" s="78">
        <v>0.9</v>
      </c>
      <c r="E91" s="77">
        <f>E90+5</f>
        <v>43757</v>
      </c>
      <c r="F91" s="77">
        <f>E91+2</f>
        <v>43759</v>
      </c>
      <c r="G91" s="61"/>
      <c r="H91" s="61">
        <f t="shared" si="5"/>
        <v>3</v>
      </c>
      <c r="I91" s="66"/>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row>
    <row r="92" spans="1:65" s="51" customFormat="1" ht="30" customHeight="1" thickBot="1" x14ac:dyDescent="0.35">
      <c r="A92" s="46"/>
      <c r="B92" s="80" t="s">
        <v>444</v>
      </c>
      <c r="C92" s="79" t="s">
        <v>121</v>
      </c>
      <c r="D92" s="78">
        <v>0.9</v>
      </c>
      <c r="E92" s="77">
        <f>F91+1</f>
        <v>43760</v>
      </c>
      <c r="F92" s="77">
        <f>E92+4</f>
        <v>43764</v>
      </c>
      <c r="G92" s="61"/>
      <c r="H92" s="61">
        <f t="shared" si="5"/>
        <v>5</v>
      </c>
      <c r="I92" s="66"/>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row>
    <row r="93" spans="1:65" s="51" customFormat="1" ht="30" customHeight="1" thickBot="1" x14ac:dyDescent="0.35">
      <c r="A93" s="46"/>
      <c r="B93" s="80" t="s">
        <v>445</v>
      </c>
      <c r="C93" s="79" t="s">
        <v>121</v>
      </c>
      <c r="D93" s="78">
        <v>1</v>
      </c>
      <c r="E93" s="77">
        <f>F92+1</f>
        <v>43765</v>
      </c>
      <c r="F93" s="77">
        <f>E93+4</f>
        <v>43769</v>
      </c>
      <c r="G93" s="61"/>
      <c r="H93" s="61">
        <f t="shared" si="5"/>
        <v>5</v>
      </c>
      <c r="I93" s="66"/>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row>
    <row r="94" spans="1:65" s="51" customFormat="1" ht="30" customHeight="1" thickBot="1" x14ac:dyDescent="0.35">
      <c r="A94" s="46"/>
      <c r="B94" s="80" t="s">
        <v>446</v>
      </c>
      <c r="C94" s="79" t="s">
        <v>121</v>
      </c>
      <c r="D94" s="78">
        <v>1</v>
      </c>
      <c r="E94" s="77">
        <v>43770</v>
      </c>
      <c r="F94" s="77">
        <f>E94+2</f>
        <v>43772</v>
      </c>
      <c r="G94" s="61"/>
      <c r="H94" s="61">
        <f t="shared" si="5"/>
        <v>3</v>
      </c>
      <c r="I94" s="66"/>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row>
    <row r="95" spans="1:65" s="51" customFormat="1" ht="30" customHeight="1" thickBot="1" x14ac:dyDescent="0.35">
      <c r="A95" s="46"/>
      <c r="B95" s="80" t="s">
        <v>447</v>
      </c>
      <c r="C95" s="79" t="s">
        <v>121</v>
      </c>
      <c r="D95" s="78">
        <v>1</v>
      </c>
      <c r="E95" s="77">
        <v>43770</v>
      </c>
      <c r="F95" s="77">
        <f>E95+2</f>
        <v>43772</v>
      </c>
      <c r="G95" s="61"/>
      <c r="H95" s="61">
        <f t="shared" si="5"/>
        <v>3</v>
      </c>
      <c r="I95" s="66"/>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row>
    <row r="96" spans="1:65" s="51" customFormat="1" ht="30" customHeight="1" thickBot="1" x14ac:dyDescent="0.35">
      <c r="A96" s="46"/>
      <c r="B96" s="80" t="s">
        <v>448</v>
      </c>
      <c r="C96" s="79" t="s">
        <v>121</v>
      </c>
      <c r="D96" s="78">
        <v>0.5</v>
      </c>
      <c r="E96" s="77">
        <v>43770</v>
      </c>
      <c r="F96" s="77">
        <f>E96+2</f>
        <v>43772</v>
      </c>
      <c r="G96" s="61"/>
      <c r="H96" s="61">
        <f t="shared" si="5"/>
        <v>3</v>
      </c>
      <c r="I96" s="66"/>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row>
    <row r="97" spans="1:65" s="51" customFormat="1" ht="30" customHeight="1" thickBot="1" x14ac:dyDescent="0.35">
      <c r="A97" s="46"/>
      <c r="B97" s="80" t="s">
        <v>449</v>
      </c>
      <c r="C97" s="79" t="s">
        <v>121</v>
      </c>
      <c r="D97" s="78">
        <v>0.5</v>
      </c>
      <c r="E97" s="77">
        <v>43770</v>
      </c>
      <c r="F97" s="77">
        <f>E97+2</f>
        <v>43772</v>
      </c>
      <c r="G97" s="61"/>
      <c r="H97" s="61">
        <f t="shared" si="5"/>
        <v>3</v>
      </c>
      <c r="I97" s="66"/>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row>
    <row r="98" spans="1:65" s="51" customFormat="1" ht="30" customHeight="1" thickBot="1" x14ac:dyDescent="0.35">
      <c r="A98" s="46"/>
      <c r="B98" s="80" t="s">
        <v>450</v>
      </c>
      <c r="C98" s="79" t="s">
        <v>121</v>
      </c>
      <c r="D98" s="78">
        <v>0.9</v>
      </c>
      <c r="E98" s="77">
        <v>43773</v>
      </c>
      <c r="F98" s="77">
        <f>E98+1</f>
        <v>43774</v>
      </c>
      <c r="G98" s="61"/>
      <c r="H98" s="61">
        <f t="shared" si="5"/>
        <v>2</v>
      </c>
      <c r="I98" s="66"/>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row>
    <row r="99" spans="1:65" s="51" customFormat="1" ht="30" customHeight="1" thickBot="1" x14ac:dyDescent="0.35">
      <c r="A99" s="46"/>
      <c r="B99" s="80" t="s">
        <v>451</v>
      </c>
      <c r="C99" s="79" t="s">
        <v>121</v>
      </c>
      <c r="D99" s="78">
        <v>0.9</v>
      </c>
      <c r="E99" s="77">
        <v>43775</v>
      </c>
      <c r="F99" s="77">
        <f>E99+2</f>
        <v>43777</v>
      </c>
      <c r="G99" s="61"/>
      <c r="H99" s="61">
        <f t="shared" si="5"/>
        <v>3</v>
      </c>
      <c r="I99" s="66"/>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row>
    <row r="100" spans="1:65" s="51" customFormat="1" ht="30" customHeight="1" thickBot="1" x14ac:dyDescent="0.35">
      <c r="A100" s="46"/>
      <c r="B100" s="80" t="s">
        <v>452</v>
      </c>
      <c r="C100" s="79" t="s">
        <v>121</v>
      </c>
      <c r="D100" s="78">
        <v>0.9</v>
      </c>
      <c r="E100" s="77">
        <v>43773</v>
      </c>
      <c r="F100" s="77">
        <f>E100+7</f>
        <v>43780</v>
      </c>
      <c r="G100" s="61"/>
      <c r="H100" s="61">
        <f t="shared" si="5"/>
        <v>8</v>
      </c>
      <c r="I100" s="66"/>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row>
    <row r="101" spans="1:65" s="51" customFormat="1" ht="30" customHeight="1" thickBot="1" x14ac:dyDescent="0.35">
      <c r="A101" s="46"/>
      <c r="B101" s="80"/>
      <c r="C101" s="79" t="s">
        <v>200</v>
      </c>
      <c r="D101" s="78">
        <v>0.8</v>
      </c>
      <c r="E101" s="77">
        <v>43885</v>
      </c>
      <c r="F101" s="77">
        <f>E101+14</f>
        <v>43899</v>
      </c>
      <c r="G101" s="61"/>
      <c r="H101" s="61">
        <f t="shared" si="5"/>
        <v>15</v>
      </c>
      <c r="I101" s="66"/>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row>
    <row r="102" spans="1:65" s="51" customFormat="1" ht="30" customHeight="1" thickBot="1" x14ac:dyDescent="0.35">
      <c r="A102" s="46"/>
      <c r="B102" s="80"/>
      <c r="C102" s="79" t="s">
        <v>121</v>
      </c>
      <c r="D102" s="78">
        <v>0.8</v>
      </c>
      <c r="E102" s="77">
        <v>43781</v>
      </c>
      <c r="F102" s="77">
        <f>E102+7</f>
        <v>43788</v>
      </c>
      <c r="G102" s="61"/>
      <c r="H102" s="61">
        <f t="shared" si="5"/>
        <v>8</v>
      </c>
      <c r="I102" s="66"/>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row>
    <row r="103" spans="1:65" s="51" customFormat="1" ht="30" customHeight="1" thickBot="1" x14ac:dyDescent="0.35">
      <c r="A103" s="46"/>
      <c r="B103" s="80"/>
      <c r="C103" s="79" t="s">
        <v>121</v>
      </c>
      <c r="D103" s="78">
        <v>0.7</v>
      </c>
      <c r="E103" s="77">
        <v>43789</v>
      </c>
      <c r="F103" s="77">
        <f>E103+3</f>
        <v>43792</v>
      </c>
      <c r="G103" s="61"/>
      <c r="H103" s="61">
        <f t="shared" si="5"/>
        <v>4</v>
      </c>
      <c r="I103" s="66"/>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row>
    <row r="104" spans="1:65" s="51" customFormat="1" ht="30" customHeight="1" thickBot="1" x14ac:dyDescent="0.35">
      <c r="A104" s="46"/>
      <c r="B104" s="80"/>
      <c r="C104" s="79" t="s">
        <v>121</v>
      </c>
      <c r="D104" s="78">
        <v>0.8</v>
      </c>
      <c r="E104" s="77">
        <v>43793</v>
      </c>
      <c r="F104" s="77">
        <f>E104+2</f>
        <v>43795</v>
      </c>
      <c r="G104" s="61"/>
      <c r="H104" s="61">
        <f t="shared" si="5"/>
        <v>3</v>
      </c>
      <c r="I104" s="66"/>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row>
    <row r="105" spans="1:65" s="51" customFormat="1" ht="30" customHeight="1" thickBot="1" x14ac:dyDescent="0.35">
      <c r="A105" s="46"/>
      <c r="B105" s="80"/>
      <c r="C105" s="79" t="s">
        <v>121</v>
      </c>
      <c r="D105" s="78">
        <v>0.1</v>
      </c>
      <c r="E105" s="77">
        <v>43796</v>
      </c>
      <c r="F105" s="77">
        <f>E105+5</f>
        <v>43801</v>
      </c>
      <c r="G105" s="61"/>
      <c r="H105" s="61">
        <f t="shared" si="5"/>
        <v>6</v>
      </c>
      <c r="I105" s="66"/>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row>
    <row r="106" spans="1:65" s="51" customFormat="1" ht="30" customHeight="1" thickBot="1" x14ac:dyDescent="0.35">
      <c r="A106" s="46"/>
      <c r="B106" s="80"/>
      <c r="C106" s="79" t="s">
        <v>121</v>
      </c>
      <c r="D106" s="78">
        <v>0</v>
      </c>
      <c r="E106" s="77"/>
      <c r="F106" s="77">
        <f t="shared" ref="F106:F114" si="6">E106+7</f>
        <v>7</v>
      </c>
      <c r="G106" s="61"/>
      <c r="H106" s="61" t="str">
        <f t="shared" si="5"/>
        <v/>
      </c>
      <c r="I106" s="66"/>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row>
    <row r="107" spans="1:65" s="51" customFormat="1" ht="30" customHeight="1" thickBot="1" x14ac:dyDescent="0.35">
      <c r="A107" s="46"/>
      <c r="B107" s="80"/>
      <c r="C107" s="79" t="s">
        <v>121</v>
      </c>
      <c r="D107" s="78">
        <v>0.7</v>
      </c>
      <c r="E107" s="77">
        <v>43802</v>
      </c>
      <c r="F107" s="77">
        <f>E107+5</f>
        <v>43807</v>
      </c>
      <c r="G107" s="61"/>
      <c r="H107" s="61">
        <f t="shared" si="5"/>
        <v>6</v>
      </c>
      <c r="I107" s="66"/>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row>
    <row r="108" spans="1:65" s="51" customFormat="1" ht="30" customHeight="1" thickBot="1" x14ac:dyDescent="0.35">
      <c r="A108" s="46"/>
      <c r="B108" s="80"/>
      <c r="C108" s="79" t="s">
        <v>121</v>
      </c>
      <c r="D108" s="78">
        <v>0.3</v>
      </c>
      <c r="E108" s="77">
        <v>43807</v>
      </c>
      <c r="F108" s="77">
        <f>E108+3</f>
        <v>43810</v>
      </c>
      <c r="G108" s="61"/>
      <c r="H108" s="61">
        <f t="shared" si="5"/>
        <v>4</v>
      </c>
      <c r="I108" s="66"/>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row>
    <row r="109" spans="1:65" s="51" customFormat="1" ht="30" customHeight="1" thickBot="1" x14ac:dyDescent="0.35">
      <c r="A109" s="46"/>
      <c r="B109" s="80"/>
      <c r="C109" s="79" t="s">
        <v>121</v>
      </c>
      <c r="D109" s="78">
        <v>0</v>
      </c>
      <c r="E109" s="77"/>
      <c r="F109" s="77">
        <f t="shared" si="6"/>
        <v>7</v>
      </c>
      <c r="G109" s="61"/>
      <c r="H109" s="61" t="str">
        <f t="shared" si="5"/>
        <v/>
      </c>
      <c r="I109" s="66"/>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row>
    <row r="110" spans="1:65" s="51" customFormat="1" ht="30" customHeight="1" thickBot="1" x14ac:dyDescent="0.35">
      <c r="A110" s="46"/>
      <c r="B110" s="80"/>
      <c r="C110" s="79" t="s">
        <v>121</v>
      </c>
      <c r="D110" s="78">
        <v>0</v>
      </c>
      <c r="E110" s="77"/>
      <c r="F110" s="77">
        <f t="shared" si="6"/>
        <v>7</v>
      </c>
      <c r="G110" s="61"/>
      <c r="H110" s="61" t="str">
        <f t="shared" si="5"/>
        <v/>
      </c>
      <c r="I110" s="66"/>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row>
    <row r="111" spans="1:65" s="51" customFormat="1" ht="30" customHeight="1" thickBot="1" x14ac:dyDescent="0.35">
      <c r="A111" s="46"/>
      <c r="B111" s="80"/>
      <c r="C111" s="79" t="s">
        <v>121</v>
      </c>
      <c r="D111" s="78">
        <v>0.1</v>
      </c>
      <c r="E111" s="77"/>
      <c r="F111" s="77">
        <f t="shared" si="6"/>
        <v>7</v>
      </c>
      <c r="G111" s="61"/>
      <c r="H111" s="61" t="str">
        <f t="shared" si="5"/>
        <v/>
      </c>
      <c r="I111" s="66"/>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row>
    <row r="112" spans="1:65" s="51" customFormat="1" ht="30" customHeight="1" thickBot="1" x14ac:dyDescent="0.35">
      <c r="A112" s="46"/>
      <c r="B112" s="80"/>
      <c r="C112" s="79" t="s">
        <v>121</v>
      </c>
      <c r="D112" s="78">
        <v>0.1</v>
      </c>
      <c r="E112" s="77"/>
      <c r="F112" s="77">
        <f t="shared" si="6"/>
        <v>7</v>
      </c>
      <c r="G112" s="61"/>
      <c r="H112" s="61" t="str">
        <f t="shared" si="5"/>
        <v/>
      </c>
      <c r="I112" s="66"/>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row>
    <row r="113" spans="1:65" s="51" customFormat="1" ht="30" customHeight="1" thickBot="1" x14ac:dyDescent="0.35">
      <c r="A113" s="46"/>
      <c r="B113" s="80"/>
      <c r="C113" s="79" t="s">
        <v>121</v>
      </c>
      <c r="D113" s="78">
        <v>0.1</v>
      </c>
      <c r="E113" s="77"/>
      <c r="F113" s="77">
        <f t="shared" si="6"/>
        <v>7</v>
      </c>
      <c r="G113" s="61"/>
      <c r="H113" s="61" t="str">
        <f t="shared" si="5"/>
        <v/>
      </c>
      <c r="I113" s="66"/>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row>
    <row r="114" spans="1:65" s="51" customFormat="1" ht="30" customHeight="1" thickBot="1" x14ac:dyDescent="0.35">
      <c r="A114" s="46"/>
      <c r="B114" s="80"/>
      <c r="C114" s="79" t="s">
        <v>121</v>
      </c>
      <c r="D114" s="78">
        <v>0.1</v>
      </c>
      <c r="E114" s="77"/>
      <c r="F114" s="77">
        <f t="shared" si="6"/>
        <v>7</v>
      </c>
      <c r="G114" s="61"/>
      <c r="H114" s="61" t="str">
        <f t="shared" si="5"/>
        <v/>
      </c>
      <c r="I114" s="66"/>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row>
    <row r="115" spans="1:65" s="51" customFormat="1" ht="30" customHeight="1" thickBot="1" x14ac:dyDescent="0.35">
      <c r="A115" s="46"/>
      <c r="B115" s="80"/>
      <c r="C115" s="79"/>
      <c r="D115" s="78"/>
      <c r="E115" s="77"/>
      <c r="F115" s="77"/>
      <c r="G115" s="61"/>
      <c r="H115" s="61"/>
      <c r="I115" s="66"/>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row>
    <row r="116" spans="1:65" s="51" customFormat="1" ht="30" customHeight="1" thickBot="1" x14ac:dyDescent="0.35">
      <c r="A116" s="46" t="s">
        <v>186</v>
      </c>
      <c r="B116" s="76" t="s">
        <v>185</v>
      </c>
      <c r="C116" s="75"/>
      <c r="D116" s="74"/>
      <c r="E116" s="73"/>
      <c r="F116" s="72"/>
      <c r="G116" s="61"/>
      <c r="H116" s="61" t="str">
        <f t="shared" ref="H116:H147" si="7">IF(OR(ISBLANK(task_start),ISBLANK(task_end)),"",task_end-task_start+1)</f>
        <v/>
      </c>
      <c r="I116" s="66"/>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row>
    <row r="117" spans="1:65" s="51" customFormat="1" ht="30" customHeight="1" thickBot="1" x14ac:dyDescent="0.35">
      <c r="A117" s="46"/>
      <c r="B117" s="70"/>
      <c r="C117" s="69"/>
      <c r="D117" s="68"/>
      <c r="E117" s="71"/>
      <c r="F117" s="122"/>
      <c r="G117" s="61"/>
      <c r="H117" s="61" t="str">
        <f t="shared" si="7"/>
        <v/>
      </c>
      <c r="I117" s="66"/>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row>
    <row r="118" spans="1:65" s="51" customFormat="1" ht="30" customHeight="1" thickBot="1" x14ac:dyDescent="0.35">
      <c r="A118" s="46"/>
      <c r="B118" s="70"/>
      <c r="C118" s="69"/>
      <c r="D118" s="68"/>
      <c r="E118" s="67"/>
      <c r="F118" s="122"/>
      <c r="G118" s="61"/>
      <c r="H118" s="61" t="str">
        <f t="shared" si="7"/>
        <v/>
      </c>
      <c r="I118" s="66"/>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row>
    <row r="119" spans="1:65" s="51" customFormat="1" ht="30" customHeight="1" thickBot="1" x14ac:dyDescent="0.35">
      <c r="A119" s="46"/>
      <c r="B119" s="70"/>
      <c r="C119" s="69"/>
      <c r="D119" s="68"/>
      <c r="E119" s="67"/>
      <c r="F119" s="122"/>
      <c r="G119" s="61"/>
      <c r="H119" s="61" t="str">
        <f t="shared" si="7"/>
        <v/>
      </c>
      <c r="I119" s="66"/>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row>
    <row r="120" spans="1:65" s="51" customFormat="1" ht="30" customHeight="1" thickBot="1" x14ac:dyDescent="0.35">
      <c r="A120" s="46"/>
      <c r="B120" s="70"/>
      <c r="C120" s="69"/>
      <c r="D120" s="68"/>
      <c r="E120" s="67"/>
      <c r="F120" s="122"/>
      <c r="G120" s="61"/>
      <c r="H120" s="61" t="str">
        <f t="shared" si="7"/>
        <v/>
      </c>
      <c r="I120" s="66"/>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row>
    <row r="121" spans="1:65" s="51" customFormat="1" ht="30" customHeight="1" thickBot="1" x14ac:dyDescent="0.35">
      <c r="A121" s="46"/>
      <c r="B121" s="70"/>
      <c r="C121" s="69"/>
      <c r="D121" s="68"/>
      <c r="E121" s="67"/>
      <c r="F121" s="122"/>
      <c r="G121" s="61"/>
      <c r="H121" s="61" t="str">
        <f t="shared" si="7"/>
        <v/>
      </c>
      <c r="I121" s="66"/>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row>
    <row r="122" spans="1:65" s="51" customFormat="1" ht="30" customHeight="1" thickBot="1" x14ac:dyDescent="0.35">
      <c r="A122" s="46"/>
      <c r="B122" s="70"/>
      <c r="C122" s="69"/>
      <c r="D122" s="68"/>
      <c r="E122" s="67"/>
      <c r="F122" s="122"/>
      <c r="G122" s="61"/>
      <c r="H122" s="61" t="str">
        <f t="shared" si="7"/>
        <v/>
      </c>
      <c r="I122" s="66"/>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row>
    <row r="123" spans="1:65" s="51" customFormat="1" ht="30" customHeight="1" thickBot="1" x14ac:dyDescent="0.35">
      <c r="A123" s="46"/>
      <c r="B123" s="70"/>
      <c r="C123" s="69"/>
      <c r="D123" s="68"/>
      <c r="E123" s="67"/>
      <c r="F123" s="122"/>
      <c r="G123" s="61"/>
      <c r="H123" s="61" t="str">
        <f t="shared" si="7"/>
        <v/>
      </c>
      <c r="I123" s="66"/>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row>
    <row r="124" spans="1:65" s="51" customFormat="1" ht="30" customHeight="1" thickBot="1" x14ac:dyDescent="0.35">
      <c r="A124" s="46"/>
      <c r="B124" s="70"/>
      <c r="C124" s="69"/>
      <c r="D124" s="68"/>
      <c r="E124" s="67"/>
      <c r="F124" s="122"/>
      <c r="G124" s="61"/>
      <c r="H124" s="61" t="str">
        <f t="shared" si="7"/>
        <v/>
      </c>
      <c r="I124" s="66"/>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row>
    <row r="125" spans="1:65" s="51" customFormat="1" ht="30" customHeight="1" thickBot="1" x14ac:dyDescent="0.35">
      <c r="A125" s="46"/>
      <c r="B125" s="70"/>
      <c r="C125" s="69"/>
      <c r="D125" s="68"/>
      <c r="E125" s="67"/>
      <c r="F125" s="122"/>
      <c r="G125" s="61"/>
      <c r="H125" s="61" t="str">
        <f t="shared" si="7"/>
        <v/>
      </c>
      <c r="I125" s="66"/>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60"/>
      <c r="BI125" s="60"/>
      <c r="BJ125" s="60"/>
      <c r="BK125" s="60"/>
      <c r="BL125" s="60"/>
      <c r="BM125" s="60"/>
    </row>
    <row r="126" spans="1:65" s="51" customFormat="1" ht="30" customHeight="1" thickBot="1" x14ac:dyDescent="0.35">
      <c r="A126" s="46"/>
      <c r="B126" s="70"/>
      <c r="C126" s="69"/>
      <c r="D126" s="68"/>
      <c r="E126" s="67"/>
      <c r="F126" s="122"/>
      <c r="G126" s="61"/>
      <c r="H126" s="61" t="str">
        <f t="shared" si="7"/>
        <v/>
      </c>
      <c r="I126" s="66"/>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60"/>
      <c r="BI126" s="60"/>
      <c r="BJ126" s="60"/>
      <c r="BK126" s="60"/>
      <c r="BL126" s="60"/>
      <c r="BM126" s="60"/>
    </row>
    <row r="127" spans="1:65" s="51" customFormat="1" ht="30" customHeight="1" thickBot="1" x14ac:dyDescent="0.35">
      <c r="A127" s="46"/>
      <c r="B127" s="70"/>
      <c r="C127" s="69"/>
      <c r="D127" s="68"/>
      <c r="E127" s="67"/>
      <c r="F127" s="122"/>
      <c r="G127" s="61"/>
      <c r="H127" s="61" t="str">
        <f t="shared" si="7"/>
        <v/>
      </c>
      <c r="I127" s="66"/>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row>
    <row r="128" spans="1:65" s="51" customFormat="1" ht="30" customHeight="1" thickBot="1" x14ac:dyDescent="0.35">
      <c r="A128" s="46"/>
      <c r="B128" s="70"/>
      <c r="C128" s="69"/>
      <c r="D128" s="68"/>
      <c r="E128" s="67"/>
      <c r="F128" s="122"/>
      <c r="G128" s="61"/>
      <c r="H128" s="61" t="str">
        <f t="shared" si="7"/>
        <v/>
      </c>
      <c r="I128" s="66"/>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60"/>
      <c r="BI128" s="60"/>
      <c r="BJ128" s="60"/>
      <c r="BK128" s="60"/>
      <c r="BL128" s="60"/>
      <c r="BM128" s="60"/>
    </row>
    <row r="129" spans="1:65" s="51" customFormat="1" ht="30" customHeight="1" thickBot="1" x14ac:dyDescent="0.35">
      <c r="A129" s="46"/>
      <c r="B129" s="70"/>
      <c r="C129" s="69"/>
      <c r="D129" s="68"/>
      <c r="E129" s="67"/>
      <c r="F129" s="122"/>
      <c r="G129" s="61"/>
      <c r="H129" s="61" t="str">
        <f t="shared" si="7"/>
        <v/>
      </c>
      <c r="I129" s="66"/>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60"/>
      <c r="BI129" s="60"/>
      <c r="BJ129" s="60"/>
      <c r="BK129" s="60"/>
      <c r="BL129" s="60"/>
      <c r="BM129" s="60"/>
    </row>
    <row r="130" spans="1:65" s="51" customFormat="1" ht="30" customHeight="1" thickBot="1" x14ac:dyDescent="0.35">
      <c r="A130" s="46"/>
      <c r="B130" s="70"/>
      <c r="C130" s="69"/>
      <c r="D130" s="68"/>
      <c r="E130" s="67"/>
      <c r="F130" s="122"/>
      <c r="G130" s="61"/>
      <c r="H130" s="61" t="str">
        <f t="shared" si="7"/>
        <v/>
      </c>
      <c r="I130" s="66"/>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60"/>
      <c r="BI130" s="60"/>
      <c r="BJ130" s="60"/>
      <c r="BK130" s="60"/>
      <c r="BL130" s="60"/>
      <c r="BM130" s="60"/>
    </row>
    <row r="131" spans="1:65" s="51" customFormat="1" ht="30" customHeight="1" thickBot="1" x14ac:dyDescent="0.35">
      <c r="A131" s="46"/>
      <c r="B131" s="70"/>
      <c r="C131" s="69"/>
      <c r="D131" s="68"/>
      <c r="E131" s="67"/>
      <c r="F131" s="122"/>
      <c r="G131" s="61"/>
      <c r="H131" s="61" t="str">
        <f t="shared" si="7"/>
        <v/>
      </c>
      <c r="I131" s="66"/>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60"/>
      <c r="BI131" s="60"/>
      <c r="BJ131" s="60"/>
      <c r="BK131" s="60"/>
      <c r="BL131" s="60"/>
      <c r="BM131" s="60"/>
    </row>
    <row r="132" spans="1:65" s="51" customFormat="1" ht="30" customHeight="1" thickBot="1" x14ac:dyDescent="0.35">
      <c r="A132" s="46"/>
      <c r="B132" s="70"/>
      <c r="C132" s="69"/>
      <c r="D132" s="68"/>
      <c r="E132" s="67"/>
      <c r="F132" s="122"/>
      <c r="G132" s="61"/>
      <c r="H132" s="61" t="str">
        <f t="shared" si="7"/>
        <v/>
      </c>
      <c r="I132" s="66"/>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60"/>
      <c r="BI132" s="60"/>
      <c r="BJ132" s="60"/>
      <c r="BK132" s="60"/>
      <c r="BL132" s="60"/>
      <c r="BM132" s="60"/>
    </row>
    <row r="133" spans="1:65" s="51" customFormat="1" ht="30" customHeight="1" thickBot="1" x14ac:dyDescent="0.35">
      <c r="A133" s="46"/>
      <c r="B133" s="70"/>
      <c r="C133" s="69"/>
      <c r="D133" s="68"/>
      <c r="E133" s="67"/>
      <c r="F133" s="122"/>
      <c r="G133" s="61"/>
      <c r="H133" s="61" t="str">
        <f t="shared" si="7"/>
        <v/>
      </c>
      <c r="I133" s="66"/>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60"/>
      <c r="BI133" s="60"/>
      <c r="BJ133" s="60"/>
      <c r="BK133" s="60"/>
      <c r="BL133" s="60"/>
      <c r="BM133" s="60"/>
    </row>
    <row r="134" spans="1:65" s="51" customFormat="1" ht="30" customHeight="1" thickBot="1" x14ac:dyDescent="0.35">
      <c r="A134" s="46"/>
      <c r="B134" s="70"/>
      <c r="C134" s="69"/>
      <c r="D134" s="68"/>
      <c r="E134" s="67"/>
      <c r="F134" s="67"/>
      <c r="G134" s="61"/>
      <c r="H134" s="61" t="str">
        <f t="shared" si="7"/>
        <v/>
      </c>
      <c r="I134" s="66"/>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60"/>
      <c r="BI134" s="60"/>
      <c r="BJ134" s="60"/>
      <c r="BK134" s="60"/>
      <c r="BL134" s="60"/>
      <c r="BM134" s="60"/>
    </row>
    <row r="135" spans="1:65" s="51" customFormat="1" ht="30" customHeight="1" thickBot="1" x14ac:dyDescent="0.35">
      <c r="A135" s="46"/>
      <c r="B135" s="70"/>
      <c r="C135" s="69"/>
      <c r="D135" s="68"/>
      <c r="E135" s="67"/>
      <c r="F135" s="67"/>
      <c r="G135" s="61"/>
      <c r="H135" s="61" t="str">
        <f t="shared" si="7"/>
        <v/>
      </c>
      <c r="I135" s="66"/>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60"/>
      <c r="BI135" s="60"/>
      <c r="BJ135" s="60"/>
      <c r="BK135" s="60"/>
      <c r="BL135" s="60"/>
      <c r="BM135" s="60"/>
    </row>
    <row r="136" spans="1:65" s="51" customFormat="1" ht="30" customHeight="1" thickBot="1" x14ac:dyDescent="0.35">
      <c r="A136" s="46"/>
      <c r="B136" s="70"/>
      <c r="C136" s="69"/>
      <c r="D136" s="68"/>
      <c r="E136" s="67"/>
      <c r="F136" s="67"/>
      <c r="G136" s="61"/>
      <c r="H136" s="61" t="str">
        <f t="shared" si="7"/>
        <v/>
      </c>
      <c r="I136" s="66"/>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60"/>
      <c r="BI136" s="60"/>
      <c r="BJ136" s="60"/>
      <c r="BK136" s="60"/>
      <c r="BL136" s="60"/>
      <c r="BM136" s="60"/>
    </row>
    <row r="137" spans="1:65" s="51" customFormat="1" ht="30" customHeight="1" thickBot="1" x14ac:dyDescent="0.35">
      <c r="A137" s="46"/>
      <c r="B137" s="70"/>
      <c r="C137" s="69"/>
      <c r="D137" s="68"/>
      <c r="E137" s="67"/>
      <c r="F137" s="67"/>
      <c r="G137" s="61"/>
      <c r="H137" s="61" t="str">
        <f t="shared" si="7"/>
        <v/>
      </c>
      <c r="I137" s="66"/>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60"/>
      <c r="BI137" s="60"/>
      <c r="BJ137" s="60"/>
      <c r="BK137" s="60"/>
      <c r="BL137" s="60"/>
      <c r="BM137" s="60"/>
    </row>
    <row r="138" spans="1:65" s="51" customFormat="1" ht="30" customHeight="1" thickBot="1" x14ac:dyDescent="0.35">
      <c r="A138" s="46"/>
      <c r="B138" s="70"/>
      <c r="C138" s="69"/>
      <c r="D138" s="68"/>
      <c r="E138" s="67"/>
      <c r="F138" s="67"/>
      <c r="G138" s="61"/>
      <c r="H138" s="61" t="str">
        <f t="shared" si="7"/>
        <v/>
      </c>
      <c r="I138" s="66"/>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60"/>
      <c r="BI138" s="60"/>
      <c r="BJ138" s="60"/>
      <c r="BK138" s="60"/>
      <c r="BL138" s="60"/>
      <c r="BM138" s="60"/>
    </row>
    <row r="139" spans="1:65" s="51" customFormat="1" ht="30" customHeight="1" thickBot="1" x14ac:dyDescent="0.35">
      <c r="A139" s="46"/>
      <c r="B139" s="70"/>
      <c r="C139" s="69"/>
      <c r="D139" s="68"/>
      <c r="E139" s="67"/>
      <c r="F139" s="67"/>
      <c r="G139" s="61"/>
      <c r="H139" s="61" t="str">
        <f t="shared" si="7"/>
        <v/>
      </c>
      <c r="I139" s="66"/>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row>
    <row r="140" spans="1:65" s="51" customFormat="1" ht="30" customHeight="1" thickBot="1" x14ac:dyDescent="0.35">
      <c r="A140" s="46"/>
      <c r="B140" s="70"/>
      <c r="C140" s="69"/>
      <c r="D140" s="68"/>
      <c r="E140" s="67"/>
      <c r="F140" s="67"/>
      <c r="G140" s="61"/>
      <c r="H140" s="61" t="str">
        <f t="shared" si="7"/>
        <v/>
      </c>
      <c r="I140" s="66"/>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60"/>
      <c r="BI140" s="60"/>
      <c r="BJ140" s="60"/>
      <c r="BK140" s="60"/>
      <c r="BL140" s="60"/>
      <c r="BM140" s="60"/>
    </row>
    <row r="141" spans="1:65" s="51" customFormat="1" ht="30" customHeight="1" thickBot="1" x14ac:dyDescent="0.35">
      <c r="A141" s="46"/>
      <c r="B141" s="70"/>
      <c r="C141" s="69"/>
      <c r="D141" s="68"/>
      <c r="E141" s="67"/>
      <c r="F141" s="67"/>
      <c r="G141" s="61"/>
      <c r="H141" s="61" t="str">
        <f t="shared" si="7"/>
        <v/>
      </c>
      <c r="I141" s="66"/>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60"/>
      <c r="BI141" s="60"/>
      <c r="BJ141" s="60"/>
      <c r="BK141" s="60"/>
      <c r="BL141" s="60"/>
      <c r="BM141" s="60"/>
    </row>
    <row r="142" spans="1:65" s="51" customFormat="1" ht="30" customHeight="1" thickBot="1" x14ac:dyDescent="0.35">
      <c r="A142" s="46"/>
      <c r="B142" s="70"/>
      <c r="C142" s="69"/>
      <c r="D142" s="68"/>
      <c r="E142" s="67"/>
      <c r="F142" s="67"/>
      <c r="G142" s="61"/>
      <c r="H142" s="61" t="str">
        <f t="shared" si="7"/>
        <v/>
      </c>
      <c r="I142" s="66"/>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60"/>
      <c r="BI142" s="60"/>
      <c r="BJ142" s="60"/>
      <c r="BK142" s="60"/>
      <c r="BL142" s="60"/>
      <c r="BM142" s="60"/>
    </row>
    <row r="143" spans="1:65" s="51" customFormat="1" ht="30" customHeight="1" thickBot="1" x14ac:dyDescent="0.35">
      <c r="A143" s="46"/>
      <c r="B143" s="70"/>
      <c r="C143" s="69"/>
      <c r="D143" s="68"/>
      <c r="E143" s="67"/>
      <c r="F143" s="67"/>
      <c r="G143" s="61"/>
      <c r="H143" s="61" t="str">
        <f t="shared" si="7"/>
        <v/>
      </c>
      <c r="I143" s="66"/>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60"/>
      <c r="BI143" s="60"/>
      <c r="BJ143" s="60"/>
      <c r="BK143" s="60"/>
      <c r="BL143" s="60"/>
      <c r="BM143" s="60"/>
    </row>
    <row r="144" spans="1:65" s="51" customFormat="1" ht="30" customHeight="1" thickBot="1" x14ac:dyDescent="0.35">
      <c r="A144" s="46"/>
      <c r="B144" s="70"/>
      <c r="C144" s="69"/>
      <c r="D144" s="68"/>
      <c r="E144" s="67"/>
      <c r="F144" s="67"/>
      <c r="G144" s="61"/>
      <c r="H144" s="61" t="str">
        <f t="shared" si="7"/>
        <v/>
      </c>
      <c r="I144" s="66"/>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60"/>
      <c r="BI144" s="60"/>
      <c r="BJ144" s="60"/>
      <c r="BK144" s="60"/>
      <c r="BL144" s="60"/>
      <c r="BM144" s="60"/>
    </row>
    <row r="145" spans="1:65" s="51" customFormat="1" ht="30" customHeight="1" thickBot="1" x14ac:dyDescent="0.35">
      <c r="A145" s="46"/>
      <c r="B145" s="70"/>
      <c r="C145" s="69"/>
      <c r="D145" s="68"/>
      <c r="E145" s="67"/>
      <c r="F145" s="67"/>
      <c r="G145" s="61"/>
      <c r="H145" s="61" t="str">
        <f t="shared" si="7"/>
        <v/>
      </c>
      <c r="I145" s="66"/>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60"/>
      <c r="BI145" s="60"/>
      <c r="BJ145" s="60"/>
      <c r="BK145" s="60"/>
      <c r="BL145" s="60"/>
      <c r="BM145" s="60"/>
    </row>
    <row r="146" spans="1:65" s="51" customFormat="1" ht="30" customHeight="1" thickBot="1" x14ac:dyDescent="0.35">
      <c r="A146" s="46"/>
      <c r="B146" s="70"/>
      <c r="C146" s="69"/>
      <c r="D146" s="68"/>
      <c r="E146" s="67"/>
      <c r="F146" s="67"/>
      <c r="G146" s="61"/>
      <c r="H146" s="61" t="str">
        <f t="shared" si="7"/>
        <v/>
      </c>
      <c r="I146" s="66"/>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60"/>
      <c r="BI146" s="60"/>
      <c r="BJ146" s="60"/>
      <c r="BK146" s="60"/>
      <c r="BL146" s="60"/>
      <c r="BM146" s="60"/>
    </row>
    <row r="147" spans="1:65" s="51" customFormat="1" ht="30" customHeight="1" thickBot="1" x14ac:dyDescent="0.35">
      <c r="A147" s="46"/>
      <c r="B147" s="70"/>
      <c r="C147" s="69"/>
      <c r="D147" s="68"/>
      <c r="E147" s="67"/>
      <c r="F147" s="67"/>
      <c r="G147" s="61"/>
      <c r="H147" s="61" t="str">
        <f t="shared" si="7"/>
        <v/>
      </c>
      <c r="I147" s="66"/>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60"/>
      <c r="BI147" s="60"/>
      <c r="BJ147" s="60"/>
      <c r="BK147" s="60"/>
      <c r="BL147" s="60"/>
      <c r="BM147" s="60"/>
    </row>
    <row r="148" spans="1:65" s="51" customFormat="1" ht="30" customHeight="1" thickBot="1" x14ac:dyDescent="0.35">
      <c r="A148" s="46"/>
      <c r="B148" s="70"/>
      <c r="C148" s="69"/>
      <c r="D148" s="68"/>
      <c r="E148" s="67"/>
      <c r="F148" s="67"/>
      <c r="G148" s="61"/>
      <c r="H148" s="61" t="str">
        <f t="shared" ref="H148:H182" si="8">IF(OR(ISBLANK(task_start),ISBLANK(task_end)),"",task_end-task_start+1)</f>
        <v/>
      </c>
      <c r="I148" s="66"/>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60"/>
      <c r="BI148" s="60"/>
      <c r="BJ148" s="60"/>
      <c r="BK148" s="60"/>
      <c r="BL148" s="60"/>
      <c r="BM148" s="60"/>
    </row>
    <row r="149" spans="1:65" s="51" customFormat="1" ht="30" customHeight="1" thickBot="1" x14ac:dyDescent="0.35">
      <c r="A149" s="46"/>
      <c r="B149" s="70"/>
      <c r="C149" s="69"/>
      <c r="D149" s="68"/>
      <c r="E149" s="67"/>
      <c r="F149" s="67"/>
      <c r="G149" s="61"/>
      <c r="H149" s="61" t="str">
        <f t="shared" si="8"/>
        <v/>
      </c>
      <c r="I149" s="66"/>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60"/>
      <c r="BI149" s="60"/>
      <c r="BJ149" s="60"/>
      <c r="BK149" s="60"/>
      <c r="BL149" s="60"/>
      <c r="BM149" s="60"/>
    </row>
    <row r="150" spans="1:65" s="51" customFormat="1" ht="30" customHeight="1" thickBot="1" x14ac:dyDescent="0.35">
      <c r="A150" s="46"/>
      <c r="B150" s="70"/>
      <c r="C150" s="69"/>
      <c r="D150" s="68"/>
      <c r="E150" s="67"/>
      <c r="F150" s="67"/>
      <c r="G150" s="61"/>
      <c r="H150" s="61" t="str">
        <f t="shared" si="8"/>
        <v/>
      </c>
      <c r="I150" s="66"/>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60"/>
      <c r="BI150" s="60"/>
      <c r="BJ150" s="60"/>
      <c r="BK150" s="60"/>
      <c r="BL150" s="60"/>
      <c r="BM150" s="60"/>
    </row>
    <row r="151" spans="1:65" s="51" customFormat="1" ht="30" customHeight="1" thickBot="1" x14ac:dyDescent="0.35">
      <c r="A151" s="46"/>
      <c r="B151" s="70"/>
      <c r="C151" s="69"/>
      <c r="D151" s="68"/>
      <c r="E151" s="67"/>
      <c r="F151" s="67"/>
      <c r="G151" s="61"/>
      <c r="H151" s="61" t="str">
        <f t="shared" si="8"/>
        <v/>
      </c>
      <c r="I151" s="66"/>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60"/>
      <c r="BI151" s="60"/>
      <c r="BJ151" s="60"/>
      <c r="BK151" s="60"/>
      <c r="BL151" s="60"/>
      <c r="BM151" s="60"/>
    </row>
    <row r="152" spans="1:65" s="51" customFormat="1" ht="30" customHeight="1" thickBot="1" x14ac:dyDescent="0.35">
      <c r="A152" s="46"/>
      <c r="B152" s="70"/>
      <c r="C152" s="69"/>
      <c r="D152" s="68"/>
      <c r="E152" s="67"/>
      <c r="F152" s="67"/>
      <c r="G152" s="61"/>
      <c r="H152" s="61" t="str">
        <f t="shared" si="8"/>
        <v/>
      </c>
      <c r="I152" s="66"/>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row>
    <row r="153" spans="1:65" s="51" customFormat="1" ht="30" customHeight="1" thickBot="1" x14ac:dyDescent="0.35">
      <c r="A153" s="46"/>
      <c r="B153" s="70"/>
      <c r="C153" s="69"/>
      <c r="D153" s="68"/>
      <c r="E153" s="67"/>
      <c r="F153" s="67"/>
      <c r="G153" s="61"/>
      <c r="H153" s="61" t="str">
        <f t="shared" si="8"/>
        <v/>
      </c>
      <c r="I153" s="66"/>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c r="BE153" s="60"/>
      <c r="BF153" s="60"/>
      <c r="BG153" s="60"/>
      <c r="BH153" s="60"/>
      <c r="BI153" s="60"/>
      <c r="BJ153" s="60"/>
      <c r="BK153" s="60"/>
      <c r="BL153" s="60"/>
      <c r="BM153" s="60"/>
    </row>
    <row r="154" spans="1:65" s="51" customFormat="1" ht="30" customHeight="1" thickBot="1" x14ac:dyDescent="0.35">
      <c r="A154" s="46"/>
      <c r="B154" s="70"/>
      <c r="C154" s="69"/>
      <c r="D154" s="68"/>
      <c r="E154" s="67"/>
      <c r="F154" s="67"/>
      <c r="G154" s="61"/>
      <c r="H154" s="61" t="str">
        <f t="shared" si="8"/>
        <v/>
      </c>
      <c r="I154" s="66"/>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c r="BE154" s="60"/>
      <c r="BF154" s="60"/>
      <c r="BG154" s="60"/>
      <c r="BH154" s="60"/>
      <c r="BI154" s="60"/>
      <c r="BJ154" s="60"/>
      <c r="BK154" s="60"/>
      <c r="BL154" s="60"/>
      <c r="BM154" s="60"/>
    </row>
    <row r="155" spans="1:65" s="51" customFormat="1" ht="30" customHeight="1" thickBot="1" x14ac:dyDescent="0.35">
      <c r="A155" s="46"/>
      <c r="B155" s="70"/>
      <c r="C155" s="69"/>
      <c r="D155" s="68"/>
      <c r="E155" s="67"/>
      <c r="F155" s="67"/>
      <c r="G155" s="61"/>
      <c r="H155" s="61" t="str">
        <f t="shared" si="8"/>
        <v/>
      </c>
      <c r="I155" s="66"/>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c r="BE155" s="60"/>
      <c r="BF155" s="60"/>
      <c r="BG155" s="60"/>
      <c r="BH155" s="60"/>
      <c r="BI155" s="60"/>
      <c r="BJ155" s="60"/>
      <c r="BK155" s="60"/>
      <c r="BL155" s="60"/>
      <c r="BM155" s="60"/>
    </row>
    <row r="156" spans="1:65" s="51" customFormat="1" ht="30" customHeight="1" thickBot="1" x14ac:dyDescent="0.35">
      <c r="A156" s="46"/>
      <c r="B156" s="70"/>
      <c r="C156" s="69"/>
      <c r="D156" s="68"/>
      <c r="E156" s="67"/>
      <c r="F156" s="67"/>
      <c r="G156" s="61"/>
      <c r="H156" s="61" t="str">
        <f t="shared" si="8"/>
        <v/>
      </c>
      <c r="I156" s="66"/>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c r="BE156" s="60"/>
      <c r="BF156" s="60"/>
      <c r="BG156" s="60"/>
      <c r="BH156" s="60"/>
      <c r="BI156" s="60"/>
      <c r="BJ156" s="60"/>
      <c r="BK156" s="60"/>
      <c r="BL156" s="60"/>
      <c r="BM156" s="60"/>
    </row>
    <row r="157" spans="1:65" s="51" customFormat="1" ht="30" customHeight="1" thickBot="1" x14ac:dyDescent="0.35">
      <c r="A157" s="46"/>
      <c r="B157" s="70"/>
      <c r="C157" s="69"/>
      <c r="D157" s="68"/>
      <c r="E157" s="67"/>
      <c r="F157" s="67"/>
      <c r="G157" s="61"/>
      <c r="H157" s="61" t="str">
        <f t="shared" si="8"/>
        <v/>
      </c>
      <c r="I157" s="66"/>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c r="BE157" s="60"/>
      <c r="BF157" s="60"/>
      <c r="BG157" s="60"/>
      <c r="BH157" s="60"/>
      <c r="BI157" s="60"/>
      <c r="BJ157" s="60"/>
      <c r="BK157" s="60"/>
      <c r="BL157" s="60"/>
      <c r="BM157" s="60"/>
    </row>
    <row r="158" spans="1:65" s="51" customFormat="1" ht="30" customHeight="1" thickBot="1" x14ac:dyDescent="0.35">
      <c r="A158" s="46"/>
      <c r="B158" s="70"/>
      <c r="C158" s="69"/>
      <c r="D158" s="68"/>
      <c r="E158" s="67"/>
      <c r="F158" s="67"/>
      <c r="G158" s="61"/>
      <c r="H158" s="61" t="str">
        <f t="shared" si="8"/>
        <v/>
      </c>
      <c r="I158" s="66"/>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c r="BE158" s="60"/>
      <c r="BF158" s="60"/>
      <c r="BG158" s="60"/>
      <c r="BH158" s="60"/>
      <c r="BI158" s="60"/>
      <c r="BJ158" s="60"/>
      <c r="BK158" s="60"/>
      <c r="BL158" s="60"/>
      <c r="BM158" s="60"/>
    </row>
    <row r="159" spans="1:65" s="51" customFormat="1" ht="30" customHeight="1" thickBot="1" x14ac:dyDescent="0.35">
      <c r="A159" s="46"/>
      <c r="B159" s="70"/>
      <c r="C159" s="69"/>
      <c r="D159" s="68"/>
      <c r="E159" s="67"/>
      <c r="F159" s="67"/>
      <c r="G159" s="61"/>
      <c r="H159" s="61" t="str">
        <f t="shared" si="8"/>
        <v/>
      </c>
      <c r="I159" s="66"/>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c r="BE159" s="60"/>
      <c r="BF159" s="60"/>
      <c r="BG159" s="60"/>
      <c r="BH159" s="60"/>
      <c r="BI159" s="60"/>
      <c r="BJ159" s="60"/>
      <c r="BK159" s="60"/>
      <c r="BL159" s="60"/>
      <c r="BM159" s="60"/>
    </row>
    <row r="160" spans="1:65" s="51" customFormat="1" ht="30" customHeight="1" thickBot="1" x14ac:dyDescent="0.35">
      <c r="A160" s="46"/>
      <c r="B160" s="70"/>
      <c r="C160" s="69"/>
      <c r="D160" s="68"/>
      <c r="E160" s="67"/>
      <c r="F160" s="67"/>
      <c r="G160" s="61"/>
      <c r="H160" s="61" t="str">
        <f t="shared" si="8"/>
        <v/>
      </c>
      <c r="I160" s="66"/>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c r="BE160" s="60"/>
      <c r="BF160" s="60"/>
      <c r="BG160" s="60"/>
      <c r="BH160" s="60"/>
      <c r="BI160" s="60"/>
      <c r="BJ160" s="60"/>
      <c r="BK160" s="60"/>
      <c r="BL160" s="60"/>
      <c r="BM160" s="60"/>
    </row>
    <row r="161" spans="1:65" s="51" customFormat="1" ht="30" customHeight="1" thickBot="1" x14ac:dyDescent="0.35">
      <c r="A161" s="46"/>
      <c r="B161" s="70"/>
      <c r="C161" s="69"/>
      <c r="D161" s="68"/>
      <c r="E161" s="67"/>
      <c r="F161" s="67"/>
      <c r="G161" s="61"/>
      <c r="H161" s="61" t="str">
        <f t="shared" si="8"/>
        <v/>
      </c>
      <c r="I161" s="66"/>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c r="BE161" s="60"/>
      <c r="BF161" s="60"/>
      <c r="BG161" s="60"/>
      <c r="BH161" s="60"/>
      <c r="BI161" s="60"/>
      <c r="BJ161" s="60"/>
      <c r="BK161" s="60"/>
      <c r="BL161" s="60"/>
      <c r="BM161" s="60"/>
    </row>
    <row r="162" spans="1:65" s="51" customFormat="1" ht="30" customHeight="1" thickBot="1" x14ac:dyDescent="0.35">
      <c r="A162" s="46"/>
      <c r="B162" s="70"/>
      <c r="C162" s="69"/>
      <c r="D162" s="68"/>
      <c r="E162" s="67"/>
      <c r="F162" s="67"/>
      <c r="G162" s="61"/>
      <c r="H162" s="61" t="str">
        <f t="shared" si="8"/>
        <v/>
      </c>
      <c r="I162" s="66"/>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c r="BE162" s="60"/>
      <c r="BF162" s="60"/>
      <c r="BG162" s="60"/>
      <c r="BH162" s="60"/>
      <c r="BI162" s="60"/>
      <c r="BJ162" s="60"/>
      <c r="BK162" s="60"/>
      <c r="BL162" s="60"/>
      <c r="BM162" s="60"/>
    </row>
    <row r="163" spans="1:65" s="51" customFormat="1" ht="30" customHeight="1" thickBot="1" x14ac:dyDescent="0.35">
      <c r="A163" s="46"/>
      <c r="B163" s="70"/>
      <c r="C163" s="69"/>
      <c r="D163" s="68"/>
      <c r="E163" s="67"/>
      <c r="F163" s="67"/>
      <c r="G163" s="61"/>
      <c r="H163" s="61" t="str">
        <f t="shared" si="8"/>
        <v/>
      </c>
      <c r="I163" s="66"/>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c r="BE163" s="60"/>
      <c r="BF163" s="60"/>
      <c r="BG163" s="60"/>
      <c r="BH163" s="60"/>
      <c r="BI163" s="60"/>
      <c r="BJ163" s="60"/>
      <c r="BK163" s="60"/>
      <c r="BL163" s="60"/>
      <c r="BM163" s="60"/>
    </row>
    <row r="164" spans="1:65" s="51" customFormat="1" ht="30" customHeight="1" thickBot="1" x14ac:dyDescent="0.35">
      <c r="A164" s="46"/>
      <c r="B164" s="70"/>
      <c r="C164" s="69"/>
      <c r="D164" s="68"/>
      <c r="E164" s="67"/>
      <c r="F164" s="67"/>
      <c r="G164" s="61"/>
      <c r="H164" s="61" t="str">
        <f t="shared" si="8"/>
        <v/>
      </c>
      <c r="I164" s="66"/>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c r="BE164" s="60"/>
      <c r="BF164" s="60"/>
      <c r="BG164" s="60"/>
      <c r="BH164" s="60"/>
      <c r="BI164" s="60"/>
      <c r="BJ164" s="60"/>
      <c r="BK164" s="60"/>
      <c r="BL164" s="60"/>
      <c r="BM164" s="60"/>
    </row>
    <row r="165" spans="1:65" s="51" customFormat="1" ht="30" customHeight="1" thickBot="1" x14ac:dyDescent="0.35">
      <c r="A165" s="46"/>
      <c r="B165" s="70"/>
      <c r="C165" s="69"/>
      <c r="D165" s="68"/>
      <c r="E165" s="67"/>
      <c r="F165" s="67"/>
      <c r="G165" s="61"/>
      <c r="H165" s="61" t="str">
        <f t="shared" si="8"/>
        <v/>
      </c>
      <c r="I165" s="66"/>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c r="BE165" s="60"/>
      <c r="BF165" s="60"/>
      <c r="BG165" s="60"/>
      <c r="BH165" s="60"/>
      <c r="BI165" s="60"/>
      <c r="BJ165" s="60"/>
      <c r="BK165" s="60"/>
      <c r="BL165" s="60"/>
      <c r="BM165" s="60"/>
    </row>
    <row r="166" spans="1:65" s="51" customFormat="1" ht="30" customHeight="1" thickBot="1" x14ac:dyDescent="0.35">
      <c r="A166" s="46"/>
      <c r="B166" s="70"/>
      <c r="C166" s="69"/>
      <c r="D166" s="68"/>
      <c r="E166" s="67"/>
      <c r="F166" s="67"/>
      <c r="G166" s="61"/>
      <c r="H166" s="61" t="str">
        <f t="shared" si="8"/>
        <v/>
      </c>
      <c r="I166" s="66"/>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c r="BE166" s="60"/>
      <c r="BF166" s="60"/>
      <c r="BG166" s="60"/>
      <c r="BH166" s="60"/>
      <c r="BI166" s="60"/>
      <c r="BJ166" s="60"/>
      <c r="BK166" s="60"/>
      <c r="BL166" s="60"/>
      <c r="BM166" s="60"/>
    </row>
    <row r="167" spans="1:65" s="51" customFormat="1" ht="30" customHeight="1" thickBot="1" x14ac:dyDescent="0.35">
      <c r="A167" s="46"/>
      <c r="B167" s="70"/>
      <c r="C167" s="69"/>
      <c r="D167" s="68"/>
      <c r="E167" s="67"/>
      <c r="F167" s="67"/>
      <c r="G167" s="61"/>
      <c r="H167" s="61" t="str">
        <f t="shared" si="8"/>
        <v/>
      </c>
      <c r="I167" s="66"/>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c r="BE167" s="60"/>
      <c r="BF167" s="60"/>
      <c r="BG167" s="60"/>
      <c r="BH167" s="60"/>
      <c r="BI167" s="60"/>
      <c r="BJ167" s="60"/>
      <c r="BK167" s="60"/>
      <c r="BL167" s="60"/>
      <c r="BM167" s="60"/>
    </row>
    <row r="168" spans="1:65" s="51" customFormat="1" ht="30" customHeight="1" thickBot="1" x14ac:dyDescent="0.35">
      <c r="A168" s="46"/>
      <c r="B168" s="70"/>
      <c r="C168" s="69"/>
      <c r="D168" s="68"/>
      <c r="E168" s="67"/>
      <c r="F168" s="67"/>
      <c r="G168" s="61"/>
      <c r="H168" s="61" t="str">
        <f t="shared" si="8"/>
        <v/>
      </c>
      <c r="I168" s="66"/>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c r="BE168" s="60"/>
      <c r="BF168" s="60"/>
      <c r="BG168" s="60"/>
      <c r="BH168" s="60"/>
      <c r="BI168" s="60"/>
      <c r="BJ168" s="60"/>
      <c r="BK168" s="60"/>
      <c r="BL168" s="60"/>
      <c r="BM168" s="60"/>
    </row>
    <row r="169" spans="1:65" s="51" customFormat="1" ht="30" customHeight="1" thickBot="1" x14ac:dyDescent="0.35">
      <c r="A169" s="46"/>
      <c r="B169" s="70"/>
      <c r="C169" s="69"/>
      <c r="D169" s="68"/>
      <c r="E169" s="67"/>
      <c r="F169" s="67"/>
      <c r="G169" s="61"/>
      <c r="H169" s="61" t="str">
        <f t="shared" si="8"/>
        <v/>
      </c>
      <c r="I169" s="66"/>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c r="BE169" s="60"/>
      <c r="BF169" s="60"/>
      <c r="BG169" s="60"/>
      <c r="BH169" s="60"/>
      <c r="BI169" s="60"/>
      <c r="BJ169" s="60"/>
      <c r="BK169" s="60"/>
      <c r="BL169" s="60"/>
      <c r="BM169" s="60"/>
    </row>
    <row r="170" spans="1:65" s="51" customFormat="1" ht="30" customHeight="1" thickBot="1" x14ac:dyDescent="0.35">
      <c r="A170" s="46"/>
      <c r="B170" s="70"/>
      <c r="C170" s="69"/>
      <c r="D170" s="68"/>
      <c r="E170" s="67"/>
      <c r="F170" s="67"/>
      <c r="G170" s="61"/>
      <c r="H170" s="61" t="str">
        <f t="shared" si="8"/>
        <v/>
      </c>
      <c r="I170" s="66"/>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c r="BE170" s="60"/>
      <c r="BF170" s="60"/>
      <c r="BG170" s="60"/>
      <c r="BH170" s="60"/>
      <c r="BI170" s="60"/>
      <c r="BJ170" s="60"/>
      <c r="BK170" s="60"/>
      <c r="BL170" s="60"/>
      <c r="BM170" s="60"/>
    </row>
    <row r="171" spans="1:65" s="51" customFormat="1" ht="30" customHeight="1" thickBot="1" x14ac:dyDescent="0.35">
      <c r="A171" s="46"/>
      <c r="B171" s="70"/>
      <c r="C171" s="69"/>
      <c r="D171" s="68"/>
      <c r="E171" s="67"/>
      <c r="F171" s="67"/>
      <c r="G171" s="61"/>
      <c r="H171" s="61" t="str">
        <f t="shared" si="8"/>
        <v/>
      </c>
      <c r="I171" s="66"/>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c r="BE171" s="60"/>
      <c r="BF171" s="60"/>
      <c r="BG171" s="60"/>
      <c r="BH171" s="60"/>
      <c r="BI171" s="60"/>
      <c r="BJ171" s="60"/>
      <c r="BK171" s="60"/>
      <c r="BL171" s="60"/>
      <c r="BM171" s="60"/>
    </row>
    <row r="172" spans="1:65" s="51" customFormat="1" ht="30" customHeight="1" thickBot="1" x14ac:dyDescent="0.35">
      <c r="A172" s="46"/>
      <c r="B172" s="70"/>
      <c r="C172" s="69"/>
      <c r="D172" s="68"/>
      <c r="E172" s="67"/>
      <c r="F172" s="67"/>
      <c r="G172" s="61"/>
      <c r="H172" s="61" t="str">
        <f t="shared" si="8"/>
        <v/>
      </c>
      <c r="I172" s="66"/>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c r="BE172" s="60"/>
      <c r="BF172" s="60"/>
      <c r="BG172" s="60"/>
      <c r="BH172" s="60"/>
      <c r="BI172" s="60"/>
      <c r="BJ172" s="60"/>
      <c r="BK172" s="60"/>
      <c r="BL172" s="60"/>
      <c r="BM172" s="60"/>
    </row>
    <row r="173" spans="1:65" s="51" customFormat="1" ht="30" customHeight="1" thickBot="1" x14ac:dyDescent="0.35">
      <c r="A173" s="46"/>
      <c r="B173" s="70"/>
      <c r="C173" s="69"/>
      <c r="D173" s="68"/>
      <c r="E173" s="67"/>
      <c r="F173" s="67"/>
      <c r="G173" s="61"/>
      <c r="H173" s="61" t="str">
        <f t="shared" si="8"/>
        <v/>
      </c>
      <c r="I173" s="66"/>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c r="BE173" s="60"/>
      <c r="BF173" s="60"/>
      <c r="BG173" s="60"/>
      <c r="BH173" s="60"/>
      <c r="BI173" s="60"/>
      <c r="BJ173" s="60"/>
      <c r="BK173" s="60"/>
      <c r="BL173" s="60"/>
      <c r="BM173" s="60"/>
    </row>
    <row r="174" spans="1:65" s="51" customFormat="1" ht="30" customHeight="1" thickBot="1" x14ac:dyDescent="0.35">
      <c r="A174" s="46"/>
      <c r="B174" s="70"/>
      <c r="C174" s="69"/>
      <c r="D174" s="68"/>
      <c r="E174" s="67"/>
      <c r="F174" s="67"/>
      <c r="G174" s="61"/>
      <c r="H174" s="61" t="str">
        <f t="shared" si="8"/>
        <v/>
      </c>
      <c r="I174" s="66"/>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c r="BE174" s="60"/>
      <c r="BF174" s="60"/>
      <c r="BG174" s="60"/>
      <c r="BH174" s="60"/>
      <c r="BI174" s="60"/>
      <c r="BJ174" s="60"/>
      <c r="BK174" s="60"/>
      <c r="BL174" s="60"/>
      <c r="BM174" s="60"/>
    </row>
    <row r="175" spans="1:65" s="51" customFormat="1" ht="30" customHeight="1" thickBot="1" x14ac:dyDescent="0.35">
      <c r="A175" s="46"/>
      <c r="B175" s="70"/>
      <c r="C175" s="69"/>
      <c r="D175" s="68"/>
      <c r="E175" s="67"/>
      <c r="F175" s="67"/>
      <c r="G175" s="61"/>
      <c r="H175" s="61" t="str">
        <f t="shared" si="8"/>
        <v/>
      </c>
      <c r="I175" s="66"/>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c r="BE175" s="60"/>
      <c r="BF175" s="60"/>
      <c r="BG175" s="60"/>
      <c r="BH175" s="60"/>
      <c r="BI175" s="60"/>
      <c r="BJ175" s="60"/>
      <c r="BK175" s="60"/>
      <c r="BL175" s="60"/>
      <c r="BM175" s="60"/>
    </row>
    <row r="176" spans="1:65" s="51" customFormat="1" ht="30" customHeight="1" thickBot="1" x14ac:dyDescent="0.35">
      <c r="A176" s="46"/>
      <c r="B176" s="70"/>
      <c r="C176" s="69"/>
      <c r="D176" s="68"/>
      <c r="E176" s="67"/>
      <c r="F176" s="67"/>
      <c r="G176" s="61"/>
      <c r="H176" s="61" t="str">
        <f t="shared" si="8"/>
        <v/>
      </c>
      <c r="I176" s="66"/>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c r="BE176" s="60"/>
      <c r="BF176" s="60"/>
      <c r="BG176" s="60"/>
      <c r="BH176" s="60"/>
      <c r="BI176" s="60"/>
      <c r="BJ176" s="60"/>
      <c r="BK176" s="60"/>
      <c r="BL176" s="60"/>
      <c r="BM176" s="60"/>
    </row>
    <row r="177" spans="1:65" s="51" customFormat="1" ht="30" customHeight="1" thickBot="1" x14ac:dyDescent="0.35">
      <c r="A177" s="46"/>
      <c r="B177" s="70"/>
      <c r="C177" s="69"/>
      <c r="D177" s="68"/>
      <c r="E177" s="67"/>
      <c r="F177" s="67"/>
      <c r="G177" s="61"/>
      <c r="H177" s="61" t="str">
        <f t="shared" si="8"/>
        <v/>
      </c>
      <c r="I177" s="66"/>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c r="BE177" s="60"/>
      <c r="BF177" s="60"/>
      <c r="BG177" s="60"/>
      <c r="BH177" s="60"/>
      <c r="BI177" s="60"/>
      <c r="BJ177" s="60"/>
      <c r="BK177" s="60"/>
      <c r="BL177" s="60"/>
      <c r="BM177" s="60"/>
    </row>
    <row r="178" spans="1:65" s="51" customFormat="1" ht="30" customHeight="1" thickBot="1" x14ac:dyDescent="0.35">
      <c r="A178" s="46"/>
      <c r="B178" s="70"/>
      <c r="C178" s="69"/>
      <c r="D178" s="68"/>
      <c r="E178" s="67"/>
      <c r="F178" s="67"/>
      <c r="G178" s="61"/>
      <c r="H178" s="61" t="str">
        <f t="shared" si="8"/>
        <v/>
      </c>
      <c r="I178" s="66"/>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c r="BE178" s="60"/>
      <c r="BF178" s="60"/>
      <c r="BG178" s="60"/>
      <c r="BH178" s="60"/>
      <c r="BI178" s="60"/>
      <c r="BJ178" s="60"/>
      <c r="BK178" s="60"/>
      <c r="BL178" s="60"/>
      <c r="BM178" s="60"/>
    </row>
    <row r="179" spans="1:65" s="51" customFormat="1" ht="30" customHeight="1" thickBot="1" x14ac:dyDescent="0.35">
      <c r="A179" s="46"/>
      <c r="B179" s="70"/>
      <c r="C179" s="69"/>
      <c r="D179" s="68"/>
      <c r="E179" s="67"/>
      <c r="F179" s="67"/>
      <c r="G179" s="61"/>
      <c r="H179" s="61" t="str">
        <f t="shared" si="8"/>
        <v/>
      </c>
      <c r="I179" s="66"/>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c r="BE179" s="60"/>
      <c r="BF179" s="60"/>
      <c r="BG179" s="60"/>
      <c r="BH179" s="60"/>
      <c r="BI179" s="60"/>
      <c r="BJ179" s="60"/>
      <c r="BK179" s="60"/>
      <c r="BL179" s="60"/>
      <c r="BM179" s="60"/>
    </row>
    <row r="180" spans="1:65" s="51" customFormat="1" ht="30" customHeight="1" thickBot="1" x14ac:dyDescent="0.35">
      <c r="A180" s="46"/>
      <c r="B180" s="70"/>
      <c r="C180" s="69"/>
      <c r="D180" s="68"/>
      <c r="E180" s="67"/>
      <c r="F180" s="67"/>
      <c r="G180" s="61"/>
      <c r="H180" s="61" t="str">
        <f t="shared" si="8"/>
        <v/>
      </c>
      <c r="I180" s="66"/>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c r="BE180" s="60"/>
      <c r="BF180" s="60"/>
      <c r="BG180" s="60"/>
      <c r="BH180" s="60"/>
      <c r="BI180" s="60"/>
      <c r="BJ180" s="60"/>
      <c r="BK180" s="60"/>
      <c r="BL180" s="60"/>
      <c r="BM180" s="60"/>
    </row>
    <row r="181" spans="1:65" s="51" customFormat="1" ht="30" customHeight="1" thickBot="1" x14ac:dyDescent="0.35">
      <c r="A181" s="46"/>
      <c r="B181" s="70"/>
      <c r="C181" s="69"/>
      <c r="D181" s="68"/>
      <c r="E181" s="67"/>
      <c r="F181" s="67"/>
      <c r="G181" s="61"/>
      <c r="H181" s="61" t="str">
        <f t="shared" si="8"/>
        <v/>
      </c>
      <c r="I181" s="66"/>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c r="BE181" s="60"/>
      <c r="BF181" s="60"/>
      <c r="BG181" s="60"/>
      <c r="BH181" s="60"/>
      <c r="BI181" s="60"/>
      <c r="BJ181" s="60"/>
      <c r="BK181" s="60"/>
      <c r="BL181" s="60"/>
      <c r="BM181" s="60"/>
    </row>
    <row r="182" spans="1:65" s="51" customFormat="1" ht="30" customHeight="1" thickBot="1" x14ac:dyDescent="0.35">
      <c r="A182" s="46"/>
      <c r="B182" s="70"/>
      <c r="C182" s="69"/>
      <c r="D182" s="68"/>
      <c r="E182" s="67"/>
      <c r="F182" s="67"/>
      <c r="G182" s="61"/>
      <c r="H182" s="61" t="str">
        <f t="shared" si="8"/>
        <v/>
      </c>
      <c r="I182" s="66"/>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c r="BE182" s="60"/>
      <c r="BF182" s="60"/>
      <c r="BG182" s="60"/>
      <c r="BH182" s="60"/>
      <c r="BI182" s="60"/>
      <c r="BJ182" s="60"/>
      <c r="BK182" s="60"/>
      <c r="BL182" s="60"/>
      <c r="BM182" s="60"/>
    </row>
    <row r="183" spans="1:65" s="51" customFormat="1" ht="30" customHeight="1" thickBot="1" x14ac:dyDescent="0.35">
      <c r="A183" s="46"/>
      <c r="B183" s="70"/>
      <c r="C183" s="69"/>
      <c r="D183" s="68"/>
      <c r="E183" s="67"/>
      <c r="F183" s="67"/>
      <c r="G183" s="61"/>
      <c r="H183" s="61"/>
      <c r="I183" s="66"/>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c r="BE183" s="60"/>
      <c r="BF183" s="60"/>
      <c r="BG183" s="60"/>
      <c r="BH183" s="60"/>
      <c r="BI183" s="60"/>
      <c r="BJ183" s="60"/>
      <c r="BK183" s="60"/>
      <c r="BL183" s="60"/>
      <c r="BM183" s="60"/>
    </row>
    <row r="184" spans="1:65" s="51" customFormat="1" ht="30" customHeight="1" thickBot="1" x14ac:dyDescent="0.35">
      <c r="A184" s="46"/>
      <c r="B184" s="70"/>
      <c r="C184" s="69"/>
      <c r="D184" s="68"/>
      <c r="E184" s="67"/>
      <c r="F184" s="67"/>
      <c r="G184" s="61"/>
      <c r="H184" s="61"/>
      <c r="I184" s="66"/>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c r="BE184" s="60"/>
      <c r="BF184" s="60"/>
      <c r="BG184" s="60"/>
      <c r="BH184" s="60"/>
      <c r="BI184" s="60"/>
      <c r="BJ184" s="60"/>
      <c r="BK184" s="60"/>
      <c r="BL184" s="60"/>
      <c r="BM184" s="60"/>
    </row>
    <row r="185" spans="1:65" s="51" customFormat="1" ht="30" customHeight="1" thickBot="1" x14ac:dyDescent="0.35">
      <c r="A185" s="46"/>
      <c r="B185" s="70" t="s">
        <v>120</v>
      </c>
      <c r="C185" s="69"/>
      <c r="D185" s="68"/>
      <c r="E185" s="67" t="s">
        <v>119</v>
      </c>
      <c r="F185" s="67" t="s">
        <v>119</v>
      </c>
      <c r="G185" s="61"/>
      <c r="H185" s="61" t="e">
        <f>IF(OR(ISBLANK(task_start),ISBLANK(task_end)),"",task_end-task_start+1)</f>
        <v>#VALUE!</v>
      </c>
      <c r="I185" s="66"/>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c r="BE185" s="60"/>
      <c r="BF185" s="60"/>
      <c r="BG185" s="60"/>
      <c r="BH185" s="60"/>
      <c r="BI185" s="60"/>
      <c r="BJ185" s="60"/>
      <c r="BK185" s="60"/>
      <c r="BL185" s="60"/>
      <c r="BM185" s="60"/>
    </row>
    <row r="186" spans="1:65" s="51" customFormat="1" ht="30" customHeight="1" thickBot="1" x14ac:dyDescent="0.35">
      <c r="A186" s="46" t="s">
        <v>118</v>
      </c>
      <c r="B186" s="65"/>
      <c r="C186" s="64"/>
      <c r="D186" s="63"/>
      <c r="E186" s="62"/>
      <c r="F186" s="62"/>
      <c r="G186" s="61"/>
      <c r="H186" s="61" t="str">
        <f>IF(OR(ISBLANK(task_start),ISBLANK(task_end)),"",task_end-task_start+1)</f>
        <v/>
      </c>
      <c r="I186" s="61"/>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c r="BE186" s="60"/>
      <c r="BF186" s="60"/>
      <c r="BG186" s="60"/>
      <c r="BH186" s="60"/>
      <c r="BI186" s="60"/>
      <c r="BJ186" s="60"/>
      <c r="BK186" s="60"/>
      <c r="BL186" s="60"/>
      <c r="BM186" s="60"/>
    </row>
    <row r="187" spans="1:65" s="51" customFormat="1" ht="30" customHeight="1" thickBot="1" x14ac:dyDescent="0.35">
      <c r="A187" s="59" t="s">
        <v>117</v>
      </c>
      <c r="B187" s="58" t="s">
        <v>116</v>
      </c>
      <c r="C187" s="57"/>
      <c r="D187" s="56"/>
      <c r="E187" s="55"/>
      <c r="F187" s="54"/>
      <c r="G187" s="53"/>
      <c r="H187" s="53" t="str">
        <f>IF(OR(ISBLANK(task_start),ISBLANK(task_end)),"",task_end-task_start+1)</f>
        <v/>
      </c>
      <c r="I187" s="53"/>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row>
    <row r="188" spans="1:65" ht="30" customHeight="1" x14ac:dyDescent="0.3">
      <c r="G188" s="50"/>
    </row>
    <row r="189" spans="1:65" ht="30" customHeight="1" x14ac:dyDescent="0.3">
      <c r="C189" s="49"/>
      <c r="F189" s="48"/>
    </row>
    <row r="190" spans="1:65" ht="30" customHeight="1" x14ac:dyDescent="0.35">
      <c r="C190" s="47"/>
    </row>
    <row r="191" spans="1:65" ht="30" customHeight="1" x14ac:dyDescent="0.3">
      <c r="G191" s="123" t="s">
        <v>361</v>
      </c>
    </row>
  </sheetData>
  <mergeCells count="12">
    <mergeCell ref="AE4:AK4"/>
    <mergeCell ref="AL4:AR4"/>
    <mergeCell ref="AS4:AY4"/>
    <mergeCell ref="AZ4:BF4"/>
    <mergeCell ref="BG4:BM4"/>
    <mergeCell ref="Q4:W4"/>
    <mergeCell ref="X4:AD4"/>
    <mergeCell ref="B5:G5"/>
    <mergeCell ref="C3:D3"/>
    <mergeCell ref="E3:F3"/>
    <mergeCell ref="C4:D4"/>
    <mergeCell ref="J4:P4"/>
  </mergeCells>
  <phoneticPr fontId="34" type="noConversion"/>
  <conditionalFormatting sqref="C35:C87 D7:D187">
    <cfRule type="dataBar" priority="1">
      <dataBar>
        <cfvo type="num" val="0"/>
        <cfvo type="num" val="1"/>
        <color theme="0" tint="-0.249977111117893"/>
      </dataBar>
      <extLst>
        <ext xmlns:x14="http://schemas.microsoft.com/office/spreadsheetml/2009/9/main" uri="{B025F937-C7B1-47D3-B67F-A62EFF666E3E}">
          <x14:id>{15822096-8A44-4E59-BAD6-F2A5C18FCD0D}</x14:id>
        </ext>
      </extLst>
    </cfRule>
  </conditionalFormatting>
  <conditionalFormatting sqref="J5:BM187">
    <cfRule type="expression" dxfId="263" priority="4">
      <formula>AND(TODAY()&gt;=J$5,TODAY()&lt;K$5)</formula>
    </cfRule>
  </conditionalFormatting>
  <conditionalFormatting sqref="J7:BM187">
    <cfRule type="expression" dxfId="262" priority="2">
      <formula>AND(task_start&lt;=J$5,ROUNDDOWN((task_end-task_start+1)*task_progress,0)+task_start-1&gt;=J$5)</formula>
    </cfRule>
    <cfRule type="expression" dxfId="261"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15822096-8A44-4E59-BAD6-F2A5C18FCD0D}">
            <x14:dataBar minLength="0" maxLength="100" gradient="0">
              <x14:cfvo type="num">
                <xm:f>0</xm:f>
              </x14:cfvo>
              <x14:cfvo type="num">
                <xm:f>1</xm:f>
              </x14:cfvo>
              <x14:negativeFillColor rgb="FFFF0000"/>
              <x14:axisColor rgb="FF000000"/>
            </x14:dataBar>
          </x14:cfRule>
          <xm:sqref>C35:C87 D7:D187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92D050"/>
  </sheetPr>
  <dimension ref="A1:IL34"/>
  <sheetViews>
    <sheetView tabSelected="1" topLeftCell="C1" workbookViewId="0">
      <pane ySplit="3" topLeftCell="A28" activePane="bottomLeft" state="frozen"/>
      <selection pane="bottomLeft" activeCell="C33" sqref="C33:P33"/>
    </sheetView>
  </sheetViews>
  <sheetFormatPr defaultColWidth="9" defaultRowHeight="14.25" x14ac:dyDescent="0.15"/>
  <cols>
    <col min="1" max="1" width="8.25" style="1" customWidth="1"/>
    <col min="2" max="2" width="27.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54" t="s">
        <v>358</v>
      </c>
      <c r="B1" s="154"/>
      <c r="C1" s="154"/>
      <c r="D1" s="154"/>
      <c r="E1" s="154"/>
      <c r="F1" s="154"/>
      <c r="G1" s="154"/>
      <c r="H1" s="154"/>
      <c r="I1" s="154"/>
      <c r="J1" s="154"/>
      <c r="K1" s="154"/>
      <c r="L1" s="154"/>
      <c r="M1" s="154"/>
      <c r="N1" s="154"/>
      <c r="O1" s="154"/>
      <c r="P1" s="15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5" t="s">
        <v>1</v>
      </c>
      <c r="B2" s="155"/>
      <c r="C2" s="5">
        <f ca="1">TODAY()</f>
        <v>44025</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163"/>
      <c r="R3" s="164"/>
      <c r="S3" s="164"/>
      <c r="T3" s="164"/>
      <c r="U3" s="164"/>
      <c r="V3" s="164"/>
      <c r="W3" s="164"/>
      <c r="X3" s="164"/>
      <c r="Y3" s="164"/>
      <c r="Z3" s="164"/>
      <c r="AA3" s="164"/>
      <c r="AB3" s="164"/>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114" customHeight="1" x14ac:dyDescent="0.15">
      <c r="A4" s="10" t="s">
        <v>83</v>
      </c>
      <c r="B4" s="11" t="s">
        <v>84</v>
      </c>
      <c r="C4" s="12" t="s">
        <v>85</v>
      </c>
      <c r="D4" s="13" t="s">
        <v>24</v>
      </c>
      <c r="E4" s="13" t="s">
        <v>47</v>
      </c>
      <c r="F4" s="13">
        <v>43831</v>
      </c>
      <c r="G4" s="14">
        <v>43850</v>
      </c>
      <c r="H4" s="14"/>
      <c r="I4" s="14"/>
      <c r="J4" s="13" t="str">
        <f t="shared" ref="J4:J7" ca="1" si="0">IF(AND(I4&lt;=$C$2,I4&lt;&gt;0),"DONE",IF(K4&lt;0,"OVERDUE",IF(AND(K4="",O4&lt;0),"OVERDUE","IN TIME")))</f>
        <v>OVERDUE</v>
      </c>
      <c r="K4" s="13" t="str">
        <f t="shared" ref="K4:K7" si="1">IF(H4&gt;0,H4-$C$2,"")</f>
        <v/>
      </c>
      <c r="L4" s="13">
        <f t="shared" ref="L4:L7" ca="1" si="2">IF(J4="OVERDUE",1,0)</f>
        <v>1</v>
      </c>
      <c r="M4" s="13">
        <f t="shared" ref="M4:M7" ca="1" si="3">IF(J4="IN TIME",1,0)</f>
        <v>0</v>
      </c>
      <c r="N4" s="13">
        <f t="shared" ref="N4:N7" ca="1" si="4">IF(J4="DONE",1,0)</f>
        <v>0</v>
      </c>
      <c r="O4" s="13">
        <f t="shared" ref="O4:O7" ca="1" si="5">IF(G4&gt;0,G4-$C$2,"")</f>
        <v>-175</v>
      </c>
      <c r="P4" s="20" t="s">
        <v>86</v>
      </c>
      <c r="Q4" s="163"/>
      <c r="R4" s="164"/>
      <c r="S4" s="164"/>
      <c r="T4" s="164"/>
      <c r="U4" s="164"/>
      <c r="V4" s="164"/>
      <c r="W4" s="164"/>
      <c r="X4" s="164"/>
      <c r="Y4" s="164"/>
      <c r="Z4" s="164"/>
      <c r="AA4" s="164"/>
      <c r="AB4" s="164"/>
      <c r="AC4" s="27"/>
      <c r="AD4" s="27"/>
    </row>
    <row r="5" spans="1:246" ht="57.75" customHeight="1" x14ac:dyDescent="0.15">
      <c r="A5" s="15">
        <v>241</v>
      </c>
      <c r="B5" s="11" t="s">
        <v>87</v>
      </c>
      <c r="C5" s="16" t="s">
        <v>88</v>
      </c>
      <c r="D5" s="13" t="s">
        <v>37</v>
      </c>
      <c r="E5" s="13" t="s">
        <v>47</v>
      </c>
      <c r="F5" s="13">
        <v>43831</v>
      </c>
      <c r="G5" s="14">
        <v>43890</v>
      </c>
      <c r="H5" s="14"/>
      <c r="I5" s="14">
        <v>43899</v>
      </c>
      <c r="J5" s="13" t="str">
        <f t="shared" ca="1" si="0"/>
        <v>DONE</v>
      </c>
      <c r="K5" s="13" t="str">
        <f t="shared" si="1"/>
        <v/>
      </c>
      <c r="L5" s="13">
        <f t="shared" ca="1" si="2"/>
        <v>0</v>
      </c>
      <c r="M5" s="13">
        <f t="shared" ca="1" si="3"/>
        <v>0</v>
      </c>
      <c r="N5" s="13">
        <f t="shared" ca="1" si="4"/>
        <v>1</v>
      </c>
      <c r="O5" s="13">
        <f t="shared" ca="1" si="5"/>
        <v>-135</v>
      </c>
      <c r="P5" s="20" t="s">
        <v>365</v>
      </c>
      <c r="Q5" s="163"/>
      <c r="R5" s="164"/>
      <c r="S5" s="164"/>
      <c r="T5" s="164"/>
      <c r="U5" s="164"/>
      <c r="V5" s="164"/>
      <c r="W5" s="164"/>
      <c r="X5" s="164"/>
      <c r="Y5" s="164"/>
      <c r="Z5" s="164"/>
      <c r="AA5" s="164"/>
      <c r="AB5" s="164"/>
      <c r="AC5" s="27"/>
      <c r="AD5" s="27"/>
    </row>
    <row r="6" spans="1:246" ht="24.6" customHeight="1" x14ac:dyDescent="0.15">
      <c r="A6" s="15">
        <v>242</v>
      </c>
      <c r="B6" s="11" t="s">
        <v>89</v>
      </c>
      <c r="C6" s="12" t="s">
        <v>90</v>
      </c>
      <c r="D6" s="13" t="s">
        <v>24</v>
      </c>
      <c r="E6" s="13" t="s">
        <v>21</v>
      </c>
      <c r="F6" s="14">
        <v>43822</v>
      </c>
      <c r="G6" s="14">
        <v>43840</v>
      </c>
      <c r="H6" s="14"/>
      <c r="I6" s="14">
        <v>43843</v>
      </c>
      <c r="J6" s="13" t="str">
        <f t="shared" ca="1" si="0"/>
        <v>DONE</v>
      </c>
      <c r="K6" s="13" t="str">
        <f t="shared" si="1"/>
        <v/>
      </c>
      <c r="L6" s="13">
        <f t="shared" ca="1" si="2"/>
        <v>0</v>
      </c>
      <c r="M6" s="13">
        <f t="shared" ca="1" si="3"/>
        <v>0</v>
      </c>
      <c r="N6" s="13">
        <f t="shared" ca="1" si="4"/>
        <v>1</v>
      </c>
      <c r="O6" s="13">
        <f t="shared" ca="1" si="5"/>
        <v>-185</v>
      </c>
      <c r="P6" s="20" t="s">
        <v>91</v>
      </c>
      <c r="Q6" s="163"/>
      <c r="R6" s="164"/>
      <c r="S6" s="164"/>
      <c r="T6" s="164"/>
      <c r="U6" s="164"/>
      <c r="V6" s="164"/>
      <c r="W6" s="164"/>
      <c r="X6" s="164"/>
      <c r="Y6" s="164"/>
      <c r="Z6" s="164"/>
      <c r="AA6" s="164"/>
      <c r="AB6" s="164"/>
      <c r="AC6" s="27"/>
      <c r="AD6" s="27"/>
    </row>
    <row r="7" spans="1:246" ht="45" customHeight="1" x14ac:dyDescent="0.15">
      <c r="A7" s="15">
        <v>243</v>
      </c>
      <c r="B7" s="13" t="s">
        <v>92</v>
      </c>
      <c r="C7" s="12" t="s">
        <v>93</v>
      </c>
      <c r="D7" s="13" t="s">
        <v>24</v>
      </c>
      <c r="E7" s="13" t="s">
        <v>21</v>
      </c>
      <c r="F7" s="14">
        <v>43837</v>
      </c>
      <c r="G7" s="14">
        <v>43840</v>
      </c>
      <c r="H7" s="14"/>
      <c r="I7" s="14">
        <v>43847</v>
      </c>
      <c r="J7" s="13" t="str">
        <f t="shared" ca="1" si="0"/>
        <v>DONE</v>
      </c>
      <c r="K7" s="13" t="str">
        <f t="shared" si="1"/>
        <v/>
      </c>
      <c r="L7" s="13">
        <f t="shared" ca="1" si="2"/>
        <v>0</v>
      </c>
      <c r="M7" s="13">
        <f t="shared" ca="1" si="3"/>
        <v>0</v>
      </c>
      <c r="N7" s="13">
        <f t="shared" ca="1" si="4"/>
        <v>1</v>
      </c>
      <c r="O7" s="13">
        <f t="shared" ca="1" si="5"/>
        <v>-185</v>
      </c>
      <c r="P7" s="20" t="s">
        <v>94</v>
      </c>
      <c r="Q7" s="163"/>
      <c r="R7" s="164"/>
      <c r="S7" s="164"/>
      <c r="T7" s="164"/>
      <c r="U7" s="164"/>
      <c r="V7" s="164"/>
      <c r="W7" s="164"/>
      <c r="X7" s="164"/>
      <c r="Y7" s="164"/>
      <c r="Z7" s="164"/>
      <c r="AA7" s="164"/>
      <c r="AB7" s="164"/>
      <c r="AC7" s="27"/>
      <c r="AD7" s="27"/>
    </row>
    <row r="8" spans="1:246" ht="24.6" customHeight="1" x14ac:dyDescent="0.15">
      <c r="A8" s="10" t="s">
        <v>95</v>
      </c>
      <c r="B8" s="11" t="s">
        <v>96</v>
      </c>
      <c r="C8" s="16" t="s">
        <v>97</v>
      </c>
      <c r="D8" s="13" t="s">
        <v>24</v>
      </c>
      <c r="E8" s="13" t="s">
        <v>21</v>
      </c>
      <c r="F8" s="14">
        <v>43843</v>
      </c>
      <c r="G8" s="14">
        <v>43850</v>
      </c>
      <c r="H8" s="14"/>
      <c r="I8" s="14">
        <v>43881</v>
      </c>
      <c r="J8" s="13" t="str">
        <f t="shared" ref="J8" ca="1" si="6">IF(AND(I8&lt;=$C$2,I8&lt;&gt;0),"DONE",IF(K8&lt;0,"OVERDUE",IF(AND(K8="",O8&lt;0),"OVERDUE","IN TIME")))</f>
        <v>DONE</v>
      </c>
      <c r="K8" s="13" t="str">
        <f t="shared" ref="K8" si="7">IF(H8&gt;0,H8-$C$2,"")</f>
        <v/>
      </c>
      <c r="L8" s="13">
        <f t="shared" ref="L8" ca="1" si="8">IF(J8="OVERDUE",1,0)</f>
        <v>0</v>
      </c>
      <c r="M8" s="13">
        <f t="shared" ref="M8" ca="1" si="9">IF(J8="IN TIME",1,0)</f>
        <v>0</v>
      </c>
      <c r="N8" s="13">
        <f t="shared" ref="N8" ca="1" si="10">IF(J8="DONE",1,0)</f>
        <v>1</v>
      </c>
      <c r="O8" s="13">
        <f t="shared" ref="O8" ca="1" si="11">IF(G8&gt;0,G8-$C$2,"")</f>
        <v>-175</v>
      </c>
      <c r="P8" s="20" t="s">
        <v>98</v>
      </c>
      <c r="Q8" s="163"/>
      <c r="R8" s="164"/>
      <c r="S8" s="164"/>
      <c r="T8" s="164"/>
      <c r="U8" s="164"/>
      <c r="V8" s="164"/>
      <c r="W8" s="164"/>
      <c r="X8" s="164"/>
      <c r="Y8" s="164"/>
      <c r="Z8" s="164"/>
      <c r="AA8" s="164"/>
      <c r="AB8" s="164"/>
      <c r="AC8" s="27"/>
      <c r="AD8" s="27"/>
    </row>
    <row r="9" spans="1:246" ht="24.6" customHeight="1" x14ac:dyDescent="0.15">
      <c r="A9" s="10" t="s">
        <v>99</v>
      </c>
      <c r="B9" s="11" t="s">
        <v>100</v>
      </c>
      <c r="C9" s="16" t="s">
        <v>101</v>
      </c>
      <c r="D9" s="13" t="s">
        <v>24</v>
      </c>
      <c r="E9" s="13" t="s">
        <v>21</v>
      </c>
      <c r="F9" s="14">
        <v>43862</v>
      </c>
      <c r="G9" s="14">
        <v>43890</v>
      </c>
      <c r="H9" s="14"/>
      <c r="I9" s="14">
        <v>43881</v>
      </c>
      <c r="J9" s="13" t="str">
        <f t="shared" ref="J9" ca="1" si="12">IF(AND(I9&lt;=$C$2,I9&lt;&gt;0),"DONE",IF(K9&lt;0,"OVERDUE",IF(AND(K9="",O9&lt;0),"OVERDUE","IN TIME")))</f>
        <v>DONE</v>
      </c>
      <c r="K9" s="13" t="str">
        <f t="shared" ref="K9" si="13">IF(H9&gt;0,H9-$C$2,"")</f>
        <v/>
      </c>
      <c r="L9" s="13">
        <f t="shared" ref="L9" ca="1" si="14">IF(J9="OVERDUE",1,0)</f>
        <v>0</v>
      </c>
      <c r="M9" s="13">
        <f t="shared" ref="M9" ca="1" si="15">IF(J9="IN TIME",1,0)</f>
        <v>0</v>
      </c>
      <c r="N9" s="13">
        <f t="shared" ref="N9" ca="1" si="16">IF(J9="DONE",1,0)</f>
        <v>1</v>
      </c>
      <c r="O9" s="13">
        <f t="shared" ref="O9" ca="1" si="17">IF(G9&gt;0,G9-$C$2,"")</f>
        <v>-135</v>
      </c>
      <c r="P9" s="20" t="s">
        <v>102</v>
      </c>
      <c r="Q9" s="163"/>
      <c r="R9" s="164"/>
      <c r="S9" s="164"/>
      <c r="T9" s="164"/>
      <c r="U9" s="164"/>
      <c r="V9" s="164"/>
      <c r="W9" s="164"/>
      <c r="X9" s="164"/>
      <c r="Y9" s="164"/>
      <c r="Z9" s="164"/>
      <c r="AA9" s="164"/>
      <c r="AB9" s="164"/>
      <c r="AC9" s="27"/>
      <c r="AD9" s="27"/>
    </row>
    <row r="10" spans="1:246" ht="24.6" customHeight="1" x14ac:dyDescent="0.15">
      <c r="A10" s="15">
        <v>246</v>
      </c>
      <c r="B10" s="11" t="s">
        <v>100</v>
      </c>
      <c r="C10" s="16" t="s">
        <v>103</v>
      </c>
      <c r="D10" s="13" t="s">
        <v>24</v>
      </c>
      <c r="E10" s="13" t="s">
        <v>21</v>
      </c>
      <c r="F10" s="14">
        <v>43862</v>
      </c>
      <c r="G10" s="14">
        <v>43890</v>
      </c>
      <c r="H10" s="14"/>
      <c r="I10" s="14">
        <v>43873</v>
      </c>
      <c r="J10" s="13" t="str">
        <f t="shared" ref="J10" ca="1" si="18">IF(AND(I10&lt;=$C$2,I10&lt;&gt;0),"DONE",IF(K10&lt;0,"OVERDUE",IF(AND(K10="",O10&lt;0),"OVERDUE","IN TIME")))</f>
        <v>DONE</v>
      </c>
      <c r="K10" s="13" t="str">
        <f t="shared" ref="K10" si="19">IF(H10&gt;0,H10-$C$2,"")</f>
        <v/>
      </c>
      <c r="L10" s="13">
        <f t="shared" ref="L10" ca="1" si="20">IF(J10="OVERDUE",1,0)</f>
        <v>0</v>
      </c>
      <c r="M10" s="13">
        <f t="shared" ref="M10" ca="1" si="21">IF(J10="IN TIME",1,0)</f>
        <v>0</v>
      </c>
      <c r="N10" s="13">
        <f t="shared" ref="N10" ca="1" si="22">IF(J10="DONE",1,0)</f>
        <v>1</v>
      </c>
      <c r="O10" s="13">
        <f t="shared" ref="O10" ca="1" si="23">IF(G10&gt;0,G10-$C$2,"")</f>
        <v>-135</v>
      </c>
      <c r="P10" s="20" t="s">
        <v>104</v>
      </c>
      <c r="Q10" s="163"/>
      <c r="R10" s="164"/>
      <c r="S10" s="164"/>
      <c r="T10" s="164"/>
      <c r="U10" s="164"/>
      <c r="V10" s="164"/>
      <c r="W10" s="164"/>
      <c r="X10" s="164"/>
      <c r="Y10" s="164"/>
      <c r="Z10" s="164"/>
      <c r="AA10" s="164"/>
      <c r="AB10" s="164"/>
      <c r="AC10" s="27"/>
      <c r="AD10" s="27"/>
    </row>
    <row r="11" spans="1:246" ht="24.6" customHeight="1" x14ac:dyDescent="0.15">
      <c r="A11" s="15">
        <v>247</v>
      </c>
      <c r="B11" s="11" t="s">
        <v>100</v>
      </c>
      <c r="C11" s="16" t="s">
        <v>105</v>
      </c>
      <c r="D11" s="13" t="s">
        <v>24</v>
      </c>
      <c r="E11" s="13" t="s">
        <v>21</v>
      </c>
      <c r="F11" s="14">
        <v>43862</v>
      </c>
      <c r="G11" s="14">
        <v>43890</v>
      </c>
      <c r="H11" s="14"/>
      <c r="I11" s="14">
        <v>43876</v>
      </c>
      <c r="J11" s="13" t="str">
        <f t="shared" ref="J11" ca="1" si="24">IF(AND(I11&lt;=$C$2,I11&lt;&gt;0),"DONE",IF(K11&lt;0,"OVERDUE",IF(AND(K11="",O11&lt;0),"OVERDUE","IN TIME")))</f>
        <v>DONE</v>
      </c>
      <c r="K11" s="13" t="str">
        <f t="shared" ref="K11" si="25">IF(H11&gt;0,H11-$C$2,"")</f>
        <v/>
      </c>
      <c r="L11" s="13">
        <f t="shared" ref="L11" ca="1" si="26">IF(J11="OVERDUE",1,0)</f>
        <v>0</v>
      </c>
      <c r="M11" s="13">
        <f t="shared" ref="M11" ca="1" si="27">IF(J11="IN TIME",1,0)</f>
        <v>0</v>
      </c>
      <c r="N11" s="13">
        <f t="shared" ref="N11" ca="1" si="28">IF(J11="DONE",1,0)</f>
        <v>1</v>
      </c>
      <c r="O11" s="13">
        <f t="shared" ref="O11" ca="1" si="29">IF(G11&gt;0,G11-$C$2,"")</f>
        <v>-135</v>
      </c>
      <c r="P11" s="20" t="s">
        <v>106</v>
      </c>
      <c r="Q11" s="163"/>
      <c r="R11" s="164"/>
      <c r="S11" s="164"/>
      <c r="T11" s="164"/>
      <c r="U11" s="164"/>
      <c r="V11" s="164"/>
      <c r="W11" s="164"/>
      <c r="X11" s="164"/>
      <c r="Y11" s="164"/>
      <c r="Z11" s="164"/>
      <c r="AA11" s="164"/>
      <c r="AB11" s="164"/>
      <c r="AC11" s="27"/>
      <c r="AD11" s="27"/>
    </row>
    <row r="12" spans="1:246" ht="39" customHeight="1" x14ac:dyDescent="0.15">
      <c r="A12" s="15">
        <v>248</v>
      </c>
      <c r="B12" s="11" t="s">
        <v>107</v>
      </c>
      <c r="C12" s="12" t="s">
        <v>392</v>
      </c>
      <c r="D12" s="13" t="s">
        <v>24</v>
      </c>
      <c r="E12" s="13" t="s">
        <v>108</v>
      </c>
      <c r="F12" s="14">
        <v>43862</v>
      </c>
      <c r="G12" s="14">
        <v>43890</v>
      </c>
      <c r="H12" s="14"/>
      <c r="I12" s="14">
        <v>43924</v>
      </c>
      <c r="J12" s="13" t="str">
        <f t="shared" ref="J12" ca="1" si="30">IF(AND(I12&lt;=$C$2,I12&lt;&gt;0),"DONE",IF(K12&lt;0,"OVERDUE",IF(AND(K12="",O12&lt;0),"OVERDUE","IN TIME")))</f>
        <v>DONE</v>
      </c>
      <c r="K12" s="13" t="str">
        <f t="shared" ref="K12" si="31">IF(H12&gt;0,H12-$C$2,"")</f>
        <v/>
      </c>
      <c r="L12" s="13">
        <f t="shared" ref="L12" ca="1" si="32">IF(J12="OVERDUE",1,0)</f>
        <v>0</v>
      </c>
      <c r="M12" s="13">
        <f t="shared" ref="M12" ca="1" si="33">IF(J12="IN TIME",1,0)</f>
        <v>0</v>
      </c>
      <c r="N12" s="13">
        <f t="shared" ref="N12" ca="1" si="34">IF(J12="DONE",1,0)</f>
        <v>1</v>
      </c>
      <c r="O12" s="13">
        <f t="shared" ref="O12" ca="1" si="35">IF(G12&gt;0,G12-$C$2,"")</f>
        <v>-135</v>
      </c>
      <c r="P12" s="20" t="s">
        <v>393</v>
      </c>
      <c r="Q12" s="163"/>
      <c r="R12" s="164"/>
      <c r="S12" s="164"/>
      <c r="T12" s="164"/>
      <c r="U12" s="164"/>
      <c r="V12" s="164"/>
      <c r="W12" s="164"/>
      <c r="X12" s="164"/>
      <c r="Y12" s="164"/>
      <c r="Z12" s="164"/>
      <c r="AA12" s="164"/>
      <c r="AB12" s="164"/>
      <c r="AC12" s="27"/>
      <c r="AD12" s="27"/>
    </row>
    <row r="13" spans="1:246" ht="24.6" customHeight="1" x14ac:dyDescent="0.15">
      <c r="A13" s="15">
        <v>249</v>
      </c>
      <c r="B13" s="13"/>
      <c r="C13" s="12"/>
      <c r="D13" s="13"/>
      <c r="E13" s="13"/>
      <c r="F13" s="14"/>
      <c r="G13" s="14"/>
      <c r="H13" s="14"/>
      <c r="I13" s="14"/>
      <c r="J13" s="13" t="str">
        <f t="shared" ref="J13" ca="1" si="36">IF(AND(I13&lt;=$C$2,I13&lt;&gt;0),"DONE",IF(K13&lt;0,"OVERDUE",IF(AND(K13="",O13&lt;0),"OVERDUE","IN TIME")))</f>
        <v>IN TIME</v>
      </c>
      <c r="K13" s="13" t="str">
        <f t="shared" ref="K13" si="37">IF(H13&gt;0,H13-$C$2,"")</f>
        <v/>
      </c>
      <c r="L13" s="13">
        <f t="shared" ref="L13" ca="1" si="38">IF(J13="OVERDUE",1,0)</f>
        <v>0</v>
      </c>
      <c r="M13" s="13">
        <f t="shared" ref="M13" ca="1" si="39">IF(J13="IN TIME",1,0)</f>
        <v>1</v>
      </c>
      <c r="N13" s="13">
        <f t="shared" ref="N13" ca="1" si="40">IF(J13="DONE",1,0)</f>
        <v>0</v>
      </c>
      <c r="O13" s="13" t="str">
        <f t="shared" ref="O13" si="41">IF(G13&gt;0,G13-$C$2,"")</f>
        <v/>
      </c>
      <c r="P13" s="20"/>
      <c r="Q13" s="163"/>
      <c r="R13" s="164"/>
      <c r="S13" s="164"/>
      <c r="T13" s="164"/>
      <c r="U13" s="164"/>
      <c r="V13" s="164"/>
      <c r="W13" s="164"/>
      <c r="X13" s="164"/>
      <c r="Y13" s="164"/>
      <c r="Z13" s="164"/>
      <c r="AA13" s="164"/>
      <c r="AB13" s="164"/>
      <c r="AC13" s="27"/>
      <c r="AD13" s="27"/>
    </row>
    <row r="14" spans="1:246" ht="24.6" customHeight="1" x14ac:dyDescent="0.15">
      <c r="A14" s="15"/>
      <c r="B14" s="11" t="s">
        <v>109</v>
      </c>
      <c r="C14" s="16" t="s">
        <v>110</v>
      </c>
      <c r="D14" s="13" t="s">
        <v>24</v>
      </c>
      <c r="E14" s="13" t="s">
        <v>21</v>
      </c>
      <c r="F14" s="14">
        <v>43879</v>
      </c>
      <c r="G14" s="14">
        <v>43882</v>
      </c>
      <c r="H14" s="14"/>
      <c r="I14" s="14">
        <v>43882</v>
      </c>
      <c r="J14" s="13" t="str">
        <f t="shared" ref="J14" ca="1" si="42">IF(AND(I14&lt;=$C$2,I14&lt;&gt;0),"DONE",IF(K14&lt;0,"OVERDUE",IF(AND(K14="",O14&lt;0),"OVERDUE","IN TIME")))</f>
        <v>DONE</v>
      </c>
      <c r="K14" s="13" t="str">
        <f t="shared" ref="K14" si="43">IF(H14&gt;0,H14-$C$2,"")</f>
        <v/>
      </c>
      <c r="L14" s="13">
        <f t="shared" ref="L14" ca="1" si="44">IF(J14="OVERDUE",1,0)</f>
        <v>0</v>
      </c>
      <c r="M14" s="13">
        <f t="shared" ref="M14" ca="1" si="45">IF(J14="IN TIME",1,0)</f>
        <v>0</v>
      </c>
      <c r="N14" s="13">
        <f t="shared" ref="N14" ca="1" si="46">IF(J14="DONE",1,0)</f>
        <v>1</v>
      </c>
      <c r="O14" s="13">
        <f t="shared" ref="O14" ca="1" si="47">IF(G14&gt;0,G14-$C$2,"")</f>
        <v>-143</v>
      </c>
      <c r="P14" s="20" t="s">
        <v>111</v>
      </c>
      <c r="Q14" s="163"/>
      <c r="R14" s="164"/>
      <c r="S14" s="164"/>
      <c r="T14" s="164"/>
      <c r="U14" s="164"/>
      <c r="V14" s="164"/>
      <c r="W14" s="164"/>
      <c r="X14" s="164"/>
      <c r="Y14" s="164"/>
      <c r="Z14" s="164"/>
      <c r="AA14" s="164"/>
      <c r="AB14" s="164"/>
      <c r="AC14" s="27"/>
      <c r="AD14" s="27"/>
    </row>
    <row r="15" spans="1:246" ht="24.6" customHeight="1" x14ac:dyDescent="0.15">
      <c r="A15" s="15">
        <v>251</v>
      </c>
      <c r="B15" s="11" t="s">
        <v>112</v>
      </c>
      <c r="C15" s="16" t="s">
        <v>113</v>
      </c>
      <c r="D15" s="13" t="s">
        <v>24</v>
      </c>
      <c r="E15" s="13" t="s">
        <v>21</v>
      </c>
      <c r="F15" s="14">
        <v>43885</v>
      </c>
      <c r="G15" s="14">
        <v>43890</v>
      </c>
      <c r="H15" s="14"/>
      <c r="I15" s="14">
        <v>43899</v>
      </c>
      <c r="J15" s="13" t="str">
        <f t="shared" ref="J15" ca="1" si="48">IF(AND(I15&lt;=$C$2,I15&lt;&gt;0),"DONE",IF(K15&lt;0,"OVERDUE",IF(AND(K15="",O15&lt;0),"OVERDUE","IN TIME")))</f>
        <v>DONE</v>
      </c>
      <c r="K15" s="13" t="str">
        <f t="shared" ref="K15" si="49">IF(H15&gt;0,H15-$C$2,"")</f>
        <v/>
      </c>
      <c r="L15" s="13">
        <f t="shared" ref="L15" ca="1" si="50">IF(J15="OVERDUE",1,0)</f>
        <v>0</v>
      </c>
      <c r="M15" s="13">
        <f t="shared" ref="M15" ca="1" si="51">IF(J15="IN TIME",1,0)</f>
        <v>0</v>
      </c>
      <c r="N15" s="13">
        <f t="shared" ref="N15" ca="1" si="52">IF(J15="DONE",1,0)</f>
        <v>1</v>
      </c>
      <c r="O15" s="13">
        <f t="shared" ref="O15" ca="1" si="53">IF(G15&gt;0,G15-$C$2,"")</f>
        <v>-135</v>
      </c>
      <c r="P15" s="20" t="s">
        <v>364</v>
      </c>
      <c r="Q15" s="25"/>
      <c r="R15" s="26"/>
      <c r="S15" s="26"/>
      <c r="T15" s="26"/>
      <c r="U15" s="26"/>
      <c r="V15" s="26"/>
      <c r="W15" s="26"/>
      <c r="X15" s="26"/>
      <c r="Y15" s="26"/>
      <c r="Z15" s="26"/>
      <c r="AA15" s="26"/>
      <c r="AB15" s="26"/>
      <c r="AC15" s="27"/>
      <c r="AD15" s="27"/>
    </row>
    <row r="16" spans="1:246" ht="93" customHeight="1" x14ac:dyDescent="0.15">
      <c r="A16" s="15">
        <v>252</v>
      </c>
      <c r="B16" s="11" t="s">
        <v>114</v>
      </c>
      <c r="C16" s="16" t="s">
        <v>115</v>
      </c>
      <c r="D16" s="13" t="s">
        <v>24</v>
      </c>
      <c r="E16" s="13" t="s">
        <v>370</v>
      </c>
      <c r="F16" s="14">
        <v>43827</v>
      </c>
      <c r="G16" s="14">
        <v>43899</v>
      </c>
      <c r="H16" s="14"/>
      <c r="I16" s="14">
        <v>43899</v>
      </c>
      <c r="J16" s="13" t="str">
        <f t="shared" ref="J16" ca="1" si="54">IF(AND(I16&lt;=$C$2,I16&lt;&gt;0),"DONE",IF(K16&lt;0,"OVERDUE",IF(AND(K16="",O16&lt;0),"OVERDUE","IN TIME")))</f>
        <v>DONE</v>
      </c>
      <c r="K16" s="13" t="str">
        <f t="shared" ref="K16" si="55">IF(H16&gt;0,H16-$C$2,"")</f>
        <v/>
      </c>
      <c r="L16" s="13">
        <f t="shared" ref="L16" ca="1" si="56">IF(J16="OVERDUE",1,0)</f>
        <v>0</v>
      </c>
      <c r="M16" s="13">
        <f t="shared" ref="M16" ca="1" si="57">IF(J16="IN TIME",1,0)</f>
        <v>0</v>
      </c>
      <c r="N16" s="13">
        <f t="shared" ref="N16" ca="1" si="58">IF(J16="DONE",1,0)</f>
        <v>1</v>
      </c>
      <c r="O16" s="13">
        <f t="shared" ref="O16" ca="1" si="59">IF(G16&gt;0,G16-$C$2,"")</f>
        <v>-126</v>
      </c>
      <c r="P16" s="20" t="s">
        <v>363</v>
      </c>
      <c r="Q16" s="25"/>
      <c r="R16" s="26"/>
      <c r="S16" s="26"/>
      <c r="T16" s="26"/>
      <c r="U16" s="26"/>
      <c r="V16" s="26"/>
      <c r="W16" s="26"/>
      <c r="X16" s="26"/>
      <c r="Y16" s="26"/>
      <c r="Z16" s="26"/>
      <c r="AA16" s="26"/>
      <c r="AB16" s="26"/>
      <c r="AC16" s="27"/>
      <c r="AD16" s="27"/>
    </row>
    <row r="17" spans="1:30" ht="24.6" customHeight="1" x14ac:dyDescent="0.15">
      <c r="A17" s="15">
        <v>253</v>
      </c>
      <c r="B17" s="11" t="s">
        <v>368</v>
      </c>
      <c r="C17" s="16" t="s">
        <v>369</v>
      </c>
      <c r="D17" s="13" t="s">
        <v>24</v>
      </c>
      <c r="E17" s="13" t="s">
        <v>371</v>
      </c>
      <c r="F17" s="14">
        <v>43899</v>
      </c>
      <c r="G17" s="14">
        <v>43931</v>
      </c>
      <c r="H17" s="14"/>
      <c r="I17" s="14">
        <v>43924</v>
      </c>
      <c r="J17" s="13" t="str">
        <f t="shared" ref="J17" ca="1" si="60">IF(AND(I17&lt;=$C$2,I17&lt;&gt;0),"DONE",IF(K17&lt;0,"OVERDUE",IF(AND(K17="",O17&lt;0),"OVERDUE","IN TIME")))</f>
        <v>DONE</v>
      </c>
      <c r="K17" s="13" t="str">
        <f t="shared" ref="K17" si="61">IF(H17&gt;0,H17-$C$2,"")</f>
        <v/>
      </c>
      <c r="L17" s="13">
        <f t="shared" ref="L17" ca="1" si="62">IF(J17="OVERDUE",1,0)</f>
        <v>0</v>
      </c>
      <c r="M17" s="13">
        <f t="shared" ref="M17" ca="1" si="63">IF(J17="IN TIME",1,0)</f>
        <v>0</v>
      </c>
      <c r="N17" s="13">
        <f t="shared" ref="N17" ca="1" si="64">IF(J17="DONE",1,0)</f>
        <v>1</v>
      </c>
      <c r="O17" s="13">
        <f t="shared" ref="O17" ca="1" si="65">IF(G17&gt;0,G17-$C$2,"")</f>
        <v>-94</v>
      </c>
      <c r="P17" s="20" t="s">
        <v>394</v>
      </c>
      <c r="Q17" s="25"/>
      <c r="R17" s="26"/>
      <c r="S17" s="26"/>
      <c r="T17" s="26"/>
      <c r="U17" s="26"/>
      <c r="V17" s="26"/>
      <c r="W17" s="26"/>
      <c r="X17" s="26"/>
      <c r="Y17" s="26"/>
      <c r="Z17" s="26"/>
      <c r="AA17" s="26"/>
      <c r="AB17" s="26"/>
      <c r="AC17" s="27"/>
      <c r="AD17" s="27"/>
    </row>
    <row r="18" spans="1:30" ht="24.6" customHeight="1" x14ac:dyDescent="0.15">
      <c r="A18" s="15"/>
      <c r="B18" s="11" t="s">
        <v>372</v>
      </c>
      <c r="C18" s="16" t="s">
        <v>391</v>
      </c>
      <c r="D18" s="13" t="s">
        <v>24</v>
      </c>
      <c r="E18" s="13" t="s">
        <v>375</v>
      </c>
      <c r="F18" s="14">
        <v>43899</v>
      </c>
      <c r="G18" s="14">
        <v>43931</v>
      </c>
      <c r="H18" s="14"/>
      <c r="I18" s="14">
        <v>43924</v>
      </c>
      <c r="J18" s="13" t="str">
        <f t="shared" ref="J18" ca="1" si="66">IF(AND(I18&lt;=$C$2,I18&lt;&gt;0),"DONE",IF(K18&lt;0,"OVERDUE",IF(AND(K18="",O18&lt;0),"OVERDUE","IN TIME")))</f>
        <v>DONE</v>
      </c>
      <c r="K18" s="13" t="str">
        <f t="shared" ref="K18" si="67">IF(H18&gt;0,H18-$C$2,"")</f>
        <v/>
      </c>
      <c r="L18" s="13">
        <f t="shared" ref="L18" ca="1" si="68">IF(J18="OVERDUE",1,0)</f>
        <v>0</v>
      </c>
      <c r="M18" s="13">
        <f t="shared" ref="M18" ca="1" si="69">IF(J18="IN TIME",1,0)</f>
        <v>0</v>
      </c>
      <c r="N18" s="13">
        <f t="shared" ref="N18" ca="1" si="70">IF(J18="DONE",1,0)</f>
        <v>1</v>
      </c>
      <c r="O18" s="13">
        <f t="shared" ref="O18" ca="1" si="71">IF(G18&gt;0,G18-$C$2,"")</f>
        <v>-94</v>
      </c>
      <c r="P18" s="20" t="s">
        <v>396</v>
      </c>
      <c r="Q18" s="25"/>
      <c r="R18" s="26"/>
      <c r="S18" s="26"/>
      <c r="T18" s="26"/>
      <c r="U18" s="26"/>
      <c r="V18" s="26"/>
      <c r="W18" s="26"/>
      <c r="X18" s="26"/>
      <c r="Y18" s="26"/>
      <c r="Z18" s="26"/>
      <c r="AA18" s="26"/>
      <c r="AB18" s="26"/>
      <c r="AC18" s="27"/>
      <c r="AD18" s="27"/>
    </row>
    <row r="19" spans="1:30" ht="24.6" customHeight="1" x14ac:dyDescent="0.15">
      <c r="A19" s="15">
        <v>255</v>
      </c>
      <c r="B19" s="11" t="s">
        <v>374</v>
      </c>
      <c r="C19" s="12" t="s">
        <v>373</v>
      </c>
      <c r="D19" s="13" t="s">
        <v>24</v>
      </c>
      <c r="E19" s="13" t="s">
        <v>376</v>
      </c>
      <c r="F19" s="14">
        <v>43899</v>
      </c>
      <c r="G19" s="14">
        <v>43931</v>
      </c>
      <c r="H19" s="14"/>
      <c r="I19" s="14">
        <v>43924</v>
      </c>
      <c r="J19" s="13" t="str">
        <f t="shared" ref="J19" ca="1" si="72">IF(AND(I19&lt;=$C$2,I19&lt;&gt;0),"DONE",IF(K19&lt;0,"OVERDUE",IF(AND(K19="",O19&lt;0),"OVERDUE","IN TIME")))</f>
        <v>DONE</v>
      </c>
      <c r="K19" s="13" t="str">
        <f t="shared" ref="K19" si="73">IF(H19&gt;0,H19-$C$2,"")</f>
        <v/>
      </c>
      <c r="L19" s="13">
        <f t="shared" ref="L19" ca="1" si="74">IF(J19="OVERDUE",1,0)</f>
        <v>0</v>
      </c>
      <c r="M19" s="13">
        <f t="shared" ref="M19" ca="1" si="75">IF(J19="IN TIME",1,0)</f>
        <v>0</v>
      </c>
      <c r="N19" s="13">
        <f t="shared" ref="N19" ca="1" si="76">IF(J19="DONE",1,0)</f>
        <v>1</v>
      </c>
      <c r="O19" s="13">
        <f t="shared" ref="O19" ca="1" si="77">IF(G19&gt;0,G19-$C$2,"")</f>
        <v>-94</v>
      </c>
      <c r="P19" s="20" t="s">
        <v>395</v>
      </c>
      <c r="Q19" s="25"/>
      <c r="R19" s="26"/>
      <c r="S19" s="26"/>
      <c r="T19" s="26"/>
      <c r="U19" s="26"/>
      <c r="V19" s="26"/>
      <c r="W19" s="26"/>
      <c r="X19" s="26"/>
      <c r="Y19" s="26"/>
      <c r="Z19" s="26"/>
      <c r="AA19" s="26"/>
      <c r="AB19" s="26"/>
      <c r="AC19" s="27"/>
      <c r="AD19" s="27"/>
    </row>
    <row r="20" spans="1:30" ht="24.6" customHeight="1" x14ac:dyDescent="0.15">
      <c r="A20" s="15" t="s">
        <v>377</v>
      </c>
      <c r="B20" s="11" t="s">
        <v>378</v>
      </c>
      <c r="C20" s="12" t="s">
        <v>381</v>
      </c>
      <c r="D20" s="13" t="s">
        <v>24</v>
      </c>
      <c r="E20" s="13" t="s">
        <v>379</v>
      </c>
      <c r="F20" s="14">
        <v>43899</v>
      </c>
      <c r="G20" s="14">
        <v>43931</v>
      </c>
      <c r="H20" s="14"/>
      <c r="I20" s="14">
        <v>43904</v>
      </c>
      <c r="J20" s="13" t="str">
        <f t="shared" ref="J20" ca="1" si="78">IF(AND(I20&lt;=$C$2,I20&lt;&gt;0),"DONE",IF(K20&lt;0,"OVERDUE",IF(AND(K20="",O20&lt;0),"OVERDUE","IN TIME")))</f>
        <v>DONE</v>
      </c>
      <c r="K20" s="13" t="str">
        <f t="shared" ref="K20" si="79">IF(H20&gt;0,H20-$C$2,"")</f>
        <v/>
      </c>
      <c r="L20" s="13">
        <f t="shared" ref="L20" ca="1" si="80">IF(J20="OVERDUE",1,0)</f>
        <v>0</v>
      </c>
      <c r="M20" s="13">
        <f t="shared" ref="M20" ca="1" si="81">IF(J20="IN TIME",1,0)</f>
        <v>0</v>
      </c>
      <c r="N20" s="13">
        <f t="shared" ref="N20" ca="1" si="82">IF(J20="DONE",1,0)</f>
        <v>1</v>
      </c>
      <c r="O20" s="13">
        <f t="shared" ref="O20" ca="1" si="83">IF(G20&gt;0,G20-$C$2,"")</f>
        <v>-94</v>
      </c>
      <c r="P20" s="20" t="s">
        <v>388</v>
      </c>
      <c r="Q20" s="25"/>
      <c r="R20" s="26"/>
      <c r="S20" s="26"/>
      <c r="T20" s="26"/>
      <c r="U20" s="26"/>
      <c r="V20" s="26"/>
      <c r="W20" s="26"/>
      <c r="X20" s="26"/>
      <c r="Y20" s="26"/>
      <c r="Z20" s="26"/>
      <c r="AA20" s="26"/>
      <c r="AB20" s="26"/>
      <c r="AC20" s="27"/>
      <c r="AD20" s="27"/>
    </row>
    <row r="21" spans="1:30" ht="24.6" customHeight="1" x14ac:dyDescent="0.15">
      <c r="A21" s="15">
        <v>257</v>
      </c>
      <c r="B21" s="11" t="s">
        <v>380</v>
      </c>
      <c r="C21" s="12" t="s">
        <v>382</v>
      </c>
      <c r="D21" s="13" t="s">
        <v>24</v>
      </c>
      <c r="E21" s="13" t="s">
        <v>379</v>
      </c>
      <c r="F21" s="14">
        <v>43899</v>
      </c>
      <c r="G21" s="14">
        <v>43931</v>
      </c>
      <c r="H21" s="14"/>
      <c r="I21" s="14">
        <v>43907</v>
      </c>
      <c r="J21" s="13" t="str">
        <f t="shared" ref="J21" ca="1" si="84">IF(AND(I21&lt;=$C$2,I21&lt;&gt;0),"DONE",IF(K21&lt;0,"OVERDUE",IF(AND(K21="",O21&lt;0),"OVERDUE","IN TIME")))</f>
        <v>DONE</v>
      </c>
      <c r="K21" s="13" t="str">
        <f t="shared" ref="K21" si="85">IF(H21&gt;0,H21-$C$2,"")</f>
        <v/>
      </c>
      <c r="L21" s="13">
        <f t="shared" ref="L21" ca="1" si="86">IF(J21="OVERDUE",1,0)</f>
        <v>0</v>
      </c>
      <c r="M21" s="13">
        <f t="shared" ref="M21" ca="1" si="87">IF(J21="IN TIME",1,0)</f>
        <v>0</v>
      </c>
      <c r="N21" s="13">
        <f t="shared" ref="N21" ca="1" si="88">IF(J21="DONE",1,0)</f>
        <v>1</v>
      </c>
      <c r="O21" s="13">
        <f t="shared" ref="O21" ca="1" si="89">IF(G21&gt;0,G21-$C$2,"")</f>
        <v>-94</v>
      </c>
      <c r="P21" s="20" t="s">
        <v>389</v>
      </c>
      <c r="Q21" s="25"/>
      <c r="R21" s="26"/>
      <c r="S21" s="26"/>
      <c r="T21" s="26"/>
      <c r="U21" s="26"/>
      <c r="V21" s="26"/>
      <c r="W21" s="26"/>
      <c r="X21" s="26"/>
      <c r="Y21" s="26"/>
      <c r="Z21" s="26"/>
      <c r="AA21" s="26"/>
      <c r="AB21" s="26"/>
      <c r="AC21" s="27"/>
      <c r="AD21" s="27"/>
    </row>
    <row r="22" spans="1:30" ht="24.6" customHeight="1" x14ac:dyDescent="0.15">
      <c r="A22" s="15">
        <v>258</v>
      </c>
      <c r="B22" s="11" t="s">
        <v>383</v>
      </c>
      <c r="C22" s="16" t="s">
        <v>384</v>
      </c>
      <c r="D22" s="13" t="s">
        <v>24</v>
      </c>
      <c r="E22" s="13" t="s">
        <v>487</v>
      </c>
      <c r="F22" s="14">
        <v>43899</v>
      </c>
      <c r="G22" s="14">
        <v>43931</v>
      </c>
      <c r="H22" s="14"/>
      <c r="I22" s="14">
        <v>43916</v>
      </c>
      <c r="J22" s="13" t="str">
        <f t="shared" ref="J22" ca="1" si="90">IF(AND(I22&lt;=$C$2,I22&lt;&gt;0),"DONE",IF(K22&lt;0,"OVERDUE",IF(AND(K22="",O22&lt;0),"OVERDUE","IN TIME")))</f>
        <v>DONE</v>
      </c>
      <c r="K22" s="13" t="str">
        <f t="shared" ref="K22" si="91">IF(H22&gt;0,H22-$C$2,"")</f>
        <v/>
      </c>
      <c r="L22" s="13">
        <f t="shared" ref="L22" ca="1" si="92">IF(J22="OVERDUE",1,0)</f>
        <v>0</v>
      </c>
      <c r="M22" s="13">
        <f t="shared" ref="M22" ca="1" si="93">IF(J22="IN TIME",1,0)</f>
        <v>0</v>
      </c>
      <c r="N22" s="13">
        <f t="shared" ref="N22" ca="1" si="94">IF(J22="DONE",1,0)</f>
        <v>1</v>
      </c>
      <c r="O22" s="13">
        <f t="shared" ref="O22" ca="1" si="95">IF(G22&gt;0,G22-$C$2,"")</f>
        <v>-94</v>
      </c>
      <c r="P22" s="20" t="s">
        <v>390</v>
      </c>
      <c r="Q22" s="25"/>
      <c r="R22" s="26"/>
      <c r="S22" s="26"/>
      <c r="T22" s="26"/>
      <c r="U22" s="26"/>
      <c r="V22" s="26"/>
      <c r="W22" s="26"/>
      <c r="X22" s="26"/>
      <c r="Y22" s="26"/>
      <c r="Z22" s="26"/>
      <c r="AA22" s="26"/>
      <c r="AB22" s="26"/>
      <c r="AC22" s="27"/>
      <c r="AD22" s="27"/>
    </row>
    <row r="23" spans="1:30" ht="24.6" customHeight="1" x14ac:dyDescent="0.15">
      <c r="A23" s="15">
        <v>259</v>
      </c>
      <c r="B23" s="11" t="s">
        <v>385</v>
      </c>
      <c r="C23" s="12" t="s">
        <v>386</v>
      </c>
      <c r="D23" s="13" t="s">
        <v>24</v>
      </c>
      <c r="E23" s="13" t="s">
        <v>387</v>
      </c>
      <c r="F23" s="14">
        <v>43899</v>
      </c>
      <c r="G23" s="14">
        <v>43931</v>
      </c>
      <c r="H23" s="14"/>
      <c r="I23" s="14"/>
      <c r="J23" s="13" t="str">
        <f t="shared" ref="J23" ca="1" si="96">IF(AND(I23&lt;=$C$2,I23&lt;&gt;0),"DONE",IF(K23&lt;0,"OVERDUE",IF(AND(K23="",O23&lt;0),"OVERDUE","IN TIME")))</f>
        <v>OVERDUE</v>
      </c>
      <c r="K23" s="13" t="str">
        <f t="shared" ref="K23" si="97">IF(H23&gt;0,H23-$C$2,"")</f>
        <v/>
      </c>
      <c r="L23" s="13">
        <f t="shared" ref="L23" ca="1" si="98">IF(J23="OVERDUE",1,0)</f>
        <v>1</v>
      </c>
      <c r="M23" s="13">
        <f t="shared" ref="M23" ca="1" si="99">IF(J23="IN TIME",1,0)</f>
        <v>0</v>
      </c>
      <c r="N23" s="13">
        <f t="shared" ref="N23" ca="1" si="100">IF(J23="DONE",1,0)</f>
        <v>0</v>
      </c>
      <c r="O23" s="13">
        <f t="shared" ref="O23" ca="1" si="101">IF(G23&gt;0,G23-$C$2,"")</f>
        <v>-94</v>
      </c>
      <c r="P23" s="20" t="s">
        <v>495</v>
      </c>
      <c r="Q23" s="25"/>
      <c r="R23" s="26"/>
      <c r="S23" s="26"/>
      <c r="T23" s="26"/>
      <c r="U23" s="26"/>
      <c r="V23" s="26"/>
      <c r="W23" s="26"/>
      <c r="X23" s="26"/>
      <c r="Y23" s="26"/>
      <c r="Z23" s="26"/>
      <c r="AA23" s="26"/>
      <c r="AB23" s="26"/>
      <c r="AC23" s="27"/>
      <c r="AD23" s="27"/>
    </row>
    <row r="24" spans="1:30" ht="24" customHeight="1" x14ac:dyDescent="0.15">
      <c r="A24" s="15">
        <v>260</v>
      </c>
      <c r="B24" s="13"/>
      <c r="C24" s="12" t="s">
        <v>405</v>
      </c>
      <c r="D24" s="13" t="s">
        <v>24</v>
      </c>
      <c r="E24" s="13" t="s">
        <v>387</v>
      </c>
      <c r="F24" s="14">
        <v>43928</v>
      </c>
      <c r="G24" s="14">
        <v>43951</v>
      </c>
      <c r="H24" s="14"/>
      <c r="I24" s="14">
        <v>43955</v>
      </c>
      <c r="J24" s="13" t="str">
        <f t="shared" ref="J24" ca="1" si="102">IF(AND(I24&lt;=$C$2,I24&lt;&gt;0),"DONE",IF(K24&lt;0,"OVERDUE",IF(AND(K24="",O24&lt;0),"OVERDUE","IN TIME")))</f>
        <v>DONE</v>
      </c>
      <c r="K24" s="13" t="str">
        <f t="shared" ref="K24" si="103">IF(H24&gt;0,H24-$C$2,"")</f>
        <v/>
      </c>
      <c r="L24" s="13">
        <f t="shared" ref="L24" ca="1" si="104">IF(J24="OVERDUE",1,0)</f>
        <v>0</v>
      </c>
      <c r="M24" s="13">
        <f t="shared" ref="M24" ca="1" si="105">IF(J24="IN TIME",1,0)</f>
        <v>0</v>
      </c>
      <c r="N24" s="13">
        <f t="shared" ref="N24" ca="1" si="106">IF(J24="DONE",1,0)</f>
        <v>1</v>
      </c>
      <c r="O24" s="13">
        <f t="shared" ref="O24" ca="1" si="107">IF(G24&gt;0,G24-$C$2,"")</f>
        <v>-74</v>
      </c>
      <c r="P24" s="20" t="s">
        <v>494</v>
      </c>
      <c r="Q24" s="25"/>
      <c r="R24" s="26"/>
      <c r="S24" s="26"/>
      <c r="T24" s="26"/>
      <c r="U24" s="26"/>
      <c r="V24" s="26"/>
      <c r="W24" s="26"/>
      <c r="X24" s="26"/>
      <c r="Y24" s="26"/>
      <c r="Z24" s="26"/>
      <c r="AA24" s="26"/>
      <c r="AB24" s="26"/>
      <c r="AC24" s="27"/>
      <c r="AD24" s="27"/>
    </row>
    <row r="25" spans="1:30" ht="24.6" customHeight="1" x14ac:dyDescent="0.15">
      <c r="A25" s="15">
        <v>261</v>
      </c>
      <c r="B25" s="13"/>
      <c r="C25" s="16" t="s">
        <v>406</v>
      </c>
      <c r="D25" s="13" t="s">
        <v>24</v>
      </c>
      <c r="E25" s="13" t="s">
        <v>360</v>
      </c>
      <c r="F25" s="14">
        <v>43929</v>
      </c>
      <c r="G25" s="14">
        <v>43952</v>
      </c>
      <c r="H25" s="14"/>
      <c r="I25" s="14">
        <v>43971</v>
      </c>
      <c r="J25" s="13" t="str">
        <f t="shared" ref="J25" ca="1" si="108">IF(AND(I25&lt;=$C$2,I25&lt;&gt;0),"DONE",IF(K25&lt;0,"OVERDUE",IF(AND(K25="",O25&lt;0),"OVERDUE","IN TIME")))</f>
        <v>DONE</v>
      </c>
      <c r="K25" s="13" t="str">
        <f t="shared" ref="K25" si="109">IF(H25&gt;0,H25-$C$2,"")</f>
        <v/>
      </c>
      <c r="L25" s="13">
        <f t="shared" ref="L25" ca="1" si="110">IF(J25="OVERDUE",1,0)</f>
        <v>0</v>
      </c>
      <c r="M25" s="13">
        <f t="shared" ref="M25" ca="1" si="111">IF(J25="IN TIME",1,0)</f>
        <v>0</v>
      </c>
      <c r="N25" s="13">
        <f t="shared" ref="N25" ca="1" si="112">IF(J25="DONE",1,0)</f>
        <v>1</v>
      </c>
      <c r="O25" s="13">
        <f t="shared" ref="O25" ca="1" si="113">IF(G25&gt;0,G25-$C$2,"")</f>
        <v>-73</v>
      </c>
      <c r="P25" s="20" t="s">
        <v>498</v>
      </c>
      <c r="Q25" s="25"/>
      <c r="R25" s="26"/>
      <c r="S25" s="26"/>
      <c r="T25" s="26"/>
      <c r="U25" s="26"/>
      <c r="V25" s="26"/>
      <c r="W25" s="26"/>
      <c r="X25" s="26"/>
      <c r="Y25" s="26"/>
      <c r="Z25" s="26"/>
      <c r="AA25" s="26"/>
      <c r="AB25" s="26"/>
      <c r="AC25" s="27"/>
      <c r="AD25" s="27"/>
    </row>
    <row r="26" spans="1:30" ht="24.6" customHeight="1" x14ac:dyDescent="0.15">
      <c r="A26" s="15">
        <v>262</v>
      </c>
      <c r="B26" s="13"/>
      <c r="C26" s="12" t="s">
        <v>407</v>
      </c>
      <c r="D26" s="13" t="s">
        <v>24</v>
      </c>
      <c r="E26" s="13" t="s">
        <v>360</v>
      </c>
      <c r="F26" s="14">
        <v>43930</v>
      </c>
      <c r="G26" s="14">
        <v>43953</v>
      </c>
      <c r="H26" s="14"/>
      <c r="I26" s="14">
        <v>43955</v>
      </c>
      <c r="J26" s="13" t="str">
        <f t="shared" ref="J26" ca="1" si="114">IF(AND(I26&lt;=$C$2,I26&lt;&gt;0),"DONE",IF(K26&lt;0,"OVERDUE",IF(AND(K26="",O26&lt;0),"OVERDUE","IN TIME")))</f>
        <v>DONE</v>
      </c>
      <c r="K26" s="13" t="str">
        <f t="shared" ref="K26" si="115">IF(H26&gt;0,H26-$C$2,"")</f>
        <v/>
      </c>
      <c r="L26" s="13">
        <f t="shared" ref="L26" ca="1" si="116">IF(J26="OVERDUE",1,0)</f>
        <v>0</v>
      </c>
      <c r="M26" s="13">
        <f t="shared" ref="M26" ca="1" si="117">IF(J26="IN TIME",1,0)</f>
        <v>0</v>
      </c>
      <c r="N26" s="13">
        <f t="shared" ref="N26" ca="1" si="118">IF(J26="DONE",1,0)</f>
        <v>1</v>
      </c>
      <c r="O26" s="13">
        <f t="shared" ref="O26" ca="1" si="119">IF(G26&gt;0,G26-$C$2,"")</f>
        <v>-72</v>
      </c>
      <c r="P26" s="20" t="s">
        <v>493</v>
      </c>
      <c r="Q26" s="25"/>
      <c r="R26" s="26"/>
      <c r="S26" s="26"/>
      <c r="T26" s="26"/>
      <c r="U26" s="26"/>
      <c r="V26" s="26"/>
      <c r="W26" s="26"/>
      <c r="X26" s="26"/>
      <c r="Y26" s="26"/>
      <c r="Z26" s="26"/>
      <c r="AA26" s="26"/>
      <c r="AB26" s="26"/>
      <c r="AC26" s="27"/>
      <c r="AD26" s="27"/>
    </row>
    <row r="27" spans="1:30" ht="24.6" customHeight="1" x14ac:dyDescent="0.15">
      <c r="A27" s="15" t="s">
        <v>492</v>
      </c>
      <c r="B27" s="11" t="s">
        <v>491</v>
      </c>
      <c r="C27" s="148" t="s">
        <v>490</v>
      </c>
      <c r="D27" s="13" t="s">
        <v>24</v>
      </c>
      <c r="E27" s="13" t="s">
        <v>480</v>
      </c>
      <c r="F27" s="14">
        <v>43941</v>
      </c>
      <c r="G27" s="14">
        <v>43945</v>
      </c>
      <c r="H27" s="14"/>
      <c r="I27" s="14">
        <v>43990</v>
      </c>
      <c r="J27" s="13" t="str">
        <f t="shared" ref="J27" ca="1" si="120">IF(AND(I27&lt;=$C$2,I27&lt;&gt;0),"DONE",IF(K27&lt;0,"OVERDUE",IF(AND(K27="",O27&lt;0),"OVERDUE","IN TIME")))</f>
        <v>DONE</v>
      </c>
      <c r="K27" s="13" t="str">
        <f t="shared" ref="K27" si="121">IF(H27&gt;0,H27-$C$2,"")</f>
        <v/>
      </c>
      <c r="L27" s="13">
        <f t="shared" ref="L27" ca="1" si="122">IF(J27="OVERDUE",1,0)</f>
        <v>0</v>
      </c>
      <c r="M27" s="13">
        <f t="shared" ref="M27" ca="1" si="123">IF(J27="IN TIME",1,0)</f>
        <v>0</v>
      </c>
      <c r="N27" s="13">
        <f t="shared" ref="N27" ca="1" si="124">IF(J27="DONE",1,0)</f>
        <v>1</v>
      </c>
      <c r="O27" s="13">
        <f t="shared" ref="O27" ca="1" si="125">IF(G27&gt;0,G27-$C$2,"")</f>
        <v>-80</v>
      </c>
      <c r="P27" s="20" t="s">
        <v>502</v>
      </c>
      <c r="Q27" s="25"/>
      <c r="R27" s="26"/>
      <c r="S27" s="26"/>
      <c r="T27" s="26"/>
      <c r="U27" s="26"/>
      <c r="V27" s="26"/>
      <c r="W27" s="26"/>
      <c r="X27" s="26"/>
      <c r="Y27" s="26"/>
      <c r="Z27" s="26"/>
      <c r="AA27" s="26"/>
      <c r="AB27" s="26"/>
      <c r="AC27" s="27"/>
      <c r="AD27" s="27"/>
    </row>
    <row r="28" spans="1:30" ht="24.6" customHeight="1" x14ac:dyDescent="0.15">
      <c r="A28" s="15">
        <v>264</v>
      </c>
      <c r="B28" s="11" t="s">
        <v>481</v>
      </c>
      <c r="C28" s="16" t="s">
        <v>482</v>
      </c>
      <c r="D28" s="13" t="s">
        <v>24</v>
      </c>
      <c r="E28" s="13" t="s">
        <v>480</v>
      </c>
      <c r="F28" s="14">
        <v>43941</v>
      </c>
      <c r="G28" s="14">
        <v>43945</v>
      </c>
      <c r="H28" s="14"/>
      <c r="I28" s="14">
        <v>43955</v>
      </c>
      <c r="J28" s="13" t="str">
        <f t="shared" ref="J28" ca="1" si="126">IF(AND(I28&lt;=$C$2,I28&lt;&gt;0),"DONE",IF(K28&lt;0,"OVERDUE",IF(AND(K28="",O28&lt;0),"OVERDUE","IN TIME")))</f>
        <v>DONE</v>
      </c>
      <c r="K28" s="13" t="str">
        <f t="shared" ref="K28" si="127">IF(H28&gt;0,H28-$C$2,"")</f>
        <v/>
      </c>
      <c r="L28" s="13">
        <f t="shared" ref="L28" ca="1" si="128">IF(J28="OVERDUE",1,0)</f>
        <v>0</v>
      </c>
      <c r="M28" s="13">
        <f t="shared" ref="M28" ca="1" si="129">IF(J28="IN TIME",1,0)</f>
        <v>0</v>
      </c>
      <c r="N28" s="13">
        <f t="shared" ref="N28" ca="1" si="130">IF(J28="DONE",1,0)</f>
        <v>1</v>
      </c>
      <c r="O28" s="13">
        <f t="shared" ref="O28" ca="1" si="131">IF(G28&gt;0,G28-$C$2,"")</f>
        <v>-80</v>
      </c>
      <c r="P28" s="20" t="s">
        <v>501</v>
      </c>
      <c r="Q28" s="25"/>
      <c r="R28" s="26"/>
      <c r="S28" s="26"/>
      <c r="T28" s="26"/>
      <c r="U28" s="26"/>
      <c r="V28" s="26"/>
      <c r="W28" s="26"/>
      <c r="X28" s="26"/>
      <c r="Y28" s="26"/>
      <c r="Z28" s="26"/>
      <c r="AA28" s="26"/>
      <c r="AB28" s="26"/>
      <c r="AC28" s="27"/>
      <c r="AD28" s="27"/>
    </row>
    <row r="29" spans="1:30" ht="24.6" customHeight="1" x14ac:dyDescent="0.15">
      <c r="A29" s="15">
        <v>265</v>
      </c>
      <c r="B29" s="11" t="s">
        <v>483</v>
      </c>
      <c r="C29" s="16" t="s">
        <v>484</v>
      </c>
      <c r="D29" s="13" t="s">
        <v>24</v>
      </c>
      <c r="E29" s="13" t="s">
        <v>480</v>
      </c>
      <c r="F29" s="14">
        <v>43948</v>
      </c>
      <c r="G29" s="14">
        <v>43956</v>
      </c>
      <c r="H29" s="14"/>
      <c r="I29" s="14">
        <v>43955</v>
      </c>
      <c r="J29" s="13" t="str">
        <f t="shared" ref="J29" ca="1" si="132">IF(AND(I29&lt;=$C$2,I29&lt;&gt;0),"DONE",IF(K29&lt;0,"OVERDUE",IF(AND(K29="",O29&lt;0),"OVERDUE","IN TIME")))</f>
        <v>DONE</v>
      </c>
      <c r="K29" s="13" t="str">
        <f t="shared" ref="K29" si="133">IF(H29&gt;0,H29-$C$2,"")</f>
        <v/>
      </c>
      <c r="L29" s="13">
        <f t="shared" ref="L29" ca="1" si="134">IF(J29="OVERDUE",1,0)</f>
        <v>0</v>
      </c>
      <c r="M29" s="13">
        <f t="shared" ref="M29" ca="1" si="135">IF(J29="IN TIME",1,0)</f>
        <v>0</v>
      </c>
      <c r="N29" s="13">
        <f t="shared" ref="N29" ca="1" si="136">IF(J29="DONE",1,0)</f>
        <v>1</v>
      </c>
      <c r="O29" s="13">
        <f t="shared" ref="O29" ca="1" si="137">IF(G29&gt;0,G29-$C$2,"")</f>
        <v>-69</v>
      </c>
      <c r="P29" s="20" t="s">
        <v>501</v>
      </c>
      <c r="Q29" s="25"/>
      <c r="R29" s="26"/>
      <c r="S29" s="26"/>
      <c r="T29" s="26"/>
      <c r="U29" s="26"/>
      <c r="V29" s="26"/>
      <c r="W29" s="26"/>
      <c r="X29" s="26"/>
      <c r="Y29" s="26"/>
      <c r="Z29" s="26"/>
      <c r="AA29" s="26"/>
      <c r="AB29" s="26"/>
      <c r="AC29" s="27"/>
      <c r="AD29" s="27"/>
    </row>
    <row r="30" spans="1:30" ht="71.25" customHeight="1" x14ac:dyDescent="0.15">
      <c r="A30" s="15">
        <v>266</v>
      </c>
      <c r="B30" s="11" t="s">
        <v>485</v>
      </c>
      <c r="C30" s="16" t="s">
        <v>486</v>
      </c>
      <c r="D30" s="13" t="s">
        <v>24</v>
      </c>
      <c r="E30" s="13" t="s">
        <v>480</v>
      </c>
      <c r="F30" s="14">
        <v>43957</v>
      </c>
      <c r="G30" s="14">
        <v>43971</v>
      </c>
      <c r="H30" s="14"/>
      <c r="I30" s="14"/>
      <c r="J30" s="13" t="str">
        <f t="shared" ref="J30" ca="1" si="138">IF(AND(I30&lt;=$C$2,I30&lt;&gt;0),"DONE",IF(K30&lt;0,"OVERDUE",IF(AND(K30="",O30&lt;0),"OVERDUE","IN TIME")))</f>
        <v>OVERDUE</v>
      </c>
      <c r="K30" s="13" t="str">
        <f t="shared" ref="K30" si="139">IF(H30&gt;0,H30-$C$2,"")</f>
        <v/>
      </c>
      <c r="L30" s="13">
        <f t="shared" ref="L30" ca="1" si="140">IF(J30="OVERDUE",1,0)</f>
        <v>1</v>
      </c>
      <c r="M30" s="13">
        <f t="shared" ref="M30" ca="1" si="141">IF(J30="IN TIME",1,0)</f>
        <v>0</v>
      </c>
      <c r="N30" s="13">
        <f t="shared" ref="N30" ca="1" si="142">IF(J30="DONE",1,0)</f>
        <v>0</v>
      </c>
      <c r="O30" s="13">
        <f t="shared" ref="O30" ca="1" si="143">IF(G30&gt;0,G30-$C$2,"")</f>
        <v>-54</v>
      </c>
      <c r="P30" s="20" t="s">
        <v>517</v>
      </c>
      <c r="Q30" s="25"/>
      <c r="R30" s="26"/>
      <c r="S30" s="26"/>
      <c r="T30" s="26"/>
      <c r="U30" s="26"/>
      <c r="V30" s="26"/>
      <c r="W30" s="26"/>
      <c r="X30" s="26"/>
      <c r="Y30" s="26"/>
      <c r="Z30" s="26"/>
      <c r="AA30" s="26"/>
      <c r="AB30" s="26"/>
      <c r="AC30" s="27"/>
      <c r="AD30" s="27"/>
    </row>
    <row r="31" spans="1:30" ht="43.5" customHeight="1" x14ac:dyDescent="0.15">
      <c r="A31" s="15">
        <v>266</v>
      </c>
      <c r="B31" s="11" t="s">
        <v>488</v>
      </c>
      <c r="C31" s="16" t="s">
        <v>489</v>
      </c>
      <c r="D31" s="13" t="s">
        <v>24</v>
      </c>
      <c r="E31" s="13" t="s">
        <v>480</v>
      </c>
      <c r="F31" s="14">
        <v>43972</v>
      </c>
      <c r="G31" s="14">
        <v>43973</v>
      </c>
      <c r="H31" s="14"/>
      <c r="I31" s="14"/>
      <c r="J31" s="13" t="str">
        <f t="shared" ref="J31" ca="1" si="144">IF(AND(I31&lt;=$C$2,I31&lt;&gt;0),"DONE",IF(K31&lt;0,"OVERDUE",IF(AND(K31="",O31&lt;0),"OVERDUE","IN TIME")))</f>
        <v>OVERDUE</v>
      </c>
      <c r="K31" s="13" t="str">
        <f t="shared" ref="K31" si="145">IF(H31&gt;0,H31-$C$2,"")</f>
        <v/>
      </c>
      <c r="L31" s="13">
        <f t="shared" ref="L31" ca="1" si="146">IF(J31="OVERDUE",1,0)</f>
        <v>1</v>
      </c>
      <c r="M31" s="13">
        <f t="shared" ref="M31" ca="1" si="147">IF(J31="IN TIME",1,0)</f>
        <v>0</v>
      </c>
      <c r="N31" s="13">
        <f t="shared" ref="N31" ca="1" si="148">IF(J31="DONE",1,0)</f>
        <v>0</v>
      </c>
      <c r="O31" s="13">
        <f t="shared" ref="O31" ca="1" si="149">IF(G31&gt;0,G31-$C$2,"")</f>
        <v>-52</v>
      </c>
      <c r="P31" s="20" t="s">
        <v>515</v>
      </c>
      <c r="Q31" s="146"/>
      <c r="R31" s="147"/>
      <c r="S31" s="147"/>
      <c r="T31" s="147"/>
      <c r="U31" s="147"/>
      <c r="V31" s="147"/>
      <c r="W31" s="147"/>
      <c r="X31" s="147"/>
      <c r="Y31" s="147"/>
      <c r="Z31" s="147"/>
      <c r="AA31" s="147"/>
      <c r="AB31" s="147"/>
      <c r="AC31" s="27"/>
      <c r="AD31" s="27"/>
    </row>
    <row r="32" spans="1:30" ht="45" customHeight="1" x14ac:dyDescent="0.15">
      <c r="A32" s="15">
        <v>267</v>
      </c>
      <c r="B32" s="11"/>
      <c r="C32" s="16" t="s">
        <v>500</v>
      </c>
      <c r="D32" s="13"/>
      <c r="E32" s="13" t="s">
        <v>480</v>
      </c>
      <c r="F32" s="14"/>
      <c r="G32" s="14"/>
      <c r="H32" s="14"/>
      <c r="I32" s="14"/>
      <c r="J32" s="13" t="str">
        <f t="shared" ref="J32" ca="1" si="150">IF(AND(I32&lt;=$C$2,I32&lt;&gt;0),"DONE",IF(K32&lt;0,"OVERDUE",IF(AND(K32="",O32&lt;0),"OVERDUE","IN TIME")))</f>
        <v>IN TIME</v>
      </c>
      <c r="K32" s="13" t="str">
        <f t="shared" ref="K32" si="151">IF(H32&gt;0,H32-$C$2,"")</f>
        <v/>
      </c>
      <c r="L32" s="13">
        <f t="shared" ref="L32" ca="1" si="152">IF(J32="OVERDUE",1,0)</f>
        <v>0</v>
      </c>
      <c r="M32" s="13">
        <f t="shared" ref="M32" ca="1" si="153">IF(J32="IN TIME",1,0)</f>
        <v>1</v>
      </c>
      <c r="N32" s="13">
        <f t="shared" ref="N32" ca="1" si="154">IF(J32="DONE",1,0)</f>
        <v>0</v>
      </c>
      <c r="O32" s="13" t="str">
        <f t="shared" ref="O32" si="155">IF(G32&gt;0,G32-$C$2,"")</f>
        <v/>
      </c>
      <c r="P32" s="20" t="s">
        <v>513</v>
      </c>
      <c r="Q32" s="149"/>
      <c r="R32" s="150"/>
      <c r="S32" s="150"/>
      <c r="T32" s="150"/>
      <c r="U32" s="150"/>
      <c r="V32" s="150"/>
      <c r="W32" s="150"/>
      <c r="X32" s="150"/>
      <c r="Y32" s="150"/>
      <c r="Z32" s="150"/>
      <c r="AA32" s="150"/>
      <c r="AB32" s="150"/>
      <c r="AC32" s="27"/>
      <c r="AD32" s="27"/>
    </row>
    <row r="33" spans="1:30" ht="24.6" customHeight="1" x14ac:dyDescent="0.15">
      <c r="A33" s="15">
        <v>268</v>
      </c>
      <c r="B33" s="11"/>
      <c r="C33" s="16" t="s">
        <v>522</v>
      </c>
      <c r="D33" s="13" t="s">
        <v>24</v>
      </c>
      <c r="E33" s="13" t="s">
        <v>519</v>
      </c>
      <c r="F33" s="14">
        <v>44025</v>
      </c>
      <c r="G33" s="14">
        <v>44037</v>
      </c>
      <c r="H33" s="14"/>
      <c r="I33" s="14"/>
      <c r="J33" s="13" t="str">
        <f t="shared" ref="J33" ca="1" si="156">IF(AND(I33&lt;=$C$2,I33&lt;&gt;0),"DONE",IF(K33&lt;0,"OVERDUE",IF(AND(K33="",O33&lt;0),"OVERDUE","IN TIME")))</f>
        <v>IN TIME</v>
      </c>
      <c r="K33" s="13" t="str">
        <f t="shared" ref="K33" si="157">IF(H33&gt;0,H33-$C$2,"")</f>
        <v/>
      </c>
      <c r="L33" s="13">
        <f t="shared" ref="L33" ca="1" si="158">IF(J33="OVERDUE",1,0)</f>
        <v>0</v>
      </c>
      <c r="M33" s="13">
        <f t="shared" ref="M33" ca="1" si="159">IF(J33="IN TIME",1,0)</f>
        <v>1</v>
      </c>
      <c r="N33" s="13">
        <f t="shared" ref="N33" ca="1" si="160">IF(J33="DONE",1,0)</f>
        <v>0</v>
      </c>
      <c r="O33" s="13">
        <f t="shared" ref="O33" ca="1" si="161">IF(G33&gt;0,G33-$C$2,"")</f>
        <v>12</v>
      </c>
      <c r="P33" s="20" t="s">
        <v>521</v>
      </c>
      <c r="Q33" s="149"/>
      <c r="R33" s="150"/>
      <c r="S33" s="150"/>
      <c r="T33" s="150"/>
      <c r="U33" s="150"/>
      <c r="V33" s="150"/>
      <c r="W33" s="150"/>
      <c r="X33" s="150"/>
      <c r="Y33" s="150"/>
      <c r="Z33" s="150"/>
      <c r="AA33" s="150"/>
      <c r="AB33" s="150"/>
      <c r="AC33" s="27"/>
      <c r="AD33" s="27"/>
    </row>
    <row r="34" spans="1:30" ht="24.6" customHeight="1" x14ac:dyDescent="0.15">
      <c r="A34" s="15">
        <v>269</v>
      </c>
      <c r="B34" s="11"/>
      <c r="C34" s="16"/>
      <c r="D34" s="13"/>
      <c r="E34" s="13"/>
      <c r="F34" s="14"/>
      <c r="G34" s="14"/>
      <c r="H34" s="14"/>
      <c r="I34" s="14"/>
      <c r="J34" s="13" t="str">
        <f t="shared" ref="J34" ca="1" si="162">IF(AND(I34&lt;=$C$2,I34&lt;&gt;0),"DONE",IF(K34&lt;0,"OVERDUE",IF(AND(K34="",O34&lt;0),"OVERDUE","IN TIME")))</f>
        <v>IN TIME</v>
      </c>
      <c r="K34" s="13" t="str">
        <f t="shared" ref="K34" si="163">IF(H34&gt;0,H34-$C$2,"")</f>
        <v/>
      </c>
      <c r="L34" s="13">
        <f t="shared" ref="L34" ca="1" si="164">IF(J34="OVERDUE",1,0)</f>
        <v>0</v>
      </c>
      <c r="M34" s="13">
        <f t="shared" ref="M34" ca="1" si="165">IF(J34="IN TIME",1,0)</f>
        <v>1</v>
      </c>
      <c r="N34" s="13">
        <f t="shared" ref="N34" ca="1" si="166">IF(J34="DONE",1,0)</f>
        <v>0</v>
      </c>
      <c r="O34" s="13" t="str">
        <f t="shared" ref="O34" si="167">IF(G34&gt;0,G34-$C$2,"")</f>
        <v/>
      </c>
      <c r="P34" s="20"/>
      <c r="Q34" s="149"/>
      <c r="R34" s="150"/>
      <c r="S34" s="150"/>
      <c r="T34" s="150"/>
      <c r="U34" s="150"/>
      <c r="V34" s="150"/>
      <c r="W34" s="150"/>
      <c r="X34" s="150"/>
      <c r="Y34" s="150"/>
      <c r="Z34" s="150"/>
      <c r="AA34" s="150"/>
      <c r="AB34" s="150"/>
      <c r="AC34" s="27"/>
      <c r="AD34" s="27"/>
    </row>
  </sheetData>
  <autoFilter ref="A3:P30"/>
  <mergeCells count="3">
    <mergeCell ref="A1:P1"/>
    <mergeCell ref="A2:B2"/>
    <mergeCell ref="Q3:AB14"/>
  </mergeCells>
  <phoneticPr fontId="34" type="noConversion"/>
  <conditionalFormatting sqref="J4">
    <cfRule type="cellIs" dxfId="260" priority="91" operator="equal">
      <formula>"OVERDUE"</formula>
    </cfRule>
    <cfRule type="cellIs" dxfId="259" priority="92" operator="equal">
      <formula>"DONE"</formula>
    </cfRule>
    <cfRule type="cellIs" dxfId="258" priority="93" operator="equal">
      <formula>"DONE"</formula>
    </cfRule>
  </conditionalFormatting>
  <conditionalFormatting sqref="J5">
    <cfRule type="cellIs" dxfId="257" priority="88" operator="equal">
      <formula>"OVERDUE"</formula>
    </cfRule>
    <cfRule type="cellIs" dxfId="256" priority="89" operator="equal">
      <formula>"DONE"</formula>
    </cfRule>
    <cfRule type="cellIs" dxfId="255" priority="90" operator="equal">
      <formula>"DONE"</formula>
    </cfRule>
  </conditionalFormatting>
  <conditionalFormatting sqref="J6">
    <cfRule type="cellIs" dxfId="254" priority="85" operator="equal">
      <formula>"OVERDUE"</formula>
    </cfRule>
    <cfRule type="cellIs" dxfId="253" priority="86" operator="equal">
      <formula>"DONE"</formula>
    </cfRule>
    <cfRule type="cellIs" dxfId="252" priority="87" operator="equal">
      <formula>"DONE"</formula>
    </cfRule>
  </conditionalFormatting>
  <conditionalFormatting sqref="J7">
    <cfRule type="cellIs" dxfId="251" priority="82" operator="equal">
      <formula>"OVERDUE"</formula>
    </cfRule>
    <cfRule type="cellIs" dxfId="250" priority="83" operator="equal">
      <formula>"DONE"</formula>
    </cfRule>
    <cfRule type="cellIs" dxfId="249" priority="84" operator="equal">
      <formula>"DONE"</formula>
    </cfRule>
  </conditionalFormatting>
  <conditionalFormatting sqref="J8">
    <cfRule type="cellIs" dxfId="248" priority="79" operator="equal">
      <formula>"OVERDUE"</formula>
    </cfRule>
    <cfRule type="cellIs" dxfId="247" priority="80" operator="equal">
      <formula>"DONE"</formula>
    </cfRule>
    <cfRule type="cellIs" dxfId="246" priority="81" operator="equal">
      <formula>"DONE"</formula>
    </cfRule>
  </conditionalFormatting>
  <conditionalFormatting sqref="J9">
    <cfRule type="cellIs" dxfId="245" priority="76" operator="equal">
      <formula>"OVERDUE"</formula>
    </cfRule>
    <cfRule type="cellIs" dxfId="244" priority="77" operator="equal">
      <formula>"DONE"</formula>
    </cfRule>
    <cfRule type="cellIs" dxfId="243" priority="78" operator="equal">
      <formula>"DONE"</formula>
    </cfRule>
  </conditionalFormatting>
  <conditionalFormatting sqref="J10">
    <cfRule type="cellIs" dxfId="242" priority="73" operator="equal">
      <formula>"OVERDUE"</formula>
    </cfRule>
    <cfRule type="cellIs" dxfId="241" priority="74" operator="equal">
      <formula>"DONE"</formula>
    </cfRule>
    <cfRule type="cellIs" dxfId="240" priority="75" operator="equal">
      <formula>"DONE"</formula>
    </cfRule>
  </conditionalFormatting>
  <conditionalFormatting sqref="J11">
    <cfRule type="cellIs" dxfId="239" priority="70" operator="equal">
      <formula>"OVERDUE"</formula>
    </cfRule>
    <cfRule type="cellIs" dxfId="238" priority="71" operator="equal">
      <formula>"DONE"</formula>
    </cfRule>
    <cfRule type="cellIs" dxfId="237" priority="72" operator="equal">
      <formula>"DONE"</formula>
    </cfRule>
  </conditionalFormatting>
  <conditionalFormatting sqref="J12">
    <cfRule type="cellIs" dxfId="236" priority="67" operator="equal">
      <formula>"OVERDUE"</formula>
    </cfRule>
    <cfRule type="cellIs" dxfId="235" priority="68" operator="equal">
      <formula>"DONE"</formula>
    </cfRule>
    <cfRule type="cellIs" dxfId="234" priority="69" operator="equal">
      <formula>"DONE"</formula>
    </cfRule>
  </conditionalFormatting>
  <conditionalFormatting sqref="J13">
    <cfRule type="cellIs" dxfId="233" priority="64" operator="equal">
      <formula>"OVERDUE"</formula>
    </cfRule>
    <cfRule type="cellIs" dxfId="232" priority="65" operator="equal">
      <formula>"DONE"</formula>
    </cfRule>
    <cfRule type="cellIs" dxfId="231" priority="66" operator="equal">
      <formula>"DONE"</formula>
    </cfRule>
  </conditionalFormatting>
  <conditionalFormatting sqref="J14">
    <cfRule type="cellIs" dxfId="230" priority="61" operator="equal">
      <formula>"OVERDUE"</formula>
    </cfRule>
    <cfRule type="cellIs" dxfId="229" priority="62" operator="equal">
      <formula>"DONE"</formula>
    </cfRule>
    <cfRule type="cellIs" dxfId="228" priority="63" operator="equal">
      <formula>"DONE"</formula>
    </cfRule>
  </conditionalFormatting>
  <conditionalFormatting sqref="J15">
    <cfRule type="cellIs" dxfId="227" priority="58" operator="equal">
      <formula>"OVERDUE"</formula>
    </cfRule>
    <cfRule type="cellIs" dxfId="226" priority="59" operator="equal">
      <formula>"DONE"</formula>
    </cfRule>
    <cfRule type="cellIs" dxfId="225" priority="60" operator="equal">
      <formula>"DONE"</formula>
    </cfRule>
  </conditionalFormatting>
  <conditionalFormatting sqref="J16">
    <cfRule type="cellIs" dxfId="224" priority="55" operator="equal">
      <formula>"OVERDUE"</formula>
    </cfRule>
    <cfRule type="cellIs" dxfId="223" priority="56" operator="equal">
      <formula>"DONE"</formula>
    </cfRule>
    <cfRule type="cellIs" dxfId="222" priority="57" operator="equal">
      <formula>"DONE"</formula>
    </cfRule>
  </conditionalFormatting>
  <conditionalFormatting sqref="J17">
    <cfRule type="cellIs" dxfId="221" priority="52" operator="equal">
      <formula>"OVERDUE"</formula>
    </cfRule>
    <cfRule type="cellIs" dxfId="220" priority="53" operator="equal">
      <formula>"DONE"</formula>
    </cfRule>
    <cfRule type="cellIs" dxfId="219" priority="54" operator="equal">
      <formula>"DONE"</formula>
    </cfRule>
  </conditionalFormatting>
  <conditionalFormatting sqref="J18">
    <cfRule type="cellIs" dxfId="218" priority="49" operator="equal">
      <formula>"OVERDUE"</formula>
    </cfRule>
    <cfRule type="cellIs" dxfId="217" priority="50" operator="equal">
      <formula>"DONE"</formula>
    </cfRule>
    <cfRule type="cellIs" dxfId="216" priority="51" operator="equal">
      <formula>"DONE"</formula>
    </cfRule>
  </conditionalFormatting>
  <conditionalFormatting sqref="J19">
    <cfRule type="cellIs" dxfId="215" priority="46" operator="equal">
      <formula>"OVERDUE"</formula>
    </cfRule>
    <cfRule type="cellIs" dxfId="214" priority="47" operator="equal">
      <formula>"DONE"</formula>
    </cfRule>
    <cfRule type="cellIs" dxfId="213" priority="48" operator="equal">
      <formula>"DONE"</formula>
    </cfRule>
  </conditionalFormatting>
  <conditionalFormatting sqref="J20">
    <cfRule type="cellIs" dxfId="212" priority="43" operator="equal">
      <formula>"OVERDUE"</formula>
    </cfRule>
    <cfRule type="cellIs" dxfId="211" priority="44" operator="equal">
      <formula>"DONE"</formula>
    </cfRule>
    <cfRule type="cellIs" dxfId="210" priority="45" operator="equal">
      <formula>"DONE"</formula>
    </cfRule>
  </conditionalFormatting>
  <conditionalFormatting sqref="J21">
    <cfRule type="cellIs" dxfId="209" priority="40" operator="equal">
      <formula>"OVERDUE"</formula>
    </cfRule>
    <cfRule type="cellIs" dxfId="208" priority="41" operator="equal">
      <formula>"DONE"</formula>
    </cfRule>
    <cfRule type="cellIs" dxfId="207" priority="42" operator="equal">
      <formula>"DONE"</formula>
    </cfRule>
  </conditionalFormatting>
  <conditionalFormatting sqref="J22">
    <cfRule type="cellIs" dxfId="206" priority="37" operator="equal">
      <formula>"OVERDUE"</formula>
    </cfRule>
    <cfRule type="cellIs" dxfId="205" priority="38" operator="equal">
      <formula>"DONE"</formula>
    </cfRule>
    <cfRule type="cellIs" dxfId="204" priority="39" operator="equal">
      <formula>"DONE"</formula>
    </cfRule>
  </conditionalFormatting>
  <conditionalFormatting sqref="J23">
    <cfRule type="cellIs" dxfId="203" priority="34" operator="equal">
      <formula>"OVERDUE"</formula>
    </cfRule>
    <cfRule type="cellIs" dxfId="202" priority="35" operator="equal">
      <formula>"DONE"</formula>
    </cfRule>
    <cfRule type="cellIs" dxfId="201" priority="36" operator="equal">
      <formula>"DONE"</formula>
    </cfRule>
  </conditionalFormatting>
  <conditionalFormatting sqref="J24">
    <cfRule type="cellIs" dxfId="200" priority="31" operator="equal">
      <formula>"OVERDUE"</formula>
    </cfRule>
    <cfRule type="cellIs" dxfId="199" priority="32" operator="equal">
      <formula>"DONE"</formula>
    </cfRule>
    <cfRule type="cellIs" dxfId="198" priority="33" operator="equal">
      <formula>"DONE"</formula>
    </cfRule>
  </conditionalFormatting>
  <conditionalFormatting sqref="J25">
    <cfRule type="cellIs" dxfId="197" priority="28" operator="equal">
      <formula>"OVERDUE"</formula>
    </cfRule>
    <cfRule type="cellIs" dxfId="196" priority="29" operator="equal">
      <formula>"DONE"</formula>
    </cfRule>
    <cfRule type="cellIs" dxfId="195" priority="30" operator="equal">
      <formula>"DONE"</formula>
    </cfRule>
  </conditionalFormatting>
  <conditionalFormatting sqref="J26">
    <cfRule type="cellIs" dxfId="194" priority="25" operator="equal">
      <formula>"OVERDUE"</formula>
    </cfRule>
    <cfRule type="cellIs" dxfId="193" priority="26" operator="equal">
      <formula>"DONE"</formula>
    </cfRule>
    <cfRule type="cellIs" dxfId="192" priority="27" operator="equal">
      <formula>"DONE"</formula>
    </cfRule>
  </conditionalFormatting>
  <conditionalFormatting sqref="J27">
    <cfRule type="cellIs" dxfId="191" priority="22" operator="equal">
      <formula>"OVERDUE"</formula>
    </cfRule>
    <cfRule type="cellIs" dxfId="190" priority="23" operator="equal">
      <formula>"DONE"</formula>
    </cfRule>
    <cfRule type="cellIs" dxfId="189" priority="24" operator="equal">
      <formula>"DONE"</formula>
    </cfRule>
  </conditionalFormatting>
  <conditionalFormatting sqref="J28">
    <cfRule type="cellIs" dxfId="188" priority="19" operator="equal">
      <formula>"OVERDUE"</formula>
    </cfRule>
    <cfRule type="cellIs" dxfId="187" priority="20" operator="equal">
      <formula>"DONE"</formula>
    </cfRule>
    <cfRule type="cellIs" dxfId="186" priority="21" operator="equal">
      <formula>"DONE"</formula>
    </cfRule>
  </conditionalFormatting>
  <conditionalFormatting sqref="J29">
    <cfRule type="cellIs" dxfId="185" priority="16" operator="equal">
      <formula>"OVERDUE"</formula>
    </cfRule>
    <cfRule type="cellIs" dxfId="184" priority="17" operator="equal">
      <formula>"DONE"</formula>
    </cfRule>
    <cfRule type="cellIs" dxfId="183" priority="18" operator="equal">
      <formula>"DONE"</formula>
    </cfRule>
  </conditionalFormatting>
  <conditionalFormatting sqref="J30">
    <cfRule type="cellIs" dxfId="182" priority="13" operator="equal">
      <formula>"OVERDUE"</formula>
    </cfRule>
    <cfRule type="cellIs" dxfId="181" priority="14" operator="equal">
      <formula>"DONE"</formula>
    </cfRule>
    <cfRule type="cellIs" dxfId="180" priority="15" operator="equal">
      <formula>"DONE"</formula>
    </cfRule>
  </conditionalFormatting>
  <conditionalFormatting sqref="J2:J3 J35:J1048576">
    <cfRule type="cellIs" dxfId="179" priority="112" operator="equal">
      <formula>"OVERDUE"</formula>
    </cfRule>
    <cfRule type="cellIs" dxfId="178" priority="113" operator="equal">
      <formula>"DONE"</formula>
    </cfRule>
    <cfRule type="cellIs" dxfId="177" priority="114" operator="equal">
      <formula>"DONE"</formula>
    </cfRule>
  </conditionalFormatting>
  <conditionalFormatting sqref="J31">
    <cfRule type="cellIs" dxfId="176" priority="10" operator="equal">
      <formula>"OVERDUE"</formula>
    </cfRule>
    <cfRule type="cellIs" dxfId="175" priority="11" operator="equal">
      <formula>"DONE"</formula>
    </cfRule>
    <cfRule type="cellIs" dxfId="174" priority="12" operator="equal">
      <formula>"DONE"</formula>
    </cfRule>
  </conditionalFormatting>
  <conditionalFormatting sqref="J32">
    <cfRule type="cellIs" dxfId="173" priority="7" operator="equal">
      <formula>"OVERDUE"</formula>
    </cfRule>
    <cfRule type="cellIs" dxfId="172" priority="8" operator="equal">
      <formula>"DONE"</formula>
    </cfRule>
    <cfRule type="cellIs" dxfId="171" priority="9" operator="equal">
      <formula>"DONE"</formula>
    </cfRule>
  </conditionalFormatting>
  <conditionalFormatting sqref="J33">
    <cfRule type="cellIs" dxfId="170" priority="4" operator="equal">
      <formula>"OVERDUE"</formula>
    </cfRule>
    <cfRule type="cellIs" dxfId="169" priority="5" operator="equal">
      <formula>"DONE"</formula>
    </cfRule>
    <cfRule type="cellIs" dxfId="168" priority="6" operator="equal">
      <formula>"DONE"</formula>
    </cfRule>
  </conditionalFormatting>
  <conditionalFormatting sqref="J34">
    <cfRule type="cellIs" dxfId="167" priority="1" operator="equal">
      <formula>"OVERDUE"</formula>
    </cfRule>
    <cfRule type="cellIs" dxfId="166" priority="2" operator="equal">
      <formula>"DONE"</formula>
    </cfRule>
    <cfRule type="cellIs" dxfId="165" priority="3"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Pict="0" macro="[0]!Insert_Line_moban">
                <anchor moveWithCells="1">
                  <from>
                    <xdr:col>0</xdr:col>
                    <xdr:colOff>104775</xdr:colOff>
                    <xdr:row>34</xdr:row>
                    <xdr:rowOff>85725</xdr:rowOff>
                  </from>
                  <to>
                    <xdr:col>1</xdr:col>
                    <xdr:colOff>800100</xdr:colOff>
                    <xdr:row>35</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92D050"/>
  </sheetPr>
  <dimension ref="A1:IL30"/>
  <sheetViews>
    <sheetView workbookViewId="0">
      <pane ySplit="3" topLeftCell="A7" activePane="bottomLeft" state="frozen"/>
      <selection pane="bottomLeft" activeCell="G15" sqref="G15"/>
    </sheetView>
  </sheetViews>
  <sheetFormatPr defaultColWidth="9" defaultRowHeight="14.25" x14ac:dyDescent="0.15"/>
  <cols>
    <col min="1" max="1" width="8.25" style="1" customWidth="1"/>
    <col min="2" max="2" width="12.1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54" t="s">
        <v>359</v>
      </c>
      <c r="B1" s="154"/>
      <c r="C1" s="154"/>
      <c r="D1" s="154"/>
      <c r="E1" s="154"/>
      <c r="F1" s="154"/>
      <c r="G1" s="154"/>
      <c r="H1" s="154"/>
      <c r="I1" s="154"/>
      <c r="J1" s="154"/>
      <c r="K1" s="154"/>
      <c r="L1" s="154"/>
      <c r="M1" s="154"/>
      <c r="N1" s="154"/>
      <c r="O1" s="154"/>
      <c r="P1" s="15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5" t="s">
        <v>1</v>
      </c>
      <c r="B2" s="155"/>
      <c r="C2" s="5">
        <f ca="1">TODAY()</f>
        <v>44025</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163"/>
      <c r="R3" s="164"/>
      <c r="S3" s="164"/>
      <c r="T3" s="164"/>
      <c r="U3" s="164"/>
      <c r="V3" s="164"/>
      <c r="W3" s="164"/>
      <c r="X3" s="164"/>
      <c r="Y3" s="164"/>
      <c r="Z3" s="164"/>
      <c r="AA3" s="164"/>
      <c r="AB3" s="164"/>
      <c r="AC3" s="43"/>
      <c r="AD3" s="43"/>
      <c r="AE3" s="43"/>
      <c r="AF3" s="43"/>
      <c r="AG3" s="43"/>
      <c r="AH3" s="43"/>
      <c r="AI3" s="43"/>
      <c r="AJ3" s="43"/>
      <c r="AK3" s="43"/>
      <c r="AL3" s="43"/>
      <c r="AM3" s="43"/>
      <c r="AN3" s="43"/>
      <c r="AO3" s="43"/>
      <c r="AP3" s="43"/>
      <c r="AQ3" s="43"/>
      <c r="AR3" s="43"/>
      <c r="AS3" s="43"/>
      <c r="AT3" s="43"/>
      <c r="AU3" s="43"/>
      <c r="AV3" s="43"/>
      <c r="AW3" s="43"/>
      <c r="AX3" s="43"/>
      <c r="AY3" s="43"/>
      <c r="AZ3" s="43"/>
      <c r="BA3" s="43"/>
      <c r="BB3" s="43"/>
      <c r="BC3" s="43"/>
      <c r="BD3" s="43"/>
      <c r="BE3" s="43"/>
      <c r="BF3" s="43"/>
      <c r="BG3" s="43"/>
      <c r="BH3" s="43"/>
      <c r="BI3" s="43"/>
      <c r="BJ3" s="43"/>
      <c r="BK3" s="43"/>
      <c r="BL3" s="43"/>
      <c r="BM3" s="43"/>
      <c r="BN3" s="43"/>
      <c r="BO3" s="43"/>
      <c r="BP3" s="43"/>
      <c r="BQ3" s="43"/>
      <c r="BR3" s="43"/>
      <c r="BS3" s="43"/>
      <c r="BT3" s="43"/>
      <c r="BU3" s="43"/>
      <c r="BV3" s="43"/>
      <c r="BW3" s="43"/>
      <c r="BX3" s="43"/>
      <c r="BY3" s="43"/>
      <c r="BZ3" s="43"/>
      <c r="CA3" s="43"/>
      <c r="CB3" s="43"/>
      <c r="CC3" s="43"/>
      <c r="CD3" s="43"/>
      <c r="CE3" s="43"/>
      <c r="CF3" s="43"/>
      <c r="CG3" s="43"/>
      <c r="CH3" s="43"/>
      <c r="CI3" s="43"/>
      <c r="CJ3" s="43"/>
      <c r="CK3" s="43"/>
      <c r="CL3" s="43"/>
      <c r="CM3" s="43"/>
      <c r="CN3" s="43"/>
      <c r="CO3" s="43"/>
      <c r="CP3" s="43"/>
      <c r="CQ3" s="43"/>
      <c r="CR3" s="43"/>
      <c r="CS3" s="43"/>
      <c r="CT3" s="43"/>
      <c r="CU3" s="43"/>
      <c r="CV3" s="43"/>
      <c r="CW3" s="43"/>
      <c r="CX3" s="43"/>
      <c r="CY3" s="43"/>
      <c r="CZ3" s="43"/>
      <c r="DA3" s="43"/>
      <c r="DB3" s="43"/>
      <c r="DC3" s="43"/>
      <c r="DD3" s="43"/>
      <c r="DE3" s="43"/>
      <c r="DF3" s="43"/>
      <c r="DG3" s="43"/>
      <c r="DH3" s="43"/>
      <c r="DI3" s="43"/>
      <c r="DJ3" s="43"/>
      <c r="DK3" s="43"/>
      <c r="DL3" s="43"/>
      <c r="DM3" s="43"/>
      <c r="DN3" s="43"/>
      <c r="DO3" s="43"/>
      <c r="DP3" s="43"/>
      <c r="DQ3" s="43"/>
      <c r="DR3" s="43"/>
      <c r="DS3" s="43"/>
      <c r="DT3" s="43"/>
      <c r="DU3" s="43"/>
      <c r="DV3" s="43"/>
      <c r="DW3" s="43"/>
      <c r="DX3" s="43"/>
      <c r="DY3" s="43"/>
      <c r="DZ3" s="43"/>
      <c r="EA3" s="43"/>
      <c r="EB3" s="43"/>
      <c r="EC3" s="43"/>
      <c r="ED3" s="43"/>
      <c r="EE3" s="43"/>
      <c r="EF3" s="43"/>
      <c r="EG3" s="43"/>
      <c r="EH3" s="43"/>
      <c r="EI3" s="43"/>
      <c r="EJ3" s="43"/>
      <c r="EK3" s="43"/>
      <c r="EL3" s="43"/>
      <c r="EM3" s="43"/>
      <c r="EN3" s="43"/>
      <c r="EO3" s="43"/>
      <c r="EP3" s="43"/>
      <c r="EQ3" s="43"/>
      <c r="ER3" s="43"/>
      <c r="ES3" s="43"/>
      <c r="ET3" s="43"/>
      <c r="EU3" s="43"/>
      <c r="EV3" s="43"/>
      <c r="EW3" s="43"/>
      <c r="EX3" s="43"/>
      <c r="EY3" s="43"/>
      <c r="EZ3" s="43"/>
      <c r="FA3" s="43"/>
      <c r="FB3" s="43"/>
      <c r="FC3" s="43"/>
      <c r="FD3" s="43"/>
      <c r="FE3" s="43"/>
      <c r="FF3" s="43"/>
      <c r="FG3" s="43"/>
      <c r="FH3" s="43"/>
      <c r="FI3" s="43"/>
      <c r="FJ3" s="43"/>
      <c r="FK3" s="43"/>
      <c r="FL3" s="43"/>
      <c r="FM3" s="43"/>
      <c r="FN3" s="43"/>
      <c r="FO3" s="43"/>
      <c r="FP3" s="43"/>
      <c r="FQ3" s="43"/>
      <c r="FR3" s="43"/>
      <c r="FS3" s="43"/>
      <c r="FT3" s="43"/>
      <c r="FU3" s="43"/>
      <c r="FV3" s="43"/>
      <c r="FW3" s="43"/>
      <c r="FX3" s="43"/>
      <c r="FY3" s="43"/>
      <c r="FZ3" s="43"/>
      <c r="GA3" s="43"/>
      <c r="GB3" s="43"/>
      <c r="GC3" s="43"/>
      <c r="GD3" s="43"/>
      <c r="GE3" s="43"/>
      <c r="GF3" s="43"/>
      <c r="GG3" s="43"/>
      <c r="GH3" s="43"/>
      <c r="GI3" s="43"/>
      <c r="GJ3" s="43"/>
      <c r="GK3" s="43"/>
      <c r="GL3" s="43"/>
      <c r="GM3" s="43"/>
      <c r="GN3" s="43"/>
      <c r="GO3" s="43"/>
      <c r="GP3" s="43"/>
      <c r="GQ3" s="43"/>
      <c r="GR3" s="43"/>
      <c r="GS3" s="43"/>
      <c r="GT3" s="43"/>
      <c r="GU3" s="43"/>
      <c r="GV3" s="43"/>
      <c r="GW3" s="43"/>
      <c r="GX3" s="43"/>
      <c r="GY3" s="43"/>
      <c r="GZ3" s="43"/>
      <c r="HA3" s="43"/>
      <c r="HB3" s="43"/>
      <c r="HC3" s="43"/>
      <c r="HD3" s="43"/>
      <c r="HE3" s="43"/>
      <c r="HF3" s="43"/>
      <c r="HG3" s="43"/>
      <c r="HH3" s="43"/>
      <c r="HI3" s="43"/>
      <c r="HJ3" s="43"/>
      <c r="HK3" s="43"/>
      <c r="HL3" s="43"/>
      <c r="HM3" s="43"/>
      <c r="HN3" s="43"/>
      <c r="HO3" s="43"/>
      <c r="HP3" s="43"/>
      <c r="HQ3" s="43"/>
      <c r="HR3" s="43"/>
      <c r="HS3" s="43"/>
      <c r="HT3" s="43"/>
      <c r="HU3" s="43"/>
      <c r="HV3" s="43"/>
      <c r="HW3" s="43"/>
      <c r="HX3" s="43"/>
      <c r="HY3" s="43"/>
      <c r="HZ3" s="43"/>
      <c r="IA3" s="43"/>
      <c r="IB3" s="43"/>
      <c r="IC3" s="43"/>
      <c r="ID3" s="43"/>
      <c r="IE3" s="43"/>
      <c r="IF3" s="43"/>
      <c r="IG3" s="43"/>
      <c r="IH3" s="43"/>
      <c r="II3" s="43"/>
      <c r="IJ3" s="43"/>
      <c r="IK3" s="43"/>
      <c r="IL3" s="43"/>
    </row>
    <row r="4" spans="1:246" ht="114" customHeight="1" x14ac:dyDescent="0.15">
      <c r="A4" s="10" t="s">
        <v>83</v>
      </c>
      <c r="B4" s="11"/>
      <c r="C4" s="16" t="s">
        <v>404</v>
      </c>
      <c r="D4" s="13" t="s">
        <v>24</v>
      </c>
      <c r="E4" s="13" t="s">
        <v>360</v>
      </c>
      <c r="F4" s="13"/>
      <c r="G4" s="14"/>
      <c r="H4" s="14"/>
      <c r="I4" s="14"/>
      <c r="J4" s="13" t="str">
        <f t="shared" ref="J4:J30" ca="1" si="0">IF(AND(I4&lt;=$C$2,I4&lt;&gt;0),"DONE",IF(K4&lt;0,"OVERDUE",IF(AND(K4="",O4&lt;0),"OVERDUE","IN TIME")))</f>
        <v>IN TIME</v>
      </c>
      <c r="K4" s="13" t="str">
        <f t="shared" ref="K4:K30" si="1">IF(H4&gt;0,H4-$C$2,"")</f>
        <v/>
      </c>
      <c r="L4" s="13">
        <f t="shared" ref="L4:L30" ca="1" si="2">IF(J4="OVERDUE",1,0)</f>
        <v>0</v>
      </c>
      <c r="M4" s="13">
        <f t="shared" ref="M4:M30" ca="1" si="3">IF(J4="IN TIME",1,0)</f>
        <v>1</v>
      </c>
      <c r="N4" s="13">
        <f t="shared" ref="N4:N30" ca="1" si="4">IF(J4="DONE",1,0)</f>
        <v>0</v>
      </c>
      <c r="O4" s="13" t="str">
        <f t="shared" ref="O4:O30" si="5">IF(G4&gt;0,G4-$C$2,"")</f>
        <v/>
      </c>
      <c r="P4" s="20"/>
      <c r="Q4" s="163"/>
      <c r="R4" s="164"/>
      <c r="S4" s="164"/>
      <c r="T4" s="164"/>
      <c r="U4" s="164"/>
      <c r="V4" s="164"/>
      <c r="W4" s="164"/>
      <c r="X4" s="164"/>
      <c r="Y4" s="164"/>
      <c r="Z4" s="164"/>
      <c r="AA4" s="164"/>
      <c r="AB4" s="164"/>
      <c r="AC4" s="27"/>
      <c r="AD4" s="27"/>
    </row>
    <row r="5" spans="1:246" ht="57.75" customHeight="1" x14ac:dyDescent="0.15">
      <c r="A5" s="15">
        <v>241</v>
      </c>
      <c r="B5" s="11"/>
      <c r="C5" s="16" t="s">
        <v>397</v>
      </c>
      <c r="D5" s="13" t="s">
        <v>24</v>
      </c>
      <c r="E5" s="13" t="s">
        <v>398</v>
      </c>
      <c r="F5" s="13">
        <v>43928</v>
      </c>
      <c r="G5" s="14">
        <v>43951</v>
      </c>
      <c r="H5" s="14"/>
      <c r="I5" s="14"/>
      <c r="J5" s="13" t="str">
        <f t="shared" ca="1" si="0"/>
        <v>OVERDUE</v>
      </c>
      <c r="K5" s="13" t="str">
        <f t="shared" si="1"/>
        <v/>
      </c>
      <c r="L5" s="13">
        <f t="shared" ca="1" si="2"/>
        <v>1</v>
      </c>
      <c r="M5" s="13">
        <f t="shared" ca="1" si="3"/>
        <v>0</v>
      </c>
      <c r="N5" s="13">
        <f t="shared" ca="1" si="4"/>
        <v>0</v>
      </c>
      <c r="O5" s="13">
        <f t="shared" ca="1" si="5"/>
        <v>-74</v>
      </c>
      <c r="P5" s="20"/>
      <c r="Q5" s="163"/>
      <c r="R5" s="164"/>
      <c r="S5" s="164"/>
      <c r="T5" s="164"/>
      <c r="U5" s="164"/>
      <c r="V5" s="164"/>
      <c r="W5" s="164"/>
      <c r="X5" s="164"/>
      <c r="Y5" s="164"/>
      <c r="Z5" s="164"/>
      <c r="AA5" s="164"/>
      <c r="AB5" s="164"/>
      <c r="AC5" s="27"/>
      <c r="AD5" s="27"/>
    </row>
    <row r="6" spans="1:246" ht="24.6" customHeight="1" x14ac:dyDescent="0.15">
      <c r="A6" s="15">
        <v>242</v>
      </c>
      <c r="B6" s="11"/>
      <c r="C6" s="16" t="s">
        <v>399</v>
      </c>
      <c r="D6" s="13" t="s">
        <v>24</v>
      </c>
      <c r="E6" s="13" t="s">
        <v>400</v>
      </c>
      <c r="F6" s="14">
        <v>43928</v>
      </c>
      <c r="G6" s="14">
        <v>43951</v>
      </c>
      <c r="H6" s="14"/>
      <c r="I6" s="14"/>
      <c r="J6" s="13" t="str">
        <f t="shared" ca="1" si="0"/>
        <v>OVERDUE</v>
      </c>
      <c r="K6" s="13" t="str">
        <f t="shared" si="1"/>
        <v/>
      </c>
      <c r="L6" s="13">
        <f t="shared" ca="1" si="2"/>
        <v>1</v>
      </c>
      <c r="M6" s="13">
        <f t="shared" ca="1" si="3"/>
        <v>0</v>
      </c>
      <c r="N6" s="13">
        <f t="shared" ca="1" si="4"/>
        <v>0</v>
      </c>
      <c r="O6" s="13">
        <f t="shared" ca="1" si="5"/>
        <v>-74</v>
      </c>
      <c r="P6" s="20"/>
      <c r="Q6" s="163"/>
      <c r="R6" s="164"/>
      <c r="S6" s="164"/>
      <c r="T6" s="164"/>
      <c r="U6" s="164"/>
      <c r="V6" s="164"/>
      <c r="W6" s="164"/>
      <c r="X6" s="164"/>
      <c r="Y6" s="164"/>
      <c r="Z6" s="164"/>
      <c r="AA6" s="164"/>
      <c r="AB6" s="164"/>
      <c r="AC6" s="27"/>
      <c r="AD6" s="27"/>
    </row>
    <row r="7" spans="1:246" ht="45" customHeight="1" x14ac:dyDescent="0.15">
      <c r="A7" s="15">
        <v>243</v>
      </c>
      <c r="B7" s="13"/>
      <c r="C7" s="16" t="s">
        <v>403</v>
      </c>
      <c r="D7" s="13" t="s">
        <v>24</v>
      </c>
      <c r="E7" s="13" t="s">
        <v>402</v>
      </c>
      <c r="F7" s="14">
        <v>43928</v>
      </c>
      <c r="G7" s="14">
        <v>43951</v>
      </c>
      <c r="H7" s="14"/>
      <c r="I7" s="14"/>
      <c r="J7" s="13" t="str">
        <f t="shared" ca="1" si="0"/>
        <v>OVERDUE</v>
      </c>
      <c r="K7" s="13" t="str">
        <f t="shared" si="1"/>
        <v/>
      </c>
      <c r="L7" s="13">
        <f t="shared" ca="1" si="2"/>
        <v>1</v>
      </c>
      <c r="M7" s="13">
        <f t="shared" ca="1" si="3"/>
        <v>0</v>
      </c>
      <c r="N7" s="13">
        <f t="shared" ca="1" si="4"/>
        <v>0</v>
      </c>
      <c r="O7" s="13">
        <f t="shared" ca="1" si="5"/>
        <v>-74</v>
      </c>
      <c r="P7" s="20"/>
      <c r="Q7" s="163"/>
      <c r="R7" s="164"/>
      <c r="S7" s="164"/>
      <c r="T7" s="164"/>
      <c r="U7" s="164"/>
      <c r="V7" s="164"/>
      <c r="W7" s="164"/>
      <c r="X7" s="164"/>
      <c r="Y7" s="164"/>
      <c r="Z7" s="164"/>
      <c r="AA7" s="164"/>
      <c r="AB7" s="164"/>
      <c r="AC7" s="27"/>
      <c r="AD7" s="27"/>
    </row>
    <row r="8" spans="1:246" ht="24.6" customHeight="1" x14ac:dyDescent="0.15">
      <c r="A8" s="10" t="s">
        <v>95</v>
      </c>
      <c r="B8" s="11"/>
      <c r="C8" s="16" t="s">
        <v>401</v>
      </c>
      <c r="D8" s="13" t="s">
        <v>24</v>
      </c>
      <c r="E8" s="13" t="s">
        <v>398</v>
      </c>
      <c r="F8" s="14">
        <v>43928</v>
      </c>
      <c r="G8" s="14">
        <v>43951</v>
      </c>
      <c r="H8" s="14"/>
      <c r="I8" s="14"/>
      <c r="J8" s="13" t="str">
        <f t="shared" ca="1" si="0"/>
        <v>OVERDUE</v>
      </c>
      <c r="K8" s="13" t="str">
        <f t="shared" si="1"/>
        <v/>
      </c>
      <c r="L8" s="13">
        <f t="shared" ca="1" si="2"/>
        <v>1</v>
      </c>
      <c r="M8" s="13">
        <f t="shared" ca="1" si="3"/>
        <v>0</v>
      </c>
      <c r="N8" s="13">
        <f t="shared" ca="1" si="4"/>
        <v>0</v>
      </c>
      <c r="O8" s="13">
        <f t="shared" ca="1" si="5"/>
        <v>-74</v>
      </c>
      <c r="P8" s="20"/>
      <c r="Q8" s="163"/>
      <c r="R8" s="164"/>
      <c r="S8" s="164"/>
      <c r="T8" s="164"/>
      <c r="U8" s="164"/>
      <c r="V8" s="164"/>
      <c r="W8" s="164"/>
      <c r="X8" s="164"/>
      <c r="Y8" s="164"/>
      <c r="Z8" s="164"/>
      <c r="AA8" s="164"/>
      <c r="AB8" s="164"/>
      <c r="AC8" s="27"/>
      <c r="AD8" s="27"/>
    </row>
    <row r="9" spans="1:246" ht="24.6" customHeight="1" x14ac:dyDescent="0.15">
      <c r="A9" s="10" t="s">
        <v>99</v>
      </c>
      <c r="B9" s="11"/>
      <c r="C9" s="16"/>
      <c r="D9" s="13" t="s">
        <v>24</v>
      </c>
      <c r="E9" s="13"/>
      <c r="F9" s="14"/>
      <c r="G9" s="14"/>
      <c r="H9" s="14"/>
      <c r="I9" s="14"/>
      <c r="J9" s="13" t="str">
        <f t="shared" ca="1" si="0"/>
        <v>IN TIME</v>
      </c>
      <c r="K9" s="13" t="str">
        <f t="shared" si="1"/>
        <v/>
      </c>
      <c r="L9" s="13">
        <f t="shared" ca="1" si="2"/>
        <v>0</v>
      </c>
      <c r="M9" s="13">
        <f t="shared" ca="1" si="3"/>
        <v>1</v>
      </c>
      <c r="N9" s="13">
        <f t="shared" ca="1" si="4"/>
        <v>0</v>
      </c>
      <c r="O9" s="13" t="str">
        <f t="shared" si="5"/>
        <v/>
      </c>
      <c r="P9" s="20"/>
      <c r="Q9" s="163"/>
      <c r="R9" s="164"/>
      <c r="S9" s="164"/>
      <c r="T9" s="164"/>
      <c r="U9" s="164"/>
      <c r="V9" s="164"/>
      <c r="W9" s="164"/>
      <c r="X9" s="164"/>
      <c r="Y9" s="164"/>
      <c r="Z9" s="164"/>
      <c r="AA9" s="164"/>
      <c r="AB9" s="164"/>
      <c r="AC9" s="27"/>
      <c r="AD9" s="27"/>
    </row>
    <row r="10" spans="1:246" ht="24.6" customHeight="1" x14ac:dyDescent="0.15">
      <c r="A10" s="15">
        <v>246</v>
      </c>
      <c r="B10" s="11"/>
      <c r="C10" s="16" t="s">
        <v>496</v>
      </c>
      <c r="D10" s="13" t="s">
        <v>24</v>
      </c>
      <c r="E10" s="13" t="s">
        <v>497</v>
      </c>
      <c r="F10" s="14">
        <v>43990</v>
      </c>
      <c r="G10" s="14">
        <v>43994</v>
      </c>
      <c r="H10" s="14"/>
      <c r="I10" s="14">
        <v>43990</v>
      </c>
      <c r="J10" s="13" t="str">
        <f t="shared" ca="1" si="0"/>
        <v>DONE</v>
      </c>
      <c r="K10" s="13" t="str">
        <f t="shared" si="1"/>
        <v/>
      </c>
      <c r="L10" s="13">
        <f t="shared" ca="1" si="2"/>
        <v>0</v>
      </c>
      <c r="M10" s="13">
        <f t="shared" ca="1" si="3"/>
        <v>0</v>
      </c>
      <c r="N10" s="13">
        <f t="shared" ca="1" si="4"/>
        <v>1</v>
      </c>
      <c r="O10" s="13">
        <f t="shared" ca="1" si="5"/>
        <v>-31</v>
      </c>
      <c r="P10" s="20" t="s">
        <v>508</v>
      </c>
      <c r="Q10" s="163"/>
      <c r="R10" s="164"/>
      <c r="S10" s="164"/>
      <c r="T10" s="164"/>
      <c r="U10" s="164"/>
      <c r="V10" s="164"/>
      <c r="W10" s="164"/>
      <c r="X10" s="164"/>
      <c r="Y10" s="164"/>
      <c r="Z10" s="164"/>
      <c r="AA10" s="164"/>
      <c r="AB10" s="164"/>
      <c r="AC10" s="27"/>
      <c r="AD10" s="27"/>
    </row>
    <row r="11" spans="1:246" ht="24.6" customHeight="1" x14ac:dyDescent="0.15">
      <c r="A11" s="15">
        <v>247</v>
      </c>
      <c r="B11" s="11"/>
      <c r="C11" s="16" t="s">
        <v>499</v>
      </c>
      <c r="D11" s="13" t="s">
        <v>24</v>
      </c>
      <c r="E11" s="13" t="s">
        <v>497</v>
      </c>
      <c r="F11" s="14">
        <v>43991</v>
      </c>
      <c r="G11" s="14">
        <v>44001</v>
      </c>
      <c r="H11" s="14"/>
      <c r="I11" s="14">
        <v>44007</v>
      </c>
      <c r="J11" s="13" t="str">
        <f t="shared" ca="1" si="0"/>
        <v>DONE</v>
      </c>
      <c r="K11" s="13" t="str">
        <f t="shared" si="1"/>
        <v/>
      </c>
      <c r="L11" s="13">
        <f t="shared" ca="1" si="2"/>
        <v>0</v>
      </c>
      <c r="M11" s="13">
        <f t="shared" ca="1" si="3"/>
        <v>0</v>
      </c>
      <c r="N11" s="13">
        <f t="shared" ca="1" si="4"/>
        <v>1</v>
      </c>
      <c r="O11" s="13">
        <f t="shared" ca="1" si="5"/>
        <v>-24</v>
      </c>
      <c r="P11" s="20" t="s">
        <v>509</v>
      </c>
      <c r="Q11" s="163"/>
      <c r="R11" s="164"/>
      <c r="S11" s="164"/>
      <c r="T11" s="164"/>
      <c r="U11" s="164"/>
      <c r="V11" s="164"/>
      <c r="W11" s="164"/>
      <c r="X11" s="164"/>
      <c r="Y11" s="164"/>
      <c r="Z11" s="164"/>
      <c r="AA11" s="164"/>
      <c r="AB11" s="164"/>
      <c r="AC11" s="27"/>
      <c r="AD11" s="27"/>
    </row>
    <row r="12" spans="1:246" ht="39" customHeight="1" x14ac:dyDescent="0.15">
      <c r="A12" s="15">
        <v>248</v>
      </c>
      <c r="B12" s="11"/>
      <c r="C12" s="153" t="s">
        <v>506</v>
      </c>
      <c r="D12" s="13" t="s">
        <v>24</v>
      </c>
      <c r="E12" s="13" t="s">
        <v>507</v>
      </c>
      <c r="F12" s="14">
        <v>44004</v>
      </c>
      <c r="G12" s="14">
        <v>44009</v>
      </c>
      <c r="H12" s="14"/>
      <c r="I12" s="14">
        <v>44007</v>
      </c>
      <c r="J12" s="13" t="str">
        <f t="shared" ca="1" si="0"/>
        <v>DONE</v>
      </c>
      <c r="K12" s="13" t="str">
        <f t="shared" si="1"/>
        <v/>
      </c>
      <c r="L12" s="13">
        <f t="shared" ca="1" si="2"/>
        <v>0</v>
      </c>
      <c r="M12" s="13">
        <f t="shared" ca="1" si="3"/>
        <v>0</v>
      </c>
      <c r="N12" s="13">
        <f t="shared" ca="1" si="4"/>
        <v>1</v>
      </c>
      <c r="O12" s="13">
        <f t="shared" ca="1" si="5"/>
        <v>-16</v>
      </c>
      <c r="P12" s="20" t="s">
        <v>511</v>
      </c>
      <c r="Q12" s="163"/>
      <c r="R12" s="164"/>
      <c r="S12" s="164"/>
      <c r="T12" s="164"/>
      <c r="U12" s="164"/>
      <c r="V12" s="164"/>
      <c r="W12" s="164"/>
      <c r="X12" s="164"/>
      <c r="Y12" s="164"/>
      <c r="Z12" s="164"/>
      <c r="AA12" s="164"/>
      <c r="AB12" s="164"/>
      <c r="AC12" s="27"/>
      <c r="AD12" s="27"/>
    </row>
    <row r="13" spans="1:246" ht="24.6" customHeight="1" x14ac:dyDescent="0.15">
      <c r="A13" s="15">
        <v>249</v>
      </c>
      <c r="B13" s="13"/>
      <c r="C13" s="153" t="s">
        <v>510</v>
      </c>
      <c r="D13" s="13" t="s">
        <v>24</v>
      </c>
      <c r="E13" s="13" t="s">
        <v>507</v>
      </c>
      <c r="F13" s="14">
        <v>44009</v>
      </c>
      <c r="G13" s="14">
        <v>44022</v>
      </c>
      <c r="H13" s="14"/>
      <c r="I13" s="14"/>
      <c r="J13" s="13" t="str">
        <f t="shared" ca="1" si="0"/>
        <v>OVERDUE</v>
      </c>
      <c r="K13" s="13" t="str">
        <f t="shared" si="1"/>
        <v/>
      </c>
      <c r="L13" s="13">
        <f t="shared" ca="1" si="2"/>
        <v>1</v>
      </c>
      <c r="M13" s="13">
        <f t="shared" ca="1" si="3"/>
        <v>0</v>
      </c>
      <c r="N13" s="13">
        <f t="shared" ca="1" si="4"/>
        <v>0</v>
      </c>
      <c r="O13" s="13">
        <f t="shared" ca="1" si="5"/>
        <v>-3</v>
      </c>
      <c r="P13" s="20"/>
      <c r="Q13" s="163"/>
      <c r="R13" s="164"/>
      <c r="S13" s="164"/>
      <c r="T13" s="164"/>
      <c r="U13" s="164"/>
      <c r="V13" s="164"/>
      <c r="W13" s="164"/>
      <c r="X13" s="164"/>
      <c r="Y13" s="164"/>
      <c r="Z13" s="164"/>
      <c r="AA13" s="164"/>
      <c r="AB13" s="164"/>
      <c r="AC13" s="27"/>
      <c r="AD13" s="27"/>
    </row>
    <row r="14" spans="1:246" ht="24.6" customHeight="1" x14ac:dyDescent="0.15">
      <c r="A14" s="15"/>
      <c r="B14" s="11"/>
      <c r="C14" s="16" t="s">
        <v>512</v>
      </c>
      <c r="D14" s="13" t="s">
        <v>24</v>
      </c>
      <c r="E14" s="13" t="s">
        <v>507</v>
      </c>
      <c r="F14" s="14">
        <v>44004</v>
      </c>
      <c r="G14" s="14">
        <v>44009</v>
      </c>
      <c r="H14" s="14"/>
      <c r="I14" s="14">
        <v>44007</v>
      </c>
      <c r="J14" s="13" t="str">
        <f t="shared" ca="1" si="0"/>
        <v>DONE</v>
      </c>
      <c r="K14" s="13" t="str">
        <f t="shared" si="1"/>
        <v/>
      </c>
      <c r="L14" s="13">
        <f t="shared" ca="1" si="2"/>
        <v>0</v>
      </c>
      <c r="M14" s="13">
        <f t="shared" ca="1" si="3"/>
        <v>0</v>
      </c>
      <c r="N14" s="13">
        <f t="shared" ca="1" si="4"/>
        <v>1</v>
      </c>
      <c r="O14" s="13">
        <f t="shared" ca="1" si="5"/>
        <v>-16</v>
      </c>
      <c r="P14" s="20" t="s">
        <v>511</v>
      </c>
      <c r="Q14" s="163"/>
      <c r="R14" s="164"/>
      <c r="S14" s="164"/>
      <c r="T14" s="164"/>
      <c r="U14" s="164"/>
      <c r="V14" s="164"/>
      <c r="W14" s="164"/>
      <c r="X14" s="164"/>
      <c r="Y14" s="164"/>
      <c r="Z14" s="164"/>
      <c r="AA14" s="164"/>
      <c r="AB14" s="164"/>
      <c r="AC14" s="27"/>
      <c r="AD14" s="27"/>
    </row>
    <row r="15" spans="1:246" ht="24.6" customHeight="1" x14ac:dyDescent="0.15">
      <c r="A15" s="15">
        <v>251</v>
      </c>
      <c r="B15" s="11"/>
      <c r="C15" s="16"/>
      <c r="D15" s="13" t="s">
        <v>24</v>
      </c>
      <c r="E15" s="13"/>
      <c r="F15" s="14"/>
      <c r="G15" s="14"/>
      <c r="H15" s="14"/>
      <c r="I15" s="14"/>
      <c r="J15" s="13" t="str">
        <f t="shared" ca="1" si="0"/>
        <v>IN TIME</v>
      </c>
      <c r="K15" s="13" t="str">
        <f t="shared" si="1"/>
        <v/>
      </c>
      <c r="L15" s="13">
        <f t="shared" ca="1" si="2"/>
        <v>0</v>
      </c>
      <c r="M15" s="13">
        <f t="shared" ca="1" si="3"/>
        <v>1</v>
      </c>
      <c r="N15" s="13">
        <f t="shared" ca="1" si="4"/>
        <v>0</v>
      </c>
      <c r="O15" s="13" t="str">
        <f t="shared" si="5"/>
        <v/>
      </c>
      <c r="P15" s="20"/>
      <c r="Q15" s="42"/>
      <c r="R15" s="43"/>
      <c r="S15" s="43"/>
      <c r="T15" s="43"/>
      <c r="U15" s="43"/>
      <c r="V15" s="43"/>
      <c r="W15" s="43"/>
      <c r="X15" s="43"/>
      <c r="Y15" s="43"/>
      <c r="Z15" s="43"/>
      <c r="AA15" s="43"/>
      <c r="AB15" s="43"/>
      <c r="AC15" s="27"/>
      <c r="AD15" s="27"/>
    </row>
    <row r="16" spans="1:246" ht="93" customHeight="1" x14ac:dyDescent="0.15">
      <c r="A16" s="15">
        <v>252</v>
      </c>
      <c r="B16" s="11"/>
      <c r="C16" s="16"/>
      <c r="D16" s="13" t="s">
        <v>24</v>
      </c>
      <c r="E16" s="13"/>
      <c r="F16" s="14"/>
      <c r="G16" s="14"/>
      <c r="H16" s="14"/>
      <c r="I16" s="14"/>
      <c r="J16" s="13" t="str">
        <f t="shared" ca="1" si="0"/>
        <v>IN TIME</v>
      </c>
      <c r="K16" s="13" t="str">
        <f t="shared" si="1"/>
        <v/>
      </c>
      <c r="L16" s="13">
        <f t="shared" ca="1" si="2"/>
        <v>0</v>
      </c>
      <c r="M16" s="13">
        <f t="shared" ca="1" si="3"/>
        <v>1</v>
      </c>
      <c r="N16" s="13">
        <f t="shared" ca="1" si="4"/>
        <v>0</v>
      </c>
      <c r="O16" s="13" t="str">
        <f t="shared" si="5"/>
        <v/>
      </c>
      <c r="P16" s="20"/>
      <c r="Q16" s="42"/>
      <c r="R16" s="43"/>
      <c r="S16" s="43"/>
      <c r="T16" s="43"/>
      <c r="U16" s="43"/>
      <c r="V16" s="43"/>
      <c r="W16" s="43"/>
      <c r="X16" s="43"/>
      <c r="Y16" s="43"/>
      <c r="Z16" s="43"/>
      <c r="AA16" s="43"/>
      <c r="AB16" s="43"/>
      <c r="AC16" s="27"/>
      <c r="AD16" s="27"/>
    </row>
    <row r="17" spans="1:30" ht="24.6" customHeight="1" x14ac:dyDescent="0.15">
      <c r="A17" s="15">
        <v>253</v>
      </c>
      <c r="B17" s="13"/>
      <c r="C17" s="12"/>
      <c r="D17" s="13"/>
      <c r="E17" s="13"/>
      <c r="F17" s="14"/>
      <c r="G17" s="14"/>
      <c r="H17" s="14"/>
      <c r="I17" s="14"/>
      <c r="J17" s="13" t="str">
        <f t="shared" ca="1" si="0"/>
        <v>IN TIME</v>
      </c>
      <c r="K17" s="13" t="str">
        <f t="shared" si="1"/>
        <v/>
      </c>
      <c r="L17" s="13">
        <f t="shared" ca="1" si="2"/>
        <v>0</v>
      </c>
      <c r="M17" s="13">
        <f t="shared" ca="1" si="3"/>
        <v>1</v>
      </c>
      <c r="N17" s="13">
        <f t="shared" ca="1" si="4"/>
        <v>0</v>
      </c>
      <c r="O17" s="13" t="str">
        <f t="shared" si="5"/>
        <v/>
      </c>
      <c r="P17" s="20"/>
      <c r="Q17" s="42"/>
      <c r="R17" s="43"/>
      <c r="S17" s="43"/>
      <c r="T17" s="43"/>
      <c r="U17" s="43"/>
      <c r="V17" s="43"/>
      <c r="W17" s="43"/>
      <c r="X17" s="43"/>
      <c r="Y17" s="43"/>
      <c r="Z17" s="43"/>
      <c r="AA17" s="43"/>
      <c r="AB17" s="43"/>
      <c r="AC17" s="27"/>
      <c r="AD17" s="27"/>
    </row>
    <row r="18" spans="1:30" ht="24.6" customHeight="1" x14ac:dyDescent="0.15">
      <c r="A18" s="15">
        <v>254</v>
      </c>
      <c r="B18" s="13"/>
      <c r="C18" s="12"/>
      <c r="D18" s="13"/>
      <c r="E18" s="13"/>
      <c r="F18" s="14"/>
      <c r="G18" s="14"/>
      <c r="H18" s="14"/>
      <c r="I18" s="14"/>
      <c r="J18" s="13" t="str">
        <f t="shared" ca="1" si="0"/>
        <v>IN TIME</v>
      </c>
      <c r="K18" s="13" t="str">
        <f t="shared" si="1"/>
        <v/>
      </c>
      <c r="L18" s="13">
        <f t="shared" ca="1" si="2"/>
        <v>0</v>
      </c>
      <c r="M18" s="13">
        <f t="shared" ca="1" si="3"/>
        <v>1</v>
      </c>
      <c r="N18" s="13">
        <f t="shared" ca="1" si="4"/>
        <v>0</v>
      </c>
      <c r="O18" s="13" t="str">
        <f t="shared" si="5"/>
        <v/>
      </c>
      <c r="P18" s="20"/>
      <c r="Q18" s="42"/>
      <c r="R18" s="43"/>
      <c r="S18" s="43"/>
      <c r="T18" s="43"/>
      <c r="U18" s="43"/>
      <c r="V18" s="43"/>
      <c r="W18" s="43"/>
      <c r="X18" s="43"/>
      <c r="Y18" s="43"/>
      <c r="Z18" s="43"/>
      <c r="AA18" s="43"/>
      <c r="AB18" s="43"/>
      <c r="AC18" s="27"/>
      <c r="AD18" s="27"/>
    </row>
    <row r="19" spans="1:30" ht="24.6" customHeight="1" x14ac:dyDescent="0.15">
      <c r="A19" s="15">
        <v>255</v>
      </c>
      <c r="B19" s="13"/>
      <c r="C19" s="12"/>
      <c r="D19" s="13"/>
      <c r="E19" s="13"/>
      <c r="F19" s="14"/>
      <c r="G19" s="14"/>
      <c r="H19" s="14"/>
      <c r="I19" s="14"/>
      <c r="J19" s="13" t="str">
        <f t="shared" ca="1" si="0"/>
        <v>IN TIME</v>
      </c>
      <c r="K19" s="13" t="str">
        <f t="shared" si="1"/>
        <v/>
      </c>
      <c r="L19" s="13">
        <f t="shared" ca="1" si="2"/>
        <v>0</v>
      </c>
      <c r="M19" s="13">
        <f t="shared" ca="1" si="3"/>
        <v>1</v>
      </c>
      <c r="N19" s="13">
        <f t="shared" ca="1" si="4"/>
        <v>0</v>
      </c>
      <c r="O19" s="13" t="str">
        <f t="shared" si="5"/>
        <v/>
      </c>
      <c r="P19" s="20"/>
      <c r="Q19" s="42"/>
      <c r="R19" s="43"/>
      <c r="S19" s="43"/>
      <c r="T19" s="43"/>
      <c r="U19" s="43"/>
      <c r="V19" s="43"/>
      <c r="W19" s="43"/>
      <c r="X19" s="43"/>
      <c r="Y19" s="43"/>
      <c r="Z19" s="43"/>
      <c r="AA19" s="43"/>
      <c r="AB19" s="43"/>
      <c r="AC19" s="27"/>
      <c r="AD19" s="27"/>
    </row>
    <row r="20" spans="1:30" ht="24.6" customHeight="1" x14ac:dyDescent="0.15">
      <c r="A20" s="15">
        <v>256</v>
      </c>
      <c r="B20" s="13"/>
      <c r="C20" s="12"/>
      <c r="D20" s="13"/>
      <c r="E20" s="13"/>
      <c r="F20" s="14"/>
      <c r="G20" s="14"/>
      <c r="H20" s="14"/>
      <c r="I20" s="14"/>
      <c r="J20" s="13" t="str">
        <f t="shared" ca="1" si="0"/>
        <v>IN TIME</v>
      </c>
      <c r="K20" s="13" t="str">
        <f t="shared" si="1"/>
        <v/>
      </c>
      <c r="L20" s="13">
        <f t="shared" ca="1" si="2"/>
        <v>0</v>
      </c>
      <c r="M20" s="13">
        <f t="shared" ca="1" si="3"/>
        <v>1</v>
      </c>
      <c r="N20" s="13">
        <f t="shared" ca="1" si="4"/>
        <v>0</v>
      </c>
      <c r="O20" s="13" t="str">
        <f t="shared" si="5"/>
        <v/>
      </c>
      <c r="P20" s="20"/>
      <c r="Q20" s="42"/>
      <c r="R20" s="43"/>
      <c r="S20" s="43"/>
      <c r="T20" s="43"/>
      <c r="U20" s="43"/>
      <c r="V20" s="43"/>
      <c r="W20" s="43"/>
      <c r="X20" s="43"/>
      <c r="Y20" s="43"/>
      <c r="Z20" s="43"/>
      <c r="AA20" s="43"/>
      <c r="AB20" s="43"/>
      <c r="AC20" s="27"/>
      <c r="AD20" s="27"/>
    </row>
    <row r="21" spans="1:30" ht="24.6" customHeight="1" x14ac:dyDescent="0.15">
      <c r="A21" s="15">
        <v>257</v>
      </c>
      <c r="B21" s="13"/>
      <c r="C21" s="12"/>
      <c r="D21" s="13"/>
      <c r="E21" s="13"/>
      <c r="F21" s="14"/>
      <c r="G21" s="14"/>
      <c r="H21" s="14"/>
      <c r="I21" s="14"/>
      <c r="J21" s="13" t="str">
        <f t="shared" ca="1" si="0"/>
        <v>IN TIME</v>
      </c>
      <c r="K21" s="13" t="str">
        <f t="shared" si="1"/>
        <v/>
      </c>
      <c r="L21" s="13">
        <f t="shared" ca="1" si="2"/>
        <v>0</v>
      </c>
      <c r="M21" s="13">
        <f t="shared" ca="1" si="3"/>
        <v>1</v>
      </c>
      <c r="N21" s="13">
        <f t="shared" ca="1" si="4"/>
        <v>0</v>
      </c>
      <c r="O21" s="13" t="str">
        <f t="shared" si="5"/>
        <v/>
      </c>
      <c r="P21" s="20"/>
      <c r="Q21" s="42"/>
      <c r="R21" s="43"/>
      <c r="S21" s="43"/>
      <c r="T21" s="43"/>
      <c r="U21" s="43"/>
      <c r="V21" s="43"/>
      <c r="W21" s="43"/>
      <c r="X21" s="43"/>
      <c r="Y21" s="43"/>
      <c r="Z21" s="43"/>
      <c r="AA21" s="43"/>
      <c r="AB21" s="43"/>
      <c r="AC21" s="27"/>
      <c r="AD21" s="27"/>
    </row>
    <row r="22" spans="1:30" ht="24.6" customHeight="1" x14ac:dyDescent="0.15">
      <c r="A22" s="15">
        <v>258</v>
      </c>
      <c r="B22" s="13"/>
      <c r="C22" s="12"/>
      <c r="D22" s="13"/>
      <c r="E22" s="13"/>
      <c r="F22" s="14"/>
      <c r="G22" s="14"/>
      <c r="H22" s="14"/>
      <c r="I22" s="14"/>
      <c r="J22" s="13" t="str">
        <f t="shared" ca="1" si="0"/>
        <v>IN TIME</v>
      </c>
      <c r="K22" s="13" t="str">
        <f t="shared" si="1"/>
        <v/>
      </c>
      <c r="L22" s="13">
        <f t="shared" ca="1" si="2"/>
        <v>0</v>
      </c>
      <c r="M22" s="13">
        <f t="shared" ca="1" si="3"/>
        <v>1</v>
      </c>
      <c r="N22" s="13">
        <f t="shared" ca="1" si="4"/>
        <v>0</v>
      </c>
      <c r="O22" s="13" t="str">
        <f t="shared" si="5"/>
        <v/>
      </c>
      <c r="P22" s="20"/>
      <c r="Q22" s="42"/>
      <c r="R22" s="43"/>
      <c r="S22" s="43"/>
      <c r="T22" s="43"/>
      <c r="U22" s="43"/>
      <c r="V22" s="43"/>
      <c r="W22" s="43"/>
      <c r="X22" s="43"/>
      <c r="Y22" s="43"/>
      <c r="Z22" s="43"/>
      <c r="AA22" s="43"/>
      <c r="AB22" s="43"/>
      <c r="AC22" s="27"/>
      <c r="AD22" s="27"/>
    </row>
    <row r="23" spans="1:30" ht="24.6" customHeight="1" x14ac:dyDescent="0.15">
      <c r="A23" s="15">
        <v>259</v>
      </c>
      <c r="B23" s="13"/>
      <c r="C23" s="12"/>
      <c r="D23" s="13"/>
      <c r="E23" s="13"/>
      <c r="F23" s="14"/>
      <c r="G23" s="14"/>
      <c r="H23" s="14"/>
      <c r="I23" s="14"/>
      <c r="J23" s="13" t="str">
        <f t="shared" ca="1" si="0"/>
        <v>IN TIME</v>
      </c>
      <c r="K23" s="13" t="str">
        <f t="shared" si="1"/>
        <v/>
      </c>
      <c r="L23" s="13">
        <f t="shared" ca="1" si="2"/>
        <v>0</v>
      </c>
      <c r="M23" s="13">
        <f t="shared" ca="1" si="3"/>
        <v>1</v>
      </c>
      <c r="N23" s="13">
        <f t="shared" ca="1" si="4"/>
        <v>0</v>
      </c>
      <c r="O23" s="13" t="str">
        <f t="shared" si="5"/>
        <v/>
      </c>
      <c r="P23" s="20"/>
      <c r="Q23" s="42"/>
      <c r="R23" s="43"/>
      <c r="S23" s="43"/>
      <c r="T23" s="43"/>
      <c r="U23" s="43"/>
      <c r="V23" s="43"/>
      <c r="W23" s="43"/>
      <c r="X23" s="43"/>
      <c r="Y23" s="43"/>
      <c r="Z23" s="43"/>
      <c r="AA23" s="43"/>
      <c r="AB23" s="43"/>
      <c r="AC23" s="27"/>
      <c r="AD23" s="27"/>
    </row>
    <row r="24" spans="1:30" ht="24.6" customHeight="1" x14ac:dyDescent="0.15">
      <c r="A24" s="15">
        <v>260</v>
      </c>
      <c r="B24" s="13"/>
      <c r="C24" s="12"/>
      <c r="D24" s="13"/>
      <c r="E24" s="13"/>
      <c r="F24" s="14"/>
      <c r="G24" s="14"/>
      <c r="H24" s="14"/>
      <c r="I24" s="14"/>
      <c r="J24" s="13" t="str">
        <f t="shared" ca="1" si="0"/>
        <v>IN TIME</v>
      </c>
      <c r="K24" s="13" t="str">
        <f t="shared" si="1"/>
        <v/>
      </c>
      <c r="L24" s="13">
        <f t="shared" ca="1" si="2"/>
        <v>0</v>
      </c>
      <c r="M24" s="13">
        <f t="shared" ca="1" si="3"/>
        <v>1</v>
      </c>
      <c r="N24" s="13">
        <f t="shared" ca="1" si="4"/>
        <v>0</v>
      </c>
      <c r="O24" s="13" t="str">
        <f t="shared" si="5"/>
        <v/>
      </c>
      <c r="P24" s="20"/>
      <c r="Q24" s="42"/>
      <c r="R24" s="43"/>
      <c r="S24" s="43"/>
      <c r="T24" s="43"/>
      <c r="U24" s="43"/>
      <c r="V24" s="43"/>
      <c r="W24" s="43"/>
      <c r="X24" s="43"/>
      <c r="Y24" s="43"/>
      <c r="Z24" s="43"/>
      <c r="AA24" s="43"/>
      <c r="AB24" s="43"/>
      <c r="AC24" s="27"/>
      <c r="AD24" s="27"/>
    </row>
    <row r="25" spans="1:30" ht="24.6" customHeight="1" x14ac:dyDescent="0.15">
      <c r="A25" s="15">
        <v>261</v>
      </c>
      <c r="B25" s="13"/>
      <c r="C25" s="12"/>
      <c r="D25" s="13"/>
      <c r="E25" s="13"/>
      <c r="F25" s="14"/>
      <c r="G25" s="14"/>
      <c r="H25" s="14"/>
      <c r="I25" s="14"/>
      <c r="J25" s="13" t="str">
        <f t="shared" ca="1" si="0"/>
        <v>IN TIME</v>
      </c>
      <c r="K25" s="13" t="str">
        <f t="shared" si="1"/>
        <v/>
      </c>
      <c r="L25" s="13">
        <f t="shared" ca="1" si="2"/>
        <v>0</v>
      </c>
      <c r="M25" s="13">
        <f t="shared" ca="1" si="3"/>
        <v>1</v>
      </c>
      <c r="N25" s="13">
        <f t="shared" ca="1" si="4"/>
        <v>0</v>
      </c>
      <c r="O25" s="13" t="str">
        <f t="shared" si="5"/>
        <v/>
      </c>
      <c r="P25" s="20"/>
      <c r="Q25" s="42"/>
      <c r="R25" s="43"/>
      <c r="S25" s="43"/>
      <c r="T25" s="43"/>
      <c r="U25" s="43"/>
      <c r="V25" s="43"/>
      <c r="W25" s="43"/>
      <c r="X25" s="43"/>
      <c r="Y25" s="43"/>
      <c r="Z25" s="43"/>
      <c r="AA25" s="43"/>
      <c r="AB25" s="43"/>
      <c r="AC25" s="27"/>
      <c r="AD25" s="27"/>
    </row>
    <row r="26" spans="1:30" ht="24.6" customHeight="1" x14ac:dyDescent="0.15">
      <c r="A26" s="15">
        <v>262</v>
      </c>
      <c r="B26" s="13"/>
      <c r="C26" s="12"/>
      <c r="D26" s="13"/>
      <c r="E26" s="13"/>
      <c r="F26" s="14"/>
      <c r="G26" s="14"/>
      <c r="H26" s="14"/>
      <c r="I26" s="14"/>
      <c r="J26" s="13" t="str">
        <f t="shared" ca="1" si="0"/>
        <v>IN TIME</v>
      </c>
      <c r="K26" s="13" t="str">
        <f t="shared" si="1"/>
        <v/>
      </c>
      <c r="L26" s="13">
        <f t="shared" ca="1" si="2"/>
        <v>0</v>
      </c>
      <c r="M26" s="13">
        <f t="shared" ca="1" si="3"/>
        <v>1</v>
      </c>
      <c r="N26" s="13">
        <f t="shared" ca="1" si="4"/>
        <v>0</v>
      </c>
      <c r="O26" s="13" t="str">
        <f t="shared" si="5"/>
        <v/>
      </c>
      <c r="P26" s="20"/>
      <c r="Q26" s="42"/>
      <c r="R26" s="43"/>
      <c r="S26" s="43"/>
      <c r="T26" s="43"/>
      <c r="U26" s="43"/>
      <c r="V26" s="43"/>
      <c r="W26" s="43"/>
      <c r="X26" s="43"/>
      <c r="Y26" s="43"/>
      <c r="Z26" s="43"/>
      <c r="AA26" s="43"/>
      <c r="AB26" s="43"/>
      <c r="AC26" s="27"/>
      <c r="AD26" s="27"/>
    </row>
    <row r="27" spans="1:30" ht="24.6" customHeight="1" x14ac:dyDescent="0.15">
      <c r="A27" s="15">
        <v>263</v>
      </c>
      <c r="B27" s="13"/>
      <c r="C27" s="12"/>
      <c r="D27" s="13"/>
      <c r="E27" s="13"/>
      <c r="F27" s="14"/>
      <c r="G27" s="14"/>
      <c r="H27" s="14"/>
      <c r="I27" s="14"/>
      <c r="J27" s="13" t="str">
        <f t="shared" ca="1" si="0"/>
        <v>IN TIME</v>
      </c>
      <c r="K27" s="13" t="str">
        <f t="shared" si="1"/>
        <v/>
      </c>
      <c r="L27" s="13">
        <f t="shared" ca="1" si="2"/>
        <v>0</v>
      </c>
      <c r="M27" s="13">
        <f t="shared" ca="1" si="3"/>
        <v>1</v>
      </c>
      <c r="N27" s="13">
        <f t="shared" ca="1" si="4"/>
        <v>0</v>
      </c>
      <c r="O27" s="13" t="str">
        <f t="shared" si="5"/>
        <v/>
      </c>
      <c r="P27" s="20"/>
      <c r="Q27" s="42"/>
      <c r="R27" s="43"/>
      <c r="S27" s="43"/>
      <c r="T27" s="43"/>
      <c r="U27" s="43"/>
      <c r="V27" s="43"/>
      <c r="W27" s="43"/>
      <c r="X27" s="43"/>
      <c r="Y27" s="43"/>
      <c r="Z27" s="43"/>
      <c r="AA27" s="43"/>
      <c r="AB27" s="43"/>
      <c r="AC27" s="27"/>
      <c r="AD27" s="27"/>
    </row>
    <row r="28" spans="1:30" ht="24.6" customHeight="1" x14ac:dyDescent="0.15">
      <c r="A28" s="15">
        <v>264</v>
      </c>
      <c r="B28" s="13"/>
      <c r="C28" s="12"/>
      <c r="D28" s="13"/>
      <c r="E28" s="13"/>
      <c r="F28" s="14"/>
      <c r="G28" s="14"/>
      <c r="H28" s="14"/>
      <c r="I28" s="14"/>
      <c r="J28" s="13" t="str">
        <f t="shared" ca="1" si="0"/>
        <v>IN TIME</v>
      </c>
      <c r="K28" s="13" t="str">
        <f t="shared" si="1"/>
        <v/>
      </c>
      <c r="L28" s="13">
        <f t="shared" ca="1" si="2"/>
        <v>0</v>
      </c>
      <c r="M28" s="13">
        <f t="shared" ca="1" si="3"/>
        <v>1</v>
      </c>
      <c r="N28" s="13">
        <f t="shared" ca="1" si="4"/>
        <v>0</v>
      </c>
      <c r="O28" s="13" t="str">
        <f t="shared" si="5"/>
        <v/>
      </c>
      <c r="P28" s="20"/>
      <c r="Q28" s="42"/>
      <c r="R28" s="43"/>
      <c r="S28" s="43"/>
      <c r="T28" s="43"/>
      <c r="U28" s="43"/>
      <c r="V28" s="43"/>
      <c r="W28" s="43"/>
      <c r="X28" s="43"/>
      <c r="Y28" s="43"/>
      <c r="Z28" s="43"/>
      <c r="AA28" s="43"/>
      <c r="AB28" s="43"/>
      <c r="AC28" s="27"/>
      <c r="AD28" s="27"/>
    </row>
    <row r="29" spans="1:30" ht="24.6" customHeight="1" x14ac:dyDescent="0.15">
      <c r="A29" s="15">
        <v>265</v>
      </c>
      <c r="B29" s="13"/>
      <c r="C29" s="12"/>
      <c r="D29" s="13"/>
      <c r="E29" s="13"/>
      <c r="F29" s="14"/>
      <c r="G29" s="14"/>
      <c r="H29" s="14"/>
      <c r="I29" s="14"/>
      <c r="J29" s="13" t="str">
        <f t="shared" ca="1" si="0"/>
        <v>IN TIME</v>
      </c>
      <c r="K29" s="13" t="str">
        <f t="shared" si="1"/>
        <v/>
      </c>
      <c r="L29" s="13">
        <f t="shared" ca="1" si="2"/>
        <v>0</v>
      </c>
      <c r="M29" s="13">
        <f t="shared" ca="1" si="3"/>
        <v>1</v>
      </c>
      <c r="N29" s="13">
        <f t="shared" ca="1" si="4"/>
        <v>0</v>
      </c>
      <c r="O29" s="13" t="str">
        <f t="shared" si="5"/>
        <v/>
      </c>
      <c r="P29" s="20"/>
      <c r="Q29" s="42"/>
      <c r="R29" s="43"/>
      <c r="S29" s="43"/>
      <c r="T29" s="43"/>
      <c r="U29" s="43"/>
      <c r="V29" s="43"/>
      <c r="W29" s="43"/>
      <c r="X29" s="43"/>
      <c r="Y29" s="43"/>
      <c r="Z29" s="43"/>
      <c r="AA29" s="43"/>
      <c r="AB29" s="43"/>
      <c r="AC29" s="27"/>
      <c r="AD29" s="27"/>
    </row>
    <row r="30" spans="1:30" ht="24.6" customHeight="1" x14ac:dyDescent="0.15">
      <c r="A30" s="15">
        <v>266</v>
      </c>
      <c r="B30" s="13"/>
      <c r="C30" s="12"/>
      <c r="D30" s="13"/>
      <c r="E30" s="13"/>
      <c r="F30" s="14"/>
      <c r="G30" s="14"/>
      <c r="H30" s="14"/>
      <c r="I30" s="14"/>
      <c r="J30" s="13" t="str">
        <f t="shared" ca="1" si="0"/>
        <v>IN TIME</v>
      </c>
      <c r="K30" s="13" t="str">
        <f t="shared" si="1"/>
        <v/>
      </c>
      <c r="L30" s="13">
        <f t="shared" ca="1" si="2"/>
        <v>0</v>
      </c>
      <c r="M30" s="13">
        <f t="shared" ca="1" si="3"/>
        <v>1</v>
      </c>
      <c r="N30" s="13">
        <f t="shared" ca="1" si="4"/>
        <v>0</v>
      </c>
      <c r="O30" s="13" t="str">
        <f t="shared" si="5"/>
        <v/>
      </c>
      <c r="P30" s="20"/>
      <c r="Q30" s="42"/>
      <c r="R30" s="43"/>
      <c r="S30" s="43"/>
      <c r="T30" s="43"/>
      <c r="U30" s="43"/>
      <c r="V30" s="43"/>
      <c r="W30" s="43"/>
      <c r="X30" s="43"/>
      <c r="Y30" s="43"/>
      <c r="Z30" s="43"/>
      <c r="AA30" s="43"/>
      <c r="AB30" s="43"/>
      <c r="AC30" s="27"/>
      <c r="AD30" s="27"/>
    </row>
  </sheetData>
  <autoFilter ref="A3:P30"/>
  <mergeCells count="3">
    <mergeCell ref="A1:P1"/>
    <mergeCell ref="A2:B2"/>
    <mergeCell ref="Q3:AB14"/>
  </mergeCells>
  <phoneticPr fontId="34" type="noConversion"/>
  <conditionalFormatting sqref="J4">
    <cfRule type="cellIs" dxfId="164" priority="79" operator="equal">
      <formula>"OVERDUE"</formula>
    </cfRule>
    <cfRule type="cellIs" dxfId="163" priority="80" operator="equal">
      <formula>"DONE"</formula>
    </cfRule>
    <cfRule type="cellIs" dxfId="162" priority="81" operator="equal">
      <formula>"DONE"</formula>
    </cfRule>
  </conditionalFormatting>
  <conditionalFormatting sqref="J5">
    <cfRule type="cellIs" dxfId="161" priority="76" operator="equal">
      <formula>"OVERDUE"</formula>
    </cfRule>
    <cfRule type="cellIs" dxfId="160" priority="77" operator="equal">
      <formula>"DONE"</formula>
    </cfRule>
    <cfRule type="cellIs" dxfId="159" priority="78" operator="equal">
      <formula>"DONE"</formula>
    </cfRule>
  </conditionalFormatting>
  <conditionalFormatting sqref="J6">
    <cfRule type="cellIs" dxfId="158" priority="73" operator="equal">
      <formula>"OVERDUE"</formula>
    </cfRule>
    <cfRule type="cellIs" dxfId="157" priority="74" operator="equal">
      <formula>"DONE"</formula>
    </cfRule>
    <cfRule type="cellIs" dxfId="156" priority="75" operator="equal">
      <formula>"DONE"</formula>
    </cfRule>
  </conditionalFormatting>
  <conditionalFormatting sqref="J7">
    <cfRule type="cellIs" dxfId="155" priority="70" operator="equal">
      <formula>"OVERDUE"</formula>
    </cfRule>
    <cfRule type="cellIs" dxfId="154" priority="71" operator="equal">
      <formula>"DONE"</formula>
    </cfRule>
    <cfRule type="cellIs" dxfId="153" priority="72" operator="equal">
      <formula>"DONE"</formula>
    </cfRule>
  </conditionalFormatting>
  <conditionalFormatting sqref="J8">
    <cfRule type="cellIs" dxfId="152" priority="67" operator="equal">
      <formula>"OVERDUE"</formula>
    </cfRule>
    <cfRule type="cellIs" dxfId="151" priority="68" operator="equal">
      <formula>"DONE"</formula>
    </cfRule>
    <cfRule type="cellIs" dxfId="150" priority="69" operator="equal">
      <formula>"DONE"</formula>
    </cfRule>
  </conditionalFormatting>
  <conditionalFormatting sqref="J9">
    <cfRule type="cellIs" dxfId="149" priority="64" operator="equal">
      <formula>"OVERDUE"</formula>
    </cfRule>
    <cfRule type="cellIs" dxfId="148" priority="65" operator="equal">
      <formula>"DONE"</formula>
    </cfRule>
    <cfRule type="cellIs" dxfId="147" priority="66" operator="equal">
      <formula>"DONE"</formula>
    </cfRule>
  </conditionalFormatting>
  <conditionalFormatting sqref="J10">
    <cfRule type="cellIs" dxfId="146" priority="61" operator="equal">
      <formula>"OVERDUE"</formula>
    </cfRule>
    <cfRule type="cellIs" dxfId="145" priority="62" operator="equal">
      <formula>"DONE"</formula>
    </cfRule>
    <cfRule type="cellIs" dxfId="144" priority="63" operator="equal">
      <formula>"DONE"</formula>
    </cfRule>
  </conditionalFormatting>
  <conditionalFormatting sqref="J11">
    <cfRule type="cellIs" dxfId="143" priority="58" operator="equal">
      <formula>"OVERDUE"</formula>
    </cfRule>
    <cfRule type="cellIs" dxfId="142" priority="59" operator="equal">
      <formula>"DONE"</formula>
    </cfRule>
    <cfRule type="cellIs" dxfId="141" priority="60" operator="equal">
      <formula>"DONE"</formula>
    </cfRule>
  </conditionalFormatting>
  <conditionalFormatting sqref="J12">
    <cfRule type="cellIs" dxfId="140" priority="55" operator="equal">
      <formula>"OVERDUE"</formula>
    </cfRule>
    <cfRule type="cellIs" dxfId="139" priority="56" operator="equal">
      <formula>"DONE"</formula>
    </cfRule>
    <cfRule type="cellIs" dxfId="138" priority="57" operator="equal">
      <formula>"DONE"</formula>
    </cfRule>
  </conditionalFormatting>
  <conditionalFormatting sqref="J13">
    <cfRule type="cellIs" dxfId="137" priority="52" operator="equal">
      <formula>"OVERDUE"</formula>
    </cfRule>
    <cfRule type="cellIs" dxfId="136" priority="53" operator="equal">
      <formula>"DONE"</formula>
    </cfRule>
    <cfRule type="cellIs" dxfId="135" priority="54" operator="equal">
      <formula>"DONE"</formula>
    </cfRule>
  </conditionalFormatting>
  <conditionalFormatting sqref="J14">
    <cfRule type="cellIs" dxfId="134" priority="49" operator="equal">
      <formula>"OVERDUE"</formula>
    </cfRule>
    <cfRule type="cellIs" dxfId="133" priority="50" operator="equal">
      <formula>"DONE"</formula>
    </cfRule>
    <cfRule type="cellIs" dxfId="132" priority="51" operator="equal">
      <formula>"DONE"</formula>
    </cfRule>
  </conditionalFormatting>
  <conditionalFormatting sqref="J15">
    <cfRule type="cellIs" dxfId="131" priority="46" operator="equal">
      <formula>"OVERDUE"</formula>
    </cfRule>
    <cfRule type="cellIs" dxfId="130" priority="47" operator="equal">
      <formula>"DONE"</formula>
    </cfRule>
    <cfRule type="cellIs" dxfId="129" priority="48" operator="equal">
      <formula>"DONE"</formula>
    </cfRule>
  </conditionalFormatting>
  <conditionalFormatting sqref="J16">
    <cfRule type="cellIs" dxfId="128" priority="43" operator="equal">
      <formula>"OVERDUE"</formula>
    </cfRule>
    <cfRule type="cellIs" dxfId="127" priority="44" operator="equal">
      <formula>"DONE"</formula>
    </cfRule>
    <cfRule type="cellIs" dxfId="126" priority="45" operator="equal">
      <formula>"DONE"</formula>
    </cfRule>
  </conditionalFormatting>
  <conditionalFormatting sqref="J17">
    <cfRule type="cellIs" dxfId="125" priority="40" operator="equal">
      <formula>"OVERDUE"</formula>
    </cfRule>
    <cfRule type="cellIs" dxfId="124" priority="41" operator="equal">
      <formula>"DONE"</formula>
    </cfRule>
    <cfRule type="cellIs" dxfId="123" priority="42" operator="equal">
      <formula>"DONE"</formula>
    </cfRule>
  </conditionalFormatting>
  <conditionalFormatting sqref="J18">
    <cfRule type="cellIs" dxfId="122" priority="37" operator="equal">
      <formula>"OVERDUE"</formula>
    </cfRule>
    <cfRule type="cellIs" dxfId="121" priority="38" operator="equal">
      <formula>"DONE"</formula>
    </cfRule>
    <cfRule type="cellIs" dxfId="120" priority="39" operator="equal">
      <formula>"DONE"</formula>
    </cfRule>
  </conditionalFormatting>
  <conditionalFormatting sqref="J19">
    <cfRule type="cellIs" dxfId="119" priority="34" operator="equal">
      <formula>"OVERDUE"</formula>
    </cfRule>
    <cfRule type="cellIs" dxfId="118" priority="35" operator="equal">
      <formula>"DONE"</formula>
    </cfRule>
    <cfRule type="cellIs" dxfId="117" priority="36" operator="equal">
      <formula>"DONE"</formula>
    </cfRule>
  </conditionalFormatting>
  <conditionalFormatting sqref="J20">
    <cfRule type="cellIs" dxfId="116" priority="31" operator="equal">
      <formula>"OVERDUE"</formula>
    </cfRule>
    <cfRule type="cellIs" dxfId="115" priority="32" operator="equal">
      <formula>"DONE"</formula>
    </cfRule>
    <cfRule type="cellIs" dxfId="114" priority="33" operator="equal">
      <formula>"DONE"</formula>
    </cfRule>
  </conditionalFormatting>
  <conditionalFormatting sqref="J21">
    <cfRule type="cellIs" dxfId="113" priority="28" operator="equal">
      <formula>"OVERDUE"</formula>
    </cfRule>
    <cfRule type="cellIs" dxfId="112" priority="29" operator="equal">
      <formula>"DONE"</formula>
    </cfRule>
    <cfRule type="cellIs" dxfId="111" priority="30" operator="equal">
      <formula>"DONE"</formula>
    </cfRule>
  </conditionalFormatting>
  <conditionalFormatting sqref="J22">
    <cfRule type="cellIs" dxfId="110" priority="25" operator="equal">
      <formula>"OVERDUE"</formula>
    </cfRule>
    <cfRule type="cellIs" dxfId="109" priority="26" operator="equal">
      <formula>"DONE"</formula>
    </cfRule>
    <cfRule type="cellIs" dxfId="108" priority="27" operator="equal">
      <formula>"DONE"</formula>
    </cfRule>
  </conditionalFormatting>
  <conditionalFormatting sqref="J23">
    <cfRule type="cellIs" dxfId="107" priority="22" operator="equal">
      <formula>"OVERDUE"</formula>
    </cfRule>
    <cfRule type="cellIs" dxfId="106" priority="23" operator="equal">
      <formula>"DONE"</formula>
    </cfRule>
    <cfRule type="cellIs" dxfId="105" priority="24" operator="equal">
      <formula>"DONE"</formula>
    </cfRule>
  </conditionalFormatting>
  <conditionalFormatting sqref="J24">
    <cfRule type="cellIs" dxfId="104" priority="19" operator="equal">
      <formula>"OVERDUE"</formula>
    </cfRule>
    <cfRule type="cellIs" dxfId="103" priority="20" operator="equal">
      <formula>"DONE"</formula>
    </cfRule>
    <cfRule type="cellIs" dxfId="102" priority="21" operator="equal">
      <formula>"DONE"</formula>
    </cfRule>
  </conditionalFormatting>
  <conditionalFormatting sqref="J25">
    <cfRule type="cellIs" dxfId="101" priority="16" operator="equal">
      <formula>"OVERDUE"</formula>
    </cfRule>
    <cfRule type="cellIs" dxfId="100" priority="17" operator="equal">
      <formula>"DONE"</formula>
    </cfRule>
    <cfRule type="cellIs" dxfId="99" priority="18" operator="equal">
      <formula>"DONE"</formula>
    </cfRule>
  </conditionalFormatting>
  <conditionalFormatting sqref="J26">
    <cfRule type="cellIs" dxfId="98" priority="13" operator="equal">
      <formula>"OVERDUE"</formula>
    </cfRule>
    <cfRule type="cellIs" dxfId="97" priority="14" operator="equal">
      <formula>"DONE"</formula>
    </cfRule>
    <cfRule type="cellIs" dxfId="96" priority="15" operator="equal">
      <formula>"DONE"</formula>
    </cfRule>
  </conditionalFormatting>
  <conditionalFormatting sqref="J27">
    <cfRule type="cellIs" dxfId="95" priority="10" operator="equal">
      <formula>"OVERDUE"</formula>
    </cfRule>
    <cfRule type="cellIs" dxfId="94" priority="11" operator="equal">
      <formula>"DONE"</formula>
    </cfRule>
    <cfRule type="cellIs" dxfId="93" priority="12" operator="equal">
      <formula>"DONE"</formula>
    </cfRule>
  </conditionalFormatting>
  <conditionalFormatting sqref="J28">
    <cfRule type="cellIs" dxfId="92" priority="7" operator="equal">
      <formula>"OVERDUE"</formula>
    </cfRule>
    <cfRule type="cellIs" dxfId="91" priority="8" operator="equal">
      <formula>"DONE"</formula>
    </cfRule>
    <cfRule type="cellIs" dxfId="90" priority="9" operator="equal">
      <formula>"DONE"</formula>
    </cfRule>
  </conditionalFormatting>
  <conditionalFormatting sqref="J29">
    <cfRule type="cellIs" dxfId="89" priority="4" operator="equal">
      <formula>"OVERDUE"</formula>
    </cfRule>
    <cfRule type="cellIs" dxfId="88" priority="5" operator="equal">
      <formula>"DONE"</formula>
    </cfRule>
    <cfRule type="cellIs" dxfId="87" priority="6" operator="equal">
      <formula>"DONE"</formula>
    </cfRule>
  </conditionalFormatting>
  <conditionalFormatting sqref="J30">
    <cfRule type="cellIs" dxfId="86" priority="1" operator="equal">
      <formula>"OVERDUE"</formula>
    </cfRule>
    <cfRule type="cellIs" dxfId="85" priority="2" operator="equal">
      <formula>"DONE"</formula>
    </cfRule>
    <cfRule type="cellIs" dxfId="84" priority="3" operator="equal">
      <formula>"DONE"</formula>
    </cfRule>
  </conditionalFormatting>
  <conditionalFormatting sqref="J2:J3 J31:J1048576">
    <cfRule type="cellIs" dxfId="83" priority="82" operator="equal">
      <formula>"OVERDUE"</formula>
    </cfRule>
    <cfRule type="cellIs" dxfId="82" priority="83" operator="equal">
      <formula>"DONE"</formula>
    </cfRule>
    <cfRule type="cellIs" dxfId="81" priority="84"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Pict="0" macro="[0]!Insert_Line_moban">
                <anchor moveWithCells="1">
                  <from>
                    <xdr:col>0</xdr:col>
                    <xdr:colOff>104775</xdr:colOff>
                    <xdr:row>30</xdr:row>
                    <xdr:rowOff>85725</xdr:rowOff>
                  </from>
                  <to>
                    <xdr:col>1</xdr:col>
                    <xdr:colOff>800100</xdr:colOff>
                    <xdr:row>31</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92D050"/>
  </sheetPr>
  <dimension ref="A1:IL27"/>
  <sheetViews>
    <sheetView topLeftCell="C1" workbookViewId="0">
      <pane ySplit="3" topLeftCell="A4" activePane="bottomLeft" state="frozen"/>
      <selection pane="bottomLeft" activeCell="P9" sqref="P9"/>
    </sheetView>
  </sheetViews>
  <sheetFormatPr defaultColWidth="9" defaultRowHeight="14.25" x14ac:dyDescent="0.15"/>
  <cols>
    <col min="1" max="1" width="8.25" style="1" customWidth="1"/>
    <col min="2" max="2" width="12.1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54" t="s">
        <v>514</v>
      </c>
      <c r="B1" s="154"/>
      <c r="C1" s="154"/>
      <c r="D1" s="154"/>
      <c r="E1" s="154"/>
      <c r="F1" s="154"/>
      <c r="G1" s="154"/>
      <c r="H1" s="154"/>
      <c r="I1" s="154"/>
      <c r="J1" s="154"/>
      <c r="K1" s="154"/>
      <c r="L1" s="154"/>
      <c r="M1" s="154"/>
      <c r="N1" s="154"/>
      <c r="O1" s="154"/>
      <c r="P1" s="154"/>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5" t="s">
        <v>1</v>
      </c>
      <c r="B2" s="155"/>
      <c r="C2" s="5">
        <f ca="1">TODAY()</f>
        <v>44025</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163"/>
      <c r="R3" s="164"/>
      <c r="S3" s="164"/>
      <c r="T3" s="164"/>
      <c r="U3" s="164"/>
      <c r="V3" s="164"/>
      <c r="W3" s="164"/>
      <c r="X3" s="164"/>
      <c r="Y3" s="164"/>
      <c r="Z3" s="164"/>
      <c r="AA3" s="164"/>
      <c r="AB3" s="164"/>
      <c r="AC3" s="152"/>
      <c r="AD3" s="152"/>
      <c r="AE3" s="152"/>
      <c r="AF3" s="152"/>
      <c r="AG3" s="152"/>
      <c r="AH3" s="152"/>
      <c r="AI3" s="152"/>
      <c r="AJ3" s="152"/>
      <c r="AK3" s="152"/>
      <c r="AL3" s="152"/>
      <c r="AM3" s="152"/>
      <c r="AN3" s="152"/>
      <c r="AO3" s="152"/>
      <c r="AP3" s="152"/>
      <c r="AQ3" s="152"/>
      <c r="AR3" s="152"/>
      <c r="AS3" s="152"/>
      <c r="AT3" s="152"/>
      <c r="AU3" s="152"/>
      <c r="AV3" s="152"/>
      <c r="AW3" s="152"/>
      <c r="AX3" s="152"/>
      <c r="AY3" s="152"/>
      <c r="AZ3" s="152"/>
      <c r="BA3" s="152"/>
      <c r="BB3" s="152"/>
      <c r="BC3" s="152"/>
      <c r="BD3" s="152"/>
      <c r="BE3" s="152"/>
      <c r="BF3" s="152"/>
      <c r="BG3" s="152"/>
      <c r="BH3" s="152"/>
      <c r="BI3" s="152"/>
      <c r="BJ3" s="152"/>
      <c r="BK3" s="152"/>
      <c r="BL3" s="152"/>
      <c r="BM3" s="152"/>
      <c r="BN3" s="152"/>
      <c r="BO3" s="152"/>
      <c r="BP3" s="152"/>
      <c r="BQ3" s="152"/>
      <c r="BR3" s="152"/>
      <c r="BS3" s="152"/>
      <c r="BT3" s="152"/>
      <c r="BU3" s="152"/>
      <c r="BV3" s="152"/>
      <c r="BW3" s="152"/>
      <c r="BX3" s="152"/>
      <c r="BY3" s="152"/>
      <c r="BZ3" s="152"/>
      <c r="CA3" s="152"/>
      <c r="CB3" s="152"/>
      <c r="CC3" s="152"/>
      <c r="CD3" s="152"/>
      <c r="CE3" s="152"/>
      <c r="CF3" s="152"/>
      <c r="CG3" s="152"/>
      <c r="CH3" s="152"/>
      <c r="CI3" s="152"/>
      <c r="CJ3" s="152"/>
      <c r="CK3" s="152"/>
      <c r="CL3" s="152"/>
      <c r="CM3" s="152"/>
      <c r="CN3" s="152"/>
      <c r="CO3" s="152"/>
      <c r="CP3" s="152"/>
      <c r="CQ3" s="152"/>
      <c r="CR3" s="152"/>
      <c r="CS3" s="152"/>
      <c r="CT3" s="152"/>
      <c r="CU3" s="152"/>
      <c r="CV3" s="152"/>
      <c r="CW3" s="152"/>
      <c r="CX3" s="152"/>
      <c r="CY3" s="152"/>
      <c r="CZ3" s="152"/>
      <c r="DA3" s="152"/>
      <c r="DB3" s="152"/>
      <c r="DC3" s="152"/>
      <c r="DD3" s="152"/>
      <c r="DE3" s="152"/>
      <c r="DF3" s="152"/>
      <c r="DG3" s="152"/>
      <c r="DH3" s="152"/>
      <c r="DI3" s="152"/>
      <c r="DJ3" s="152"/>
      <c r="DK3" s="152"/>
      <c r="DL3" s="152"/>
      <c r="DM3" s="152"/>
      <c r="DN3" s="152"/>
      <c r="DO3" s="152"/>
      <c r="DP3" s="152"/>
      <c r="DQ3" s="152"/>
      <c r="DR3" s="152"/>
      <c r="DS3" s="152"/>
      <c r="DT3" s="152"/>
      <c r="DU3" s="152"/>
      <c r="DV3" s="152"/>
      <c r="DW3" s="152"/>
      <c r="DX3" s="152"/>
      <c r="DY3" s="152"/>
      <c r="DZ3" s="152"/>
      <c r="EA3" s="152"/>
      <c r="EB3" s="152"/>
      <c r="EC3" s="152"/>
      <c r="ED3" s="152"/>
      <c r="EE3" s="152"/>
      <c r="EF3" s="152"/>
      <c r="EG3" s="152"/>
      <c r="EH3" s="152"/>
      <c r="EI3" s="152"/>
      <c r="EJ3" s="152"/>
      <c r="EK3" s="152"/>
      <c r="EL3" s="152"/>
      <c r="EM3" s="152"/>
      <c r="EN3" s="152"/>
      <c r="EO3" s="152"/>
      <c r="EP3" s="152"/>
      <c r="EQ3" s="152"/>
      <c r="ER3" s="152"/>
      <c r="ES3" s="152"/>
      <c r="ET3" s="152"/>
      <c r="EU3" s="152"/>
      <c r="EV3" s="152"/>
      <c r="EW3" s="152"/>
      <c r="EX3" s="152"/>
      <c r="EY3" s="152"/>
      <c r="EZ3" s="152"/>
      <c r="FA3" s="152"/>
      <c r="FB3" s="152"/>
      <c r="FC3" s="152"/>
      <c r="FD3" s="152"/>
      <c r="FE3" s="152"/>
      <c r="FF3" s="152"/>
      <c r="FG3" s="152"/>
      <c r="FH3" s="152"/>
      <c r="FI3" s="152"/>
      <c r="FJ3" s="152"/>
      <c r="FK3" s="152"/>
      <c r="FL3" s="152"/>
      <c r="FM3" s="152"/>
      <c r="FN3" s="152"/>
      <c r="FO3" s="152"/>
      <c r="FP3" s="152"/>
      <c r="FQ3" s="152"/>
      <c r="FR3" s="152"/>
      <c r="FS3" s="152"/>
      <c r="FT3" s="152"/>
      <c r="FU3" s="152"/>
      <c r="FV3" s="152"/>
      <c r="FW3" s="152"/>
      <c r="FX3" s="152"/>
      <c r="FY3" s="152"/>
      <c r="FZ3" s="152"/>
      <c r="GA3" s="152"/>
      <c r="GB3" s="152"/>
      <c r="GC3" s="152"/>
      <c r="GD3" s="152"/>
      <c r="GE3" s="152"/>
      <c r="GF3" s="152"/>
      <c r="GG3" s="152"/>
      <c r="GH3" s="152"/>
      <c r="GI3" s="152"/>
      <c r="GJ3" s="152"/>
      <c r="GK3" s="152"/>
      <c r="GL3" s="152"/>
      <c r="GM3" s="152"/>
      <c r="GN3" s="152"/>
      <c r="GO3" s="152"/>
      <c r="GP3" s="152"/>
      <c r="GQ3" s="152"/>
      <c r="GR3" s="152"/>
      <c r="GS3" s="152"/>
      <c r="GT3" s="152"/>
      <c r="GU3" s="152"/>
      <c r="GV3" s="152"/>
      <c r="GW3" s="152"/>
      <c r="GX3" s="152"/>
      <c r="GY3" s="152"/>
      <c r="GZ3" s="152"/>
      <c r="HA3" s="152"/>
      <c r="HB3" s="152"/>
      <c r="HC3" s="152"/>
      <c r="HD3" s="152"/>
      <c r="HE3" s="152"/>
      <c r="HF3" s="152"/>
      <c r="HG3" s="152"/>
      <c r="HH3" s="152"/>
      <c r="HI3" s="152"/>
      <c r="HJ3" s="152"/>
      <c r="HK3" s="152"/>
      <c r="HL3" s="152"/>
      <c r="HM3" s="152"/>
      <c r="HN3" s="152"/>
      <c r="HO3" s="152"/>
      <c r="HP3" s="152"/>
      <c r="HQ3" s="152"/>
      <c r="HR3" s="152"/>
      <c r="HS3" s="152"/>
      <c r="HT3" s="152"/>
      <c r="HU3" s="152"/>
      <c r="HV3" s="152"/>
      <c r="HW3" s="152"/>
      <c r="HX3" s="152"/>
      <c r="HY3" s="152"/>
      <c r="HZ3" s="152"/>
      <c r="IA3" s="152"/>
      <c r="IB3" s="152"/>
      <c r="IC3" s="152"/>
      <c r="ID3" s="152"/>
      <c r="IE3" s="152"/>
      <c r="IF3" s="152"/>
      <c r="IG3" s="152"/>
      <c r="IH3" s="152"/>
      <c r="II3" s="152"/>
      <c r="IJ3" s="152"/>
      <c r="IK3" s="152"/>
      <c r="IL3" s="152"/>
    </row>
    <row r="4" spans="1:246" ht="45" customHeight="1" x14ac:dyDescent="0.15">
      <c r="A4" s="15">
        <v>243</v>
      </c>
      <c r="B4" s="13"/>
      <c r="C4" s="16" t="s">
        <v>503</v>
      </c>
      <c r="D4" s="13" t="s">
        <v>37</v>
      </c>
      <c r="E4" s="13" t="s">
        <v>402</v>
      </c>
      <c r="F4" s="14">
        <v>44011</v>
      </c>
      <c r="G4" s="14">
        <v>44044</v>
      </c>
      <c r="H4" s="14"/>
      <c r="I4" s="14"/>
      <c r="J4" s="13" t="str">
        <f t="shared" ref="J4:J27" ca="1" si="0">IF(AND(I4&lt;=$C$2,I4&lt;&gt;0),"DONE",IF(K4&lt;0,"OVERDUE",IF(AND(K4="",O4&lt;0),"OVERDUE","IN TIME")))</f>
        <v>IN TIME</v>
      </c>
      <c r="K4" s="13" t="str">
        <f t="shared" ref="K4:K27" si="1">IF(H4&gt;0,H4-$C$2,"")</f>
        <v/>
      </c>
      <c r="L4" s="13">
        <f t="shared" ref="L4:L27" ca="1" si="2">IF(J4="OVERDUE",1,0)</f>
        <v>0</v>
      </c>
      <c r="M4" s="13">
        <f t="shared" ref="M4:M27" ca="1" si="3">IF(J4="IN TIME",1,0)</f>
        <v>1</v>
      </c>
      <c r="N4" s="13">
        <f t="shared" ref="N4:N27" ca="1" si="4">IF(J4="DONE",1,0)</f>
        <v>0</v>
      </c>
      <c r="O4" s="13">
        <f t="shared" ref="O4:O27" ca="1" si="5">IF(G4&gt;0,G4-$C$2,"")</f>
        <v>19</v>
      </c>
      <c r="P4" s="20" t="s">
        <v>516</v>
      </c>
      <c r="Q4" s="163"/>
      <c r="R4" s="164"/>
      <c r="S4" s="164"/>
      <c r="T4" s="164"/>
      <c r="U4" s="164"/>
      <c r="V4" s="164"/>
      <c r="W4" s="164"/>
      <c r="X4" s="164"/>
      <c r="Y4" s="164"/>
      <c r="Z4" s="164"/>
      <c r="AA4" s="164"/>
      <c r="AB4" s="164"/>
      <c r="AC4" s="27"/>
      <c r="AD4" s="27"/>
    </row>
    <row r="5" spans="1:246" ht="24.6" customHeight="1" x14ac:dyDescent="0.15">
      <c r="A5" s="10" t="s">
        <v>95</v>
      </c>
      <c r="B5" s="11"/>
      <c r="C5" s="16" t="s">
        <v>504</v>
      </c>
      <c r="D5" s="13" t="s">
        <v>24</v>
      </c>
      <c r="E5" s="13" t="s">
        <v>505</v>
      </c>
      <c r="F5" s="14">
        <v>44011</v>
      </c>
      <c r="G5" s="14">
        <v>44044</v>
      </c>
      <c r="H5" s="14"/>
      <c r="I5" s="14"/>
      <c r="J5" s="13" t="str">
        <f t="shared" ca="1" si="0"/>
        <v>IN TIME</v>
      </c>
      <c r="K5" s="13" t="str">
        <f t="shared" si="1"/>
        <v/>
      </c>
      <c r="L5" s="13">
        <f t="shared" ca="1" si="2"/>
        <v>0</v>
      </c>
      <c r="M5" s="13">
        <f t="shared" ca="1" si="3"/>
        <v>1</v>
      </c>
      <c r="N5" s="13">
        <f t="shared" ca="1" si="4"/>
        <v>0</v>
      </c>
      <c r="O5" s="13">
        <f t="shared" ca="1" si="5"/>
        <v>19</v>
      </c>
      <c r="P5" s="20" t="s">
        <v>518</v>
      </c>
      <c r="Q5" s="163"/>
      <c r="R5" s="164"/>
      <c r="S5" s="164"/>
      <c r="T5" s="164"/>
      <c r="U5" s="164"/>
      <c r="V5" s="164"/>
      <c r="W5" s="164"/>
      <c r="X5" s="164"/>
      <c r="Y5" s="164"/>
      <c r="Z5" s="164"/>
      <c r="AA5" s="164"/>
      <c r="AB5" s="164"/>
      <c r="AC5" s="27"/>
      <c r="AD5" s="27"/>
    </row>
    <row r="6" spans="1:246" ht="24.6" customHeight="1" x14ac:dyDescent="0.15">
      <c r="A6" s="10" t="s">
        <v>99</v>
      </c>
      <c r="B6" s="11"/>
      <c r="C6" s="16"/>
      <c r="D6" s="13" t="s">
        <v>24</v>
      </c>
      <c r="E6" s="13"/>
      <c r="F6" s="14"/>
      <c r="G6" s="14"/>
      <c r="H6" s="14"/>
      <c r="I6" s="14"/>
      <c r="J6" s="13" t="str">
        <f t="shared" ca="1" si="0"/>
        <v>IN TIME</v>
      </c>
      <c r="K6" s="13" t="str">
        <f t="shared" si="1"/>
        <v/>
      </c>
      <c r="L6" s="13">
        <f t="shared" ca="1" si="2"/>
        <v>0</v>
      </c>
      <c r="M6" s="13">
        <f t="shared" ca="1" si="3"/>
        <v>1</v>
      </c>
      <c r="N6" s="13">
        <f t="shared" ca="1" si="4"/>
        <v>0</v>
      </c>
      <c r="O6" s="13" t="str">
        <f t="shared" si="5"/>
        <v/>
      </c>
      <c r="P6" s="20"/>
      <c r="Q6" s="163"/>
      <c r="R6" s="164"/>
      <c r="S6" s="164"/>
      <c r="T6" s="164"/>
      <c r="U6" s="164"/>
      <c r="V6" s="164"/>
      <c r="W6" s="164"/>
      <c r="X6" s="164"/>
      <c r="Y6" s="164"/>
      <c r="Z6" s="164"/>
      <c r="AA6" s="164"/>
      <c r="AB6" s="164"/>
      <c r="AC6" s="27"/>
      <c r="AD6" s="27"/>
    </row>
    <row r="7" spans="1:246" ht="24.6" customHeight="1" x14ac:dyDescent="0.15">
      <c r="A7" s="15">
        <v>246</v>
      </c>
      <c r="B7" s="11"/>
      <c r="C7" s="16"/>
      <c r="D7" s="13"/>
      <c r="E7" s="13"/>
      <c r="F7" s="14"/>
      <c r="G7" s="14"/>
      <c r="H7" s="14"/>
      <c r="I7" s="14"/>
      <c r="J7" s="13"/>
      <c r="K7" s="13"/>
      <c r="L7" s="13"/>
      <c r="M7" s="13"/>
      <c r="N7" s="13"/>
      <c r="O7" s="13"/>
      <c r="P7" s="20"/>
      <c r="Q7" s="163"/>
      <c r="R7" s="164"/>
      <c r="S7" s="164"/>
      <c r="T7" s="164"/>
      <c r="U7" s="164"/>
      <c r="V7" s="164"/>
      <c r="W7" s="164"/>
      <c r="X7" s="164"/>
      <c r="Y7" s="164"/>
      <c r="Z7" s="164"/>
      <c r="AA7" s="164"/>
      <c r="AB7" s="164"/>
      <c r="AC7" s="27"/>
      <c r="AD7" s="27"/>
    </row>
    <row r="8" spans="1:246" ht="24.6" customHeight="1" x14ac:dyDescent="0.15">
      <c r="A8" s="15">
        <v>247</v>
      </c>
      <c r="B8" s="11"/>
      <c r="C8" s="16"/>
      <c r="D8" s="13"/>
      <c r="E8" s="13"/>
      <c r="F8" s="14"/>
      <c r="G8" s="14"/>
      <c r="H8" s="14"/>
      <c r="I8" s="14"/>
      <c r="J8" s="13"/>
      <c r="K8" s="13"/>
      <c r="L8" s="13"/>
      <c r="M8" s="13"/>
      <c r="N8" s="13"/>
      <c r="O8" s="13"/>
      <c r="P8" s="20"/>
      <c r="Q8" s="163"/>
      <c r="R8" s="164"/>
      <c r="S8" s="164"/>
      <c r="T8" s="164"/>
      <c r="U8" s="164"/>
      <c r="V8" s="164"/>
      <c r="W8" s="164"/>
      <c r="X8" s="164"/>
      <c r="Y8" s="164"/>
      <c r="Z8" s="164"/>
      <c r="AA8" s="164"/>
      <c r="AB8" s="164"/>
      <c r="AC8" s="27"/>
      <c r="AD8" s="27"/>
    </row>
    <row r="9" spans="1:246" ht="39" customHeight="1" x14ac:dyDescent="0.15">
      <c r="A9" s="15">
        <v>248</v>
      </c>
      <c r="B9" s="11"/>
      <c r="C9" s="12"/>
      <c r="D9" s="13" t="s">
        <v>24</v>
      </c>
      <c r="E9" s="13"/>
      <c r="F9" s="14"/>
      <c r="G9" s="14"/>
      <c r="H9" s="14"/>
      <c r="I9" s="14"/>
      <c r="J9" s="13" t="str">
        <f t="shared" ca="1" si="0"/>
        <v>IN TIME</v>
      </c>
      <c r="K9" s="13" t="str">
        <f t="shared" si="1"/>
        <v/>
      </c>
      <c r="L9" s="13">
        <f t="shared" ca="1" si="2"/>
        <v>0</v>
      </c>
      <c r="M9" s="13">
        <f t="shared" ca="1" si="3"/>
        <v>1</v>
      </c>
      <c r="N9" s="13">
        <f t="shared" ca="1" si="4"/>
        <v>0</v>
      </c>
      <c r="O9" s="13" t="str">
        <f t="shared" si="5"/>
        <v/>
      </c>
      <c r="P9" s="20"/>
      <c r="Q9" s="163"/>
      <c r="R9" s="164"/>
      <c r="S9" s="164"/>
      <c r="T9" s="164"/>
      <c r="U9" s="164"/>
      <c r="V9" s="164"/>
      <c r="W9" s="164"/>
      <c r="X9" s="164"/>
      <c r="Y9" s="164"/>
      <c r="Z9" s="164"/>
      <c r="AA9" s="164"/>
      <c r="AB9" s="164"/>
      <c r="AC9" s="27"/>
      <c r="AD9" s="27"/>
    </row>
    <row r="10" spans="1:246" ht="24.6" customHeight="1" x14ac:dyDescent="0.15">
      <c r="A10" s="15">
        <v>249</v>
      </c>
      <c r="B10" s="13"/>
      <c r="C10" s="12"/>
      <c r="D10" s="13"/>
      <c r="E10" s="13"/>
      <c r="F10" s="14"/>
      <c r="G10" s="14"/>
      <c r="H10" s="14"/>
      <c r="I10" s="14"/>
      <c r="J10" s="13" t="str">
        <f t="shared" ca="1" si="0"/>
        <v>IN TIME</v>
      </c>
      <c r="K10" s="13" t="str">
        <f t="shared" si="1"/>
        <v/>
      </c>
      <c r="L10" s="13">
        <f t="shared" ca="1" si="2"/>
        <v>0</v>
      </c>
      <c r="M10" s="13">
        <f t="shared" ca="1" si="3"/>
        <v>1</v>
      </c>
      <c r="N10" s="13">
        <f t="shared" ca="1" si="4"/>
        <v>0</v>
      </c>
      <c r="O10" s="13" t="str">
        <f t="shared" si="5"/>
        <v/>
      </c>
      <c r="P10" s="20"/>
      <c r="Q10" s="163"/>
      <c r="R10" s="164"/>
      <c r="S10" s="164"/>
      <c r="T10" s="164"/>
      <c r="U10" s="164"/>
      <c r="V10" s="164"/>
      <c r="W10" s="164"/>
      <c r="X10" s="164"/>
      <c r="Y10" s="164"/>
      <c r="Z10" s="164"/>
      <c r="AA10" s="164"/>
      <c r="AB10" s="164"/>
      <c r="AC10" s="27"/>
      <c r="AD10" s="27"/>
    </row>
    <row r="11" spans="1:246" ht="24.6" customHeight="1" x14ac:dyDescent="0.15">
      <c r="A11" s="15"/>
      <c r="B11" s="11"/>
      <c r="C11" s="16"/>
      <c r="D11" s="13" t="s">
        <v>24</v>
      </c>
      <c r="E11" s="13"/>
      <c r="F11" s="14"/>
      <c r="G11" s="14"/>
      <c r="H11" s="14"/>
      <c r="I11" s="14"/>
      <c r="J11" s="13" t="str">
        <f t="shared" ca="1" si="0"/>
        <v>IN TIME</v>
      </c>
      <c r="K11" s="13" t="str">
        <f t="shared" si="1"/>
        <v/>
      </c>
      <c r="L11" s="13">
        <f t="shared" ca="1" si="2"/>
        <v>0</v>
      </c>
      <c r="M11" s="13">
        <f t="shared" ca="1" si="3"/>
        <v>1</v>
      </c>
      <c r="N11" s="13">
        <f t="shared" ca="1" si="4"/>
        <v>0</v>
      </c>
      <c r="O11" s="13" t="str">
        <f t="shared" si="5"/>
        <v/>
      </c>
      <c r="P11" s="20"/>
      <c r="Q11" s="163"/>
      <c r="R11" s="164"/>
      <c r="S11" s="164"/>
      <c r="T11" s="164"/>
      <c r="U11" s="164"/>
      <c r="V11" s="164"/>
      <c r="W11" s="164"/>
      <c r="X11" s="164"/>
      <c r="Y11" s="164"/>
      <c r="Z11" s="164"/>
      <c r="AA11" s="164"/>
      <c r="AB11" s="164"/>
      <c r="AC11" s="27"/>
      <c r="AD11" s="27"/>
    </row>
    <row r="12" spans="1:246" ht="24.6" customHeight="1" x14ac:dyDescent="0.15">
      <c r="A12" s="15">
        <v>251</v>
      </c>
      <c r="B12" s="11"/>
      <c r="C12" s="16"/>
      <c r="D12" s="13" t="s">
        <v>24</v>
      </c>
      <c r="E12" s="13"/>
      <c r="F12" s="14"/>
      <c r="G12" s="14"/>
      <c r="H12" s="14"/>
      <c r="I12" s="14"/>
      <c r="J12" s="13" t="str">
        <f t="shared" ca="1" si="0"/>
        <v>IN TIME</v>
      </c>
      <c r="K12" s="13" t="str">
        <f t="shared" si="1"/>
        <v/>
      </c>
      <c r="L12" s="13">
        <f t="shared" ca="1" si="2"/>
        <v>0</v>
      </c>
      <c r="M12" s="13">
        <f t="shared" ca="1" si="3"/>
        <v>1</v>
      </c>
      <c r="N12" s="13">
        <f t="shared" ca="1" si="4"/>
        <v>0</v>
      </c>
      <c r="O12" s="13" t="str">
        <f t="shared" si="5"/>
        <v/>
      </c>
      <c r="P12" s="20"/>
      <c r="Q12" s="151"/>
      <c r="R12" s="152"/>
      <c r="S12" s="152"/>
      <c r="T12" s="152"/>
      <c r="U12" s="152"/>
      <c r="V12" s="152"/>
      <c r="W12" s="152"/>
      <c r="X12" s="152"/>
      <c r="Y12" s="152"/>
      <c r="Z12" s="152"/>
      <c r="AA12" s="152"/>
      <c r="AB12" s="152"/>
      <c r="AC12" s="27"/>
      <c r="AD12" s="27"/>
    </row>
    <row r="13" spans="1:246" ht="93" customHeight="1" x14ac:dyDescent="0.15">
      <c r="A13" s="15">
        <v>252</v>
      </c>
      <c r="B13" s="11"/>
      <c r="C13" s="16"/>
      <c r="D13" s="13" t="s">
        <v>24</v>
      </c>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151"/>
      <c r="R13" s="152"/>
      <c r="S13" s="152"/>
      <c r="T13" s="152"/>
      <c r="U13" s="152"/>
      <c r="V13" s="152"/>
      <c r="W13" s="152"/>
      <c r="X13" s="152"/>
      <c r="Y13" s="152"/>
      <c r="Z13" s="152"/>
      <c r="AA13" s="152"/>
      <c r="AB13" s="152"/>
      <c r="AC13" s="27"/>
      <c r="AD13" s="27"/>
    </row>
    <row r="14" spans="1:246" ht="24.6" customHeight="1" x14ac:dyDescent="0.15">
      <c r="A14" s="15">
        <v>253</v>
      </c>
      <c r="B14" s="13"/>
      <c r="C14" s="12"/>
      <c r="D14" s="13"/>
      <c r="E14" s="13"/>
      <c r="F14" s="14"/>
      <c r="G14" s="14"/>
      <c r="H14" s="14"/>
      <c r="I14" s="14"/>
      <c r="J14" s="13" t="str">
        <f t="shared" ca="1" si="0"/>
        <v>IN TIME</v>
      </c>
      <c r="K14" s="13" t="str">
        <f t="shared" si="1"/>
        <v/>
      </c>
      <c r="L14" s="13">
        <f t="shared" ca="1" si="2"/>
        <v>0</v>
      </c>
      <c r="M14" s="13">
        <f t="shared" ca="1" si="3"/>
        <v>1</v>
      </c>
      <c r="N14" s="13">
        <f t="shared" ca="1" si="4"/>
        <v>0</v>
      </c>
      <c r="O14" s="13" t="str">
        <f t="shared" si="5"/>
        <v/>
      </c>
      <c r="P14" s="20"/>
      <c r="Q14" s="151"/>
      <c r="R14" s="152"/>
      <c r="S14" s="152"/>
      <c r="T14" s="152"/>
      <c r="U14" s="152"/>
      <c r="V14" s="152"/>
      <c r="W14" s="152"/>
      <c r="X14" s="152"/>
      <c r="Y14" s="152"/>
      <c r="Z14" s="152"/>
      <c r="AA14" s="152"/>
      <c r="AB14" s="152"/>
      <c r="AC14" s="27"/>
      <c r="AD14" s="27"/>
    </row>
    <row r="15" spans="1:246" ht="24.6" customHeight="1" x14ac:dyDescent="0.15">
      <c r="A15" s="15">
        <v>254</v>
      </c>
      <c r="B15" s="13"/>
      <c r="C15" s="12"/>
      <c r="D15" s="13"/>
      <c r="E15" s="13"/>
      <c r="F15" s="14"/>
      <c r="G15" s="14"/>
      <c r="H15" s="14"/>
      <c r="I15" s="14"/>
      <c r="J15" s="13" t="str">
        <f t="shared" ca="1" si="0"/>
        <v>IN TIME</v>
      </c>
      <c r="K15" s="13" t="str">
        <f t="shared" si="1"/>
        <v/>
      </c>
      <c r="L15" s="13">
        <f t="shared" ca="1" si="2"/>
        <v>0</v>
      </c>
      <c r="M15" s="13">
        <f t="shared" ca="1" si="3"/>
        <v>1</v>
      </c>
      <c r="N15" s="13">
        <f t="shared" ca="1" si="4"/>
        <v>0</v>
      </c>
      <c r="O15" s="13" t="str">
        <f t="shared" si="5"/>
        <v/>
      </c>
      <c r="P15" s="20"/>
      <c r="Q15" s="151"/>
      <c r="R15" s="152"/>
      <c r="S15" s="152"/>
      <c r="T15" s="152"/>
      <c r="U15" s="152"/>
      <c r="V15" s="152"/>
      <c r="W15" s="152"/>
      <c r="X15" s="152"/>
      <c r="Y15" s="152"/>
      <c r="Z15" s="152"/>
      <c r="AA15" s="152"/>
      <c r="AB15" s="152"/>
      <c r="AC15" s="27"/>
      <c r="AD15" s="27"/>
    </row>
    <row r="16" spans="1:246" ht="24.6" customHeight="1" x14ac:dyDescent="0.15">
      <c r="A16" s="15">
        <v>255</v>
      </c>
      <c r="B16" s="13"/>
      <c r="C16" s="12"/>
      <c r="D16" s="13"/>
      <c r="E16" s="13"/>
      <c r="F16" s="14"/>
      <c r="G16" s="14"/>
      <c r="H16" s="14"/>
      <c r="I16" s="14"/>
      <c r="J16" s="13" t="str">
        <f t="shared" ca="1" si="0"/>
        <v>IN TIME</v>
      </c>
      <c r="K16" s="13" t="str">
        <f t="shared" si="1"/>
        <v/>
      </c>
      <c r="L16" s="13">
        <f t="shared" ca="1" si="2"/>
        <v>0</v>
      </c>
      <c r="M16" s="13">
        <f t="shared" ca="1" si="3"/>
        <v>1</v>
      </c>
      <c r="N16" s="13">
        <f t="shared" ca="1" si="4"/>
        <v>0</v>
      </c>
      <c r="O16" s="13" t="str">
        <f t="shared" si="5"/>
        <v/>
      </c>
      <c r="P16" s="20"/>
      <c r="Q16" s="151"/>
      <c r="R16" s="152"/>
      <c r="S16" s="152"/>
      <c r="T16" s="152"/>
      <c r="U16" s="152"/>
      <c r="V16" s="152"/>
      <c r="W16" s="152"/>
      <c r="X16" s="152"/>
      <c r="Y16" s="152"/>
      <c r="Z16" s="152"/>
      <c r="AA16" s="152"/>
      <c r="AB16" s="152"/>
      <c r="AC16" s="27"/>
      <c r="AD16" s="27"/>
    </row>
    <row r="17" spans="1:30" ht="24.6" customHeight="1" x14ac:dyDescent="0.15">
      <c r="A17" s="15">
        <v>256</v>
      </c>
      <c r="B17" s="13"/>
      <c r="C17" s="12"/>
      <c r="D17" s="13"/>
      <c r="E17" s="13"/>
      <c r="F17" s="14"/>
      <c r="G17" s="14"/>
      <c r="H17" s="14"/>
      <c r="I17" s="14"/>
      <c r="J17" s="13" t="str">
        <f t="shared" ca="1" si="0"/>
        <v>IN TIME</v>
      </c>
      <c r="K17" s="13" t="str">
        <f t="shared" si="1"/>
        <v/>
      </c>
      <c r="L17" s="13">
        <f t="shared" ca="1" si="2"/>
        <v>0</v>
      </c>
      <c r="M17" s="13">
        <f t="shared" ca="1" si="3"/>
        <v>1</v>
      </c>
      <c r="N17" s="13">
        <f t="shared" ca="1" si="4"/>
        <v>0</v>
      </c>
      <c r="O17" s="13" t="str">
        <f t="shared" si="5"/>
        <v/>
      </c>
      <c r="P17" s="20"/>
      <c r="Q17" s="151"/>
      <c r="R17" s="152"/>
      <c r="S17" s="152"/>
      <c r="T17" s="152"/>
      <c r="U17" s="152"/>
      <c r="V17" s="152"/>
      <c r="W17" s="152"/>
      <c r="X17" s="152"/>
      <c r="Y17" s="152"/>
      <c r="Z17" s="152"/>
      <c r="AA17" s="152"/>
      <c r="AB17" s="152"/>
      <c r="AC17" s="27"/>
      <c r="AD17" s="27"/>
    </row>
    <row r="18" spans="1:30" ht="24.6" customHeight="1" x14ac:dyDescent="0.15">
      <c r="A18" s="15">
        <v>257</v>
      </c>
      <c r="B18" s="13"/>
      <c r="C18" s="12"/>
      <c r="D18" s="13"/>
      <c r="E18" s="13"/>
      <c r="F18" s="14"/>
      <c r="G18" s="14"/>
      <c r="H18" s="14"/>
      <c r="I18" s="14"/>
      <c r="J18" s="13" t="str">
        <f t="shared" ca="1" si="0"/>
        <v>IN TIME</v>
      </c>
      <c r="K18" s="13" t="str">
        <f t="shared" si="1"/>
        <v/>
      </c>
      <c r="L18" s="13">
        <f t="shared" ca="1" si="2"/>
        <v>0</v>
      </c>
      <c r="M18" s="13">
        <f t="shared" ca="1" si="3"/>
        <v>1</v>
      </c>
      <c r="N18" s="13">
        <f t="shared" ca="1" si="4"/>
        <v>0</v>
      </c>
      <c r="O18" s="13" t="str">
        <f t="shared" si="5"/>
        <v/>
      </c>
      <c r="P18" s="20"/>
      <c r="Q18" s="151"/>
      <c r="R18" s="152"/>
      <c r="S18" s="152"/>
      <c r="T18" s="152"/>
      <c r="U18" s="152"/>
      <c r="V18" s="152"/>
      <c r="W18" s="152"/>
      <c r="X18" s="152"/>
      <c r="Y18" s="152"/>
      <c r="Z18" s="152"/>
      <c r="AA18" s="152"/>
      <c r="AB18" s="152"/>
      <c r="AC18" s="27"/>
      <c r="AD18" s="27"/>
    </row>
    <row r="19" spans="1:30" ht="24.6" customHeight="1" x14ac:dyDescent="0.15">
      <c r="A19" s="15">
        <v>258</v>
      </c>
      <c r="B19" s="13"/>
      <c r="C19" s="12"/>
      <c r="D19" s="13"/>
      <c r="E19" s="13"/>
      <c r="F19" s="14"/>
      <c r="G19" s="14"/>
      <c r="H19" s="14"/>
      <c r="I19" s="14"/>
      <c r="J19" s="13" t="str">
        <f t="shared" ca="1" si="0"/>
        <v>IN TIME</v>
      </c>
      <c r="K19" s="13" t="str">
        <f t="shared" si="1"/>
        <v/>
      </c>
      <c r="L19" s="13">
        <f t="shared" ca="1" si="2"/>
        <v>0</v>
      </c>
      <c r="M19" s="13">
        <f t="shared" ca="1" si="3"/>
        <v>1</v>
      </c>
      <c r="N19" s="13">
        <f t="shared" ca="1" si="4"/>
        <v>0</v>
      </c>
      <c r="O19" s="13" t="str">
        <f t="shared" si="5"/>
        <v/>
      </c>
      <c r="P19" s="20"/>
      <c r="Q19" s="151"/>
      <c r="R19" s="152"/>
      <c r="S19" s="152"/>
      <c r="T19" s="152"/>
      <c r="U19" s="152"/>
      <c r="V19" s="152"/>
      <c r="W19" s="152"/>
      <c r="X19" s="152"/>
      <c r="Y19" s="152"/>
      <c r="Z19" s="152"/>
      <c r="AA19" s="152"/>
      <c r="AB19" s="152"/>
      <c r="AC19" s="27"/>
      <c r="AD19" s="27"/>
    </row>
    <row r="20" spans="1:30" ht="24.6" customHeight="1" x14ac:dyDescent="0.15">
      <c r="A20" s="15">
        <v>259</v>
      </c>
      <c r="B20" s="13"/>
      <c r="C20" s="12"/>
      <c r="D20" s="13"/>
      <c r="E20" s="13"/>
      <c r="F20" s="14"/>
      <c r="G20" s="14"/>
      <c r="H20" s="14"/>
      <c r="I20" s="14"/>
      <c r="J20" s="13" t="str">
        <f t="shared" ca="1" si="0"/>
        <v>IN TIME</v>
      </c>
      <c r="K20" s="13" t="str">
        <f t="shared" si="1"/>
        <v/>
      </c>
      <c r="L20" s="13">
        <f t="shared" ca="1" si="2"/>
        <v>0</v>
      </c>
      <c r="M20" s="13">
        <f t="shared" ca="1" si="3"/>
        <v>1</v>
      </c>
      <c r="N20" s="13">
        <f t="shared" ca="1" si="4"/>
        <v>0</v>
      </c>
      <c r="O20" s="13" t="str">
        <f t="shared" si="5"/>
        <v/>
      </c>
      <c r="P20" s="20"/>
      <c r="Q20" s="151"/>
      <c r="R20" s="152"/>
      <c r="S20" s="152"/>
      <c r="T20" s="152"/>
      <c r="U20" s="152"/>
      <c r="V20" s="152"/>
      <c r="W20" s="152"/>
      <c r="X20" s="152"/>
      <c r="Y20" s="152"/>
      <c r="Z20" s="152"/>
      <c r="AA20" s="152"/>
      <c r="AB20" s="152"/>
      <c r="AC20" s="27"/>
      <c r="AD20" s="27"/>
    </row>
    <row r="21" spans="1:30" ht="24.6" customHeight="1" x14ac:dyDescent="0.15">
      <c r="A21" s="15">
        <v>260</v>
      </c>
      <c r="B21" s="13"/>
      <c r="C21" s="12"/>
      <c r="D21" s="13"/>
      <c r="E21" s="13"/>
      <c r="F21" s="14"/>
      <c r="G21" s="14"/>
      <c r="H21" s="14"/>
      <c r="I21" s="14"/>
      <c r="J21" s="13" t="str">
        <f t="shared" ca="1" si="0"/>
        <v>IN TIME</v>
      </c>
      <c r="K21" s="13" t="str">
        <f t="shared" si="1"/>
        <v/>
      </c>
      <c r="L21" s="13">
        <f t="shared" ca="1" si="2"/>
        <v>0</v>
      </c>
      <c r="M21" s="13">
        <f t="shared" ca="1" si="3"/>
        <v>1</v>
      </c>
      <c r="N21" s="13">
        <f t="shared" ca="1" si="4"/>
        <v>0</v>
      </c>
      <c r="O21" s="13" t="str">
        <f t="shared" si="5"/>
        <v/>
      </c>
      <c r="P21" s="20"/>
      <c r="Q21" s="151"/>
      <c r="R21" s="152"/>
      <c r="S21" s="152"/>
      <c r="T21" s="152"/>
      <c r="U21" s="152"/>
      <c r="V21" s="152"/>
      <c r="W21" s="152"/>
      <c r="X21" s="152"/>
      <c r="Y21" s="152"/>
      <c r="Z21" s="152"/>
      <c r="AA21" s="152"/>
      <c r="AB21" s="152"/>
      <c r="AC21" s="27"/>
      <c r="AD21" s="27"/>
    </row>
    <row r="22" spans="1:30" ht="24.6" customHeight="1" x14ac:dyDescent="0.15">
      <c r="A22" s="15">
        <v>261</v>
      </c>
      <c r="B22" s="13"/>
      <c r="C22" s="12"/>
      <c r="D22" s="13"/>
      <c r="E22" s="13"/>
      <c r="F22" s="14"/>
      <c r="G22" s="14"/>
      <c r="H22" s="14"/>
      <c r="I22" s="14"/>
      <c r="J22" s="13" t="str">
        <f t="shared" ca="1" si="0"/>
        <v>IN TIME</v>
      </c>
      <c r="K22" s="13" t="str">
        <f t="shared" si="1"/>
        <v/>
      </c>
      <c r="L22" s="13">
        <f t="shared" ca="1" si="2"/>
        <v>0</v>
      </c>
      <c r="M22" s="13">
        <f t="shared" ca="1" si="3"/>
        <v>1</v>
      </c>
      <c r="N22" s="13">
        <f t="shared" ca="1" si="4"/>
        <v>0</v>
      </c>
      <c r="O22" s="13" t="str">
        <f t="shared" si="5"/>
        <v/>
      </c>
      <c r="P22" s="20"/>
      <c r="Q22" s="151"/>
      <c r="R22" s="152"/>
      <c r="S22" s="152"/>
      <c r="T22" s="152"/>
      <c r="U22" s="152"/>
      <c r="V22" s="152"/>
      <c r="W22" s="152"/>
      <c r="X22" s="152"/>
      <c r="Y22" s="152"/>
      <c r="Z22" s="152"/>
      <c r="AA22" s="152"/>
      <c r="AB22" s="152"/>
      <c r="AC22" s="27"/>
      <c r="AD22" s="27"/>
    </row>
    <row r="23" spans="1:30" ht="24.6" customHeight="1" x14ac:dyDescent="0.15">
      <c r="A23" s="15">
        <v>262</v>
      </c>
      <c r="B23" s="13"/>
      <c r="C23" s="12"/>
      <c r="D23" s="13"/>
      <c r="E23" s="13"/>
      <c r="F23" s="14"/>
      <c r="G23" s="14"/>
      <c r="H23" s="14"/>
      <c r="I23" s="14"/>
      <c r="J23" s="13" t="str">
        <f t="shared" ca="1" si="0"/>
        <v>IN TIME</v>
      </c>
      <c r="K23" s="13" t="str">
        <f t="shared" si="1"/>
        <v/>
      </c>
      <c r="L23" s="13">
        <f t="shared" ca="1" si="2"/>
        <v>0</v>
      </c>
      <c r="M23" s="13">
        <f t="shared" ca="1" si="3"/>
        <v>1</v>
      </c>
      <c r="N23" s="13">
        <f t="shared" ca="1" si="4"/>
        <v>0</v>
      </c>
      <c r="O23" s="13" t="str">
        <f t="shared" si="5"/>
        <v/>
      </c>
      <c r="P23" s="20"/>
      <c r="Q23" s="151"/>
      <c r="R23" s="152"/>
      <c r="S23" s="152"/>
      <c r="T23" s="152"/>
      <c r="U23" s="152"/>
      <c r="V23" s="152"/>
      <c r="W23" s="152"/>
      <c r="X23" s="152"/>
      <c r="Y23" s="152"/>
      <c r="Z23" s="152"/>
      <c r="AA23" s="152"/>
      <c r="AB23" s="152"/>
      <c r="AC23" s="27"/>
      <c r="AD23" s="27"/>
    </row>
    <row r="24" spans="1:30" ht="24.6" customHeight="1" x14ac:dyDescent="0.15">
      <c r="A24" s="15">
        <v>263</v>
      </c>
      <c r="B24" s="13"/>
      <c r="C24" s="12"/>
      <c r="D24" s="13"/>
      <c r="E24" s="13"/>
      <c r="F24" s="14"/>
      <c r="G24" s="14"/>
      <c r="H24" s="14"/>
      <c r="I24" s="14"/>
      <c r="J24" s="13" t="str">
        <f t="shared" ca="1" si="0"/>
        <v>IN TIME</v>
      </c>
      <c r="K24" s="13" t="str">
        <f t="shared" si="1"/>
        <v/>
      </c>
      <c r="L24" s="13">
        <f t="shared" ca="1" si="2"/>
        <v>0</v>
      </c>
      <c r="M24" s="13">
        <f t="shared" ca="1" si="3"/>
        <v>1</v>
      </c>
      <c r="N24" s="13">
        <f t="shared" ca="1" si="4"/>
        <v>0</v>
      </c>
      <c r="O24" s="13" t="str">
        <f t="shared" si="5"/>
        <v/>
      </c>
      <c r="P24" s="20"/>
      <c r="Q24" s="151"/>
      <c r="R24" s="152"/>
      <c r="S24" s="152"/>
      <c r="T24" s="152"/>
      <c r="U24" s="152"/>
      <c r="V24" s="152"/>
      <c r="W24" s="152"/>
      <c r="X24" s="152"/>
      <c r="Y24" s="152"/>
      <c r="Z24" s="152"/>
      <c r="AA24" s="152"/>
      <c r="AB24" s="152"/>
      <c r="AC24" s="27"/>
      <c r="AD24" s="27"/>
    </row>
    <row r="25" spans="1:30" ht="24.6" customHeight="1" x14ac:dyDescent="0.15">
      <c r="A25" s="15">
        <v>264</v>
      </c>
      <c r="B25" s="13"/>
      <c r="C25" s="12"/>
      <c r="D25" s="13"/>
      <c r="E25" s="13"/>
      <c r="F25" s="14"/>
      <c r="G25" s="14"/>
      <c r="H25" s="14"/>
      <c r="I25" s="14"/>
      <c r="J25" s="13" t="str">
        <f t="shared" ca="1" si="0"/>
        <v>IN TIME</v>
      </c>
      <c r="K25" s="13" t="str">
        <f t="shared" si="1"/>
        <v/>
      </c>
      <c r="L25" s="13">
        <f t="shared" ca="1" si="2"/>
        <v>0</v>
      </c>
      <c r="M25" s="13">
        <f t="shared" ca="1" si="3"/>
        <v>1</v>
      </c>
      <c r="N25" s="13">
        <f t="shared" ca="1" si="4"/>
        <v>0</v>
      </c>
      <c r="O25" s="13" t="str">
        <f t="shared" si="5"/>
        <v/>
      </c>
      <c r="P25" s="20"/>
      <c r="Q25" s="151"/>
      <c r="R25" s="152"/>
      <c r="S25" s="152"/>
      <c r="T25" s="152"/>
      <c r="U25" s="152"/>
      <c r="V25" s="152"/>
      <c r="W25" s="152"/>
      <c r="X25" s="152"/>
      <c r="Y25" s="152"/>
      <c r="Z25" s="152"/>
      <c r="AA25" s="152"/>
      <c r="AB25" s="152"/>
      <c r="AC25" s="27"/>
      <c r="AD25" s="27"/>
    </row>
    <row r="26" spans="1:30" ht="24.6" customHeight="1" x14ac:dyDescent="0.15">
      <c r="A26" s="15">
        <v>265</v>
      </c>
      <c r="B26" s="13"/>
      <c r="C26" s="12"/>
      <c r="D26" s="13"/>
      <c r="E26" s="13"/>
      <c r="F26" s="14"/>
      <c r="G26" s="14"/>
      <c r="H26" s="14"/>
      <c r="I26" s="14"/>
      <c r="J26" s="13" t="str">
        <f t="shared" ca="1" si="0"/>
        <v>IN TIME</v>
      </c>
      <c r="K26" s="13" t="str">
        <f t="shared" si="1"/>
        <v/>
      </c>
      <c r="L26" s="13">
        <f t="shared" ca="1" si="2"/>
        <v>0</v>
      </c>
      <c r="M26" s="13">
        <f t="shared" ca="1" si="3"/>
        <v>1</v>
      </c>
      <c r="N26" s="13">
        <f t="shared" ca="1" si="4"/>
        <v>0</v>
      </c>
      <c r="O26" s="13" t="str">
        <f t="shared" si="5"/>
        <v/>
      </c>
      <c r="P26" s="20"/>
      <c r="Q26" s="151"/>
      <c r="R26" s="152"/>
      <c r="S26" s="152"/>
      <c r="T26" s="152"/>
      <c r="U26" s="152"/>
      <c r="V26" s="152"/>
      <c r="W26" s="152"/>
      <c r="X26" s="152"/>
      <c r="Y26" s="152"/>
      <c r="Z26" s="152"/>
      <c r="AA26" s="152"/>
      <c r="AB26" s="152"/>
      <c r="AC26" s="27"/>
      <c r="AD26" s="27"/>
    </row>
    <row r="27" spans="1:30" ht="24.6" customHeight="1" x14ac:dyDescent="0.15">
      <c r="A27" s="15">
        <v>266</v>
      </c>
      <c r="B27" s="13"/>
      <c r="C27" s="12"/>
      <c r="D27" s="13"/>
      <c r="E27" s="13"/>
      <c r="F27" s="14"/>
      <c r="G27" s="14"/>
      <c r="H27" s="14"/>
      <c r="I27" s="14"/>
      <c r="J27" s="13" t="str">
        <f t="shared" ca="1" si="0"/>
        <v>IN TIME</v>
      </c>
      <c r="K27" s="13" t="str">
        <f t="shared" si="1"/>
        <v/>
      </c>
      <c r="L27" s="13">
        <f t="shared" ca="1" si="2"/>
        <v>0</v>
      </c>
      <c r="M27" s="13">
        <f t="shared" ca="1" si="3"/>
        <v>1</v>
      </c>
      <c r="N27" s="13">
        <f t="shared" ca="1" si="4"/>
        <v>0</v>
      </c>
      <c r="O27" s="13" t="str">
        <f t="shared" si="5"/>
        <v/>
      </c>
      <c r="P27" s="20"/>
      <c r="Q27" s="151"/>
      <c r="R27" s="152"/>
      <c r="S27" s="152"/>
      <c r="T27" s="152"/>
      <c r="U27" s="152"/>
      <c r="V27" s="152"/>
      <c r="W27" s="152"/>
      <c r="X27" s="152"/>
      <c r="Y27" s="152"/>
      <c r="Z27" s="152"/>
      <c r="AA27" s="152"/>
      <c r="AB27" s="152"/>
      <c r="AC27" s="27"/>
      <c r="AD27" s="27"/>
    </row>
  </sheetData>
  <autoFilter ref="A3:P27"/>
  <mergeCells count="3">
    <mergeCell ref="A1:P1"/>
    <mergeCell ref="A2:B2"/>
    <mergeCell ref="Q3:AB11"/>
  </mergeCells>
  <phoneticPr fontId="34" type="noConversion"/>
  <conditionalFormatting sqref="J4">
    <cfRule type="cellIs" dxfId="80" priority="70" operator="equal">
      <formula>"OVERDUE"</formula>
    </cfRule>
    <cfRule type="cellIs" dxfId="79" priority="71" operator="equal">
      <formula>"DONE"</formula>
    </cfRule>
    <cfRule type="cellIs" dxfId="78" priority="72" operator="equal">
      <formula>"DONE"</formula>
    </cfRule>
  </conditionalFormatting>
  <conditionalFormatting sqref="J5">
    <cfRule type="cellIs" dxfId="77" priority="67" operator="equal">
      <formula>"OVERDUE"</formula>
    </cfRule>
    <cfRule type="cellIs" dxfId="76" priority="68" operator="equal">
      <formula>"DONE"</formula>
    </cfRule>
    <cfRule type="cellIs" dxfId="75" priority="69" operator="equal">
      <formula>"DONE"</formula>
    </cfRule>
  </conditionalFormatting>
  <conditionalFormatting sqref="J6">
    <cfRule type="cellIs" dxfId="74" priority="64" operator="equal">
      <formula>"OVERDUE"</formula>
    </cfRule>
    <cfRule type="cellIs" dxfId="73" priority="65" operator="equal">
      <formula>"DONE"</formula>
    </cfRule>
    <cfRule type="cellIs" dxfId="72" priority="66" operator="equal">
      <formula>"DONE"</formula>
    </cfRule>
  </conditionalFormatting>
  <conditionalFormatting sqref="J7">
    <cfRule type="cellIs" dxfId="71" priority="61" operator="equal">
      <formula>"OVERDUE"</formula>
    </cfRule>
    <cfRule type="cellIs" dxfId="70" priority="62" operator="equal">
      <formula>"DONE"</formula>
    </cfRule>
    <cfRule type="cellIs" dxfId="69" priority="63" operator="equal">
      <formula>"DONE"</formula>
    </cfRule>
  </conditionalFormatting>
  <conditionalFormatting sqref="J8">
    <cfRule type="cellIs" dxfId="68" priority="58" operator="equal">
      <formula>"OVERDUE"</formula>
    </cfRule>
    <cfRule type="cellIs" dxfId="67" priority="59" operator="equal">
      <formula>"DONE"</formula>
    </cfRule>
    <cfRule type="cellIs" dxfId="66" priority="60" operator="equal">
      <formula>"DONE"</formula>
    </cfRule>
  </conditionalFormatting>
  <conditionalFormatting sqref="J9">
    <cfRule type="cellIs" dxfId="65" priority="55" operator="equal">
      <formula>"OVERDUE"</formula>
    </cfRule>
    <cfRule type="cellIs" dxfId="64" priority="56" operator="equal">
      <formula>"DONE"</formula>
    </cfRule>
    <cfRule type="cellIs" dxfId="63" priority="57" operator="equal">
      <formula>"DONE"</formula>
    </cfRule>
  </conditionalFormatting>
  <conditionalFormatting sqref="J10">
    <cfRule type="cellIs" dxfId="62" priority="52" operator="equal">
      <formula>"OVERDUE"</formula>
    </cfRule>
    <cfRule type="cellIs" dxfId="61" priority="53" operator="equal">
      <formula>"DONE"</formula>
    </cfRule>
    <cfRule type="cellIs" dxfId="60" priority="54" operator="equal">
      <formula>"DONE"</formula>
    </cfRule>
  </conditionalFormatting>
  <conditionalFormatting sqref="J11">
    <cfRule type="cellIs" dxfId="59" priority="49" operator="equal">
      <formula>"OVERDUE"</formula>
    </cfRule>
    <cfRule type="cellIs" dxfId="58" priority="50" operator="equal">
      <formula>"DONE"</formula>
    </cfRule>
    <cfRule type="cellIs" dxfId="57" priority="51" operator="equal">
      <formula>"DONE"</formula>
    </cfRule>
  </conditionalFormatting>
  <conditionalFormatting sqref="J12">
    <cfRule type="cellIs" dxfId="56" priority="46" operator="equal">
      <formula>"OVERDUE"</formula>
    </cfRule>
    <cfRule type="cellIs" dxfId="55" priority="47" operator="equal">
      <formula>"DONE"</formula>
    </cfRule>
    <cfRule type="cellIs" dxfId="54" priority="48" operator="equal">
      <formula>"DONE"</formula>
    </cfRule>
  </conditionalFormatting>
  <conditionalFormatting sqref="J13">
    <cfRule type="cellIs" dxfId="53" priority="43" operator="equal">
      <formula>"OVERDUE"</formula>
    </cfRule>
    <cfRule type="cellIs" dxfId="52" priority="44" operator="equal">
      <formula>"DONE"</formula>
    </cfRule>
    <cfRule type="cellIs" dxfId="51" priority="45" operator="equal">
      <formula>"DONE"</formula>
    </cfRule>
  </conditionalFormatting>
  <conditionalFormatting sqref="J14">
    <cfRule type="cellIs" dxfId="50" priority="40" operator="equal">
      <formula>"OVERDUE"</formula>
    </cfRule>
    <cfRule type="cellIs" dxfId="49" priority="41" operator="equal">
      <formula>"DONE"</formula>
    </cfRule>
    <cfRule type="cellIs" dxfId="48" priority="42" operator="equal">
      <formula>"DONE"</formula>
    </cfRule>
  </conditionalFormatting>
  <conditionalFormatting sqref="J15">
    <cfRule type="cellIs" dxfId="47" priority="37" operator="equal">
      <formula>"OVERDUE"</formula>
    </cfRule>
    <cfRule type="cellIs" dxfId="46" priority="38" operator="equal">
      <formula>"DONE"</formula>
    </cfRule>
    <cfRule type="cellIs" dxfId="45" priority="39" operator="equal">
      <formula>"DONE"</formula>
    </cfRule>
  </conditionalFormatting>
  <conditionalFormatting sqref="J16">
    <cfRule type="cellIs" dxfId="44" priority="34" operator="equal">
      <formula>"OVERDUE"</formula>
    </cfRule>
    <cfRule type="cellIs" dxfId="43" priority="35" operator="equal">
      <formula>"DONE"</formula>
    </cfRule>
    <cfRule type="cellIs" dxfId="42" priority="36" operator="equal">
      <formula>"DONE"</formula>
    </cfRule>
  </conditionalFormatting>
  <conditionalFormatting sqref="J17">
    <cfRule type="cellIs" dxfId="41" priority="31" operator="equal">
      <formula>"OVERDUE"</formula>
    </cfRule>
    <cfRule type="cellIs" dxfId="40" priority="32" operator="equal">
      <formula>"DONE"</formula>
    </cfRule>
    <cfRule type="cellIs" dxfId="39" priority="33" operator="equal">
      <formula>"DONE"</formula>
    </cfRule>
  </conditionalFormatting>
  <conditionalFormatting sqref="J18">
    <cfRule type="cellIs" dxfId="38" priority="28" operator="equal">
      <formula>"OVERDUE"</formula>
    </cfRule>
    <cfRule type="cellIs" dxfId="37" priority="29" operator="equal">
      <formula>"DONE"</formula>
    </cfRule>
    <cfRule type="cellIs" dxfId="36" priority="30" operator="equal">
      <formula>"DONE"</formula>
    </cfRule>
  </conditionalFormatting>
  <conditionalFormatting sqref="J19">
    <cfRule type="cellIs" dxfId="35" priority="25" operator="equal">
      <formula>"OVERDUE"</formula>
    </cfRule>
    <cfRule type="cellIs" dxfId="34" priority="26" operator="equal">
      <formula>"DONE"</formula>
    </cfRule>
    <cfRule type="cellIs" dxfId="33" priority="27" operator="equal">
      <formula>"DONE"</formula>
    </cfRule>
  </conditionalFormatting>
  <conditionalFormatting sqref="J20">
    <cfRule type="cellIs" dxfId="32" priority="22" operator="equal">
      <formula>"OVERDUE"</formula>
    </cfRule>
    <cfRule type="cellIs" dxfId="31" priority="23" operator="equal">
      <formula>"DONE"</formula>
    </cfRule>
    <cfRule type="cellIs" dxfId="30" priority="24" operator="equal">
      <formula>"DONE"</formula>
    </cfRule>
  </conditionalFormatting>
  <conditionalFormatting sqref="J21">
    <cfRule type="cellIs" dxfId="29" priority="19" operator="equal">
      <formula>"OVERDUE"</formula>
    </cfRule>
    <cfRule type="cellIs" dxfId="28" priority="20" operator="equal">
      <formula>"DONE"</formula>
    </cfRule>
    <cfRule type="cellIs" dxfId="27" priority="21" operator="equal">
      <formula>"DONE"</formula>
    </cfRule>
  </conditionalFormatting>
  <conditionalFormatting sqref="J22">
    <cfRule type="cellIs" dxfId="26" priority="16" operator="equal">
      <formula>"OVERDUE"</formula>
    </cfRule>
    <cfRule type="cellIs" dxfId="25" priority="17" operator="equal">
      <formula>"DONE"</formula>
    </cfRule>
    <cfRule type="cellIs" dxfId="24" priority="18" operator="equal">
      <formula>"DONE"</formula>
    </cfRule>
  </conditionalFormatting>
  <conditionalFormatting sqref="J23">
    <cfRule type="cellIs" dxfId="23" priority="13" operator="equal">
      <formula>"OVERDUE"</formula>
    </cfRule>
    <cfRule type="cellIs" dxfId="22" priority="14" operator="equal">
      <formula>"DONE"</formula>
    </cfRule>
    <cfRule type="cellIs" dxfId="21" priority="15" operator="equal">
      <formula>"DONE"</formula>
    </cfRule>
  </conditionalFormatting>
  <conditionalFormatting sqref="J24">
    <cfRule type="cellIs" dxfId="20" priority="10" operator="equal">
      <formula>"OVERDUE"</formula>
    </cfRule>
    <cfRule type="cellIs" dxfId="19" priority="11" operator="equal">
      <formula>"DONE"</formula>
    </cfRule>
    <cfRule type="cellIs" dxfId="18" priority="12" operator="equal">
      <formula>"DONE"</formula>
    </cfRule>
  </conditionalFormatting>
  <conditionalFormatting sqref="J25">
    <cfRule type="cellIs" dxfId="17" priority="7" operator="equal">
      <formula>"OVERDUE"</formula>
    </cfRule>
    <cfRule type="cellIs" dxfId="16" priority="8" operator="equal">
      <formula>"DONE"</formula>
    </cfRule>
    <cfRule type="cellIs" dxfId="15" priority="9" operator="equal">
      <formula>"DONE"</formula>
    </cfRule>
  </conditionalFormatting>
  <conditionalFormatting sqref="J26">
    <cfRule type="cellIs" dxfId="14" priority="4" operator="equal">
      <formula>"OVERDUE"</formula>
    </cfRule>
    <cfRule type="cellIs" dxfId="13" priority="5" operator="equal">
      <formula>"DONE"</formula>
    </cfRule>
    <cfRule type="cellIs" dxfId="12" priority="6" operator="equal">
      <formula>"DONE"</formula>
    </cfRule>
  </conditionalFormatting>
  <conditionalFormatting sqref="J27">
    <cfRule type="cellIs" dxfId="11" priority="1" operator="equal">
      <formula>"OVERDUE"</formula>
    </cfRule>
    <cfRule type="cellIs" dxfId="10" priority="2" operator="equal">
      <formula>"DONE"</formula>
    </cfRule>
    <cfRule type="cellIs" dxfId="9" priority="3" operator="equal">
      <formula>"DONE"</formula>
    </cfRule>
  </conditionalFormatting>
  <conditionalFormatting sqref="J2:J3 J28:J1048576">
    <cfRule type="cellIs" dxfId="8" priority="82" operator="equal">
      <formula>"OVERDUE"</formula>
    </cfRule>
    <cfRule type="cellIs" dxfId="7" priority="83" operator="equal">
      <formula>"DONE"</formula>
    </cfRule>
    <cfRule type="cellIs" dxfId="6" priority="84"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Pict="0" macro="[0]!Insert_Line_moban">
                <anchor moveWithCells="1">
                  <from>
                    <xdr:col>0</xdr:col>
                    <xdr:colOff>104775</xdr:colOff>
                    <xdr:row>27</xdr:row>
                    <xdr:rowOff>85725</xdr:rowOff>
                  </from>
                  <to>
                    <xdr:col>1</xdr:col>
                    <xdr:colOff>800100</xdr:colOff>
                    <xdr:row>28</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pageSetUpPr autoPageBreaks="0" fitToPage="1"/>
  </sheetPr>
  <dimension ref="A1:N42"/>
  <sheetViews>
    <sheetView showGridLines="0" topLeftCell="A22" zoomScaleNormal="100" workbookViewId="0">
      <selection activeCell="P9" sqref="P9"/>
    </sheetView>
  </sheetViews>
  <sheetFormatPr defaultRowHeight="19.5" customHeight="1" x14ac:dyDescent="0.15"/>
  <cols>
    <col min="1" max="1" width="3.25" style="124" customWidth="1"/>
    <col min="2" max="2" width="19.75" style="124" customWidth="1"/>
    <col min="3" max="3" width="63.875" style="124" customWidth="1"/>
    <col min="4" max="4" width="11.625" style="124" customWidth="1"/>
    <col min="5" max="5" width="10.75" style="124" hidden="1" customWidth="1"/>
    <col min="6" max="6" width="11" style="124" customWidth="1"/>
    <col min="7" max="7" width="9.875" style="124" customWidth="1"/>
    <col min="8" max="11" width="9" style="124"/>
    <col min="12" max="12" width="9.375" style="124" customWidth="1"/>
    <col min="13" max="13" width="9" style="124" customWidth="1"/>
    <col min="14" max="14" width="8" style="124" customWidth="1"/>
    <col min="15" max="16384" width="9" style="124"/>
  </cols>
  <sheetData>
    <row r="1" spans="1:14" ht="24.75" customHeight="1" x14ac:dyDescent="0.35">
      <c r="A1" s="140"/>
      <c r="B1" s="142" t="s">
        <v>457</v>
      </c>
      <c r="C1" s="140"/>
      <c r="D1" s="140"/>
      <c r="E1" s="140"/>
      <c r="F1" s="140"/>
      <c r="G1" s="140"/>
      <c r="H1" s="140"/>
      <c r="I1" s="140"/>
      <c r="J1" s="140"/>
      <c r="K1" s="140"/>
      <c r="L1" s="140"/>
      <c r="M1" s="140"/>
      <c r="N1" s="140"/>
    </row>
    <row r="2" spans="1:14" ht="28.5" customHeight="1" x14ac:dyDescent="0.15">
      <c r="A2" s="140"/>
      <c r="B2" s="141" t="s">
        <v>456</v>
      </c>
      <c r="C2" s="140"/>
      <c r="D2" s="140"/>
      <c r="E2" s="140"/>
      <c r="F2" s="140"/>
      <c r="G2" s="140"/>
      <c r="H2" s="140"/>
      <c r="I2" s="140"/>
      <c r="J2" s="140"/>
      <c r="K2" s="140"/>
      <c r="L2" s="140"/>
      <c r="M2" s="140"/>
      <c r="N2" s="140"/>
    </row>
    <row r="7" spans="1:14" ht="19.5" customHeight="1" x14ac:dyDescent="0.15">
      <c r="F7" s="134"/>
    </row>
    <row r="8" spans="1:14" ht="19.5" customHeight="1" x14ac:dyDescent="0.15">
      <c r="F8" s="134"/>
    </row>
    <row r="9" spans="1:14" ht="19.5" customHeight="1" x14ac:dyDescent="0.15">
      <c r="F9" s="134"/>
    </row>
    <row r="10" spans="1:14" ht="19.5" customHeight="1" x14ac:dyDescent="0.15">
      <c r="F10" s="134"/>
    </row>
    <row r="11" spans="1:14" ht="19.5" customHeight="1" x14ac:dyDescent="0.15">
      <c r="F11" s="134"/>
    </row>
    <row r="12" spans="1:14" ht="19.5" customHeight="1" x14ac:dyDescent="0.15">
      <c r="F12" s="134"/>
    </row>
    <row r="13" spans="1:14" ht="19.5" customHeight="1" x14ac:dyDescent="0.35">
      <c r="F13" s="134"/>
      <c r="I13" s="132"/>
      <c r="K13" s="132"/>
      <c r="M13" s="132"/>
      <c r="N13" s="131"/>
    </row>
    <row r="14" spans="1:14" ht="19.5" customHeight="1" x14ac:dyDescent="0.35">
      <c r="F14" s="134"/>
      <c r="I14" s="132"/>
      <c r="K14" s="132"/>
      <c r="M14" s="132"/>
      <c r="N14" s="131"/>
    </row>
    <row r="15" spans="1:14" ht="19.5" customHeight="1" x14ac:dyDescent="0.35">
      <c r="F15" s="134"/>
      <c r="I15" s="132"/>
      <c r="K15" s="132"/>
      <c r="M15" s="132"/>
      <c r="N15" s="131"/>
    </row>
    <row r="16" spans="1:14" ht="19.5" customHeight="1" x14ac:dyDescent="0.35">
      <c r="F16" s="134"/>
      <c r="I16" s="132"/>
      <c r="K16" s="132"/>
      <c r="M16" s="132"/>
      <c r="N16" s="131"/>
    </row>
    <row r="17" spans="2:14" ht="19.5" customHeight="1" thickBot="1" x14ac:dyDescent="0.4">
      <c r="I17" s="132"/>
      <c r="K17" s="132"/>
      <c r="M17" s="132"/>
      <c r="N17" s="131"/>
    </row>
    <row r="18" spans="2:14" ht="24" customHeight="1" thickTop="1" x14ac:dyDescent="0.35">
      <c r="B18" s="139" t="s">
        <v>455</v>
      </c>
      <c r="C18" s="138"/>
      <c r="D18" s="137"/>
      <c r="I18" s="132"/>
      <c r="K18" s="132"/>
      <c r="M18" s="132"/>
      <c r="N18" s="131"/>
    </row>
    <row r="19" spans="2:14" ht="24" customHeight="1" x14ac:dyDescent="0.35">
      <c r="B19" s="136" t="s">
        <v>119</v>
      </c>
      <c r="C19" s="136" t="s">
        <v>362</v>
      </c>
      <c r="D19" s="135" t="s">
        <v>454</v>
      </c>
      <c r="E19" s="135" t="s">
        <v>453</v>
      </c>
      <c r="I19" s="132"/>
      <c r="K19" s="132"/>
      <c r="L19" s="134"/>
      <c r="M19" s="132"/>
      <c r="N19" s="131"/>
    </row>
    <row r="20" spans="2:14" ht="19.5" customHeight="1" x14ac:dyDescent="0.35">
      <c r="B20" s="128">
        <v>43647</v>
      </c>
      <c r="C20" s="127" t="s">
        <v>463</v>
      </c>
      <c r="D20" s="130">
        <v>30</v>
      </c>
      <c r="E20" s="133">
        <f>1</f>
        <v>1</v>
      </c>
      <c r="I20" s="132"/>
      <c r="K20" s="132"/>
      <c r="M20" s="132"/>
      <c r="N20" s="131"/>
    </row>
    <row r="21" spans="2:14" ht="19.5" customHeight="1" x14ac:dyDescent="0.35">
      <c r="B21" s="128">
        <v>43727</v>
      </c>
      <c r="C21" s="127" t="s">
        <v>464</v>
      </c>
      <c r="D21" s="130">
        <v>-25</v>
      </c>
      <c r="E21" s="133">
        <f>1</f>
        <v>1</v>
      </c>
      <c r="I21" s="132"/>
      <c r="K21" s="132"/>
      <c r="L21" s="134"/>
      <c r="M21" s="132"/>
      <c r="N21" s="131"/>
    </row>
    <row r="22" spans="2:14" ht="61.5" customHeight="1" x14ac:dyDescent="0.35">
      <c r="B22" s="128">
        <v>43767</v>
      </c>
      <c r="C22" s="143" t="s">
        <v>468</v>
      </c>
      <c r="D22" s="130">
        <v>5</v>
      </c>
      <c r="E22" s="133">
        <f>1</f>
        <v>1</v>
      </c>
      <c r="I22" s="132"/>
      <c r="K22" s="132"/>
      <c r="M22" s="132"/>
      <c r="N22" s="131"/>
    </row>
    <row r="23" spans="2:14" ht="19.5" customHeight="1" x14ac:dyDescent="0.35">
      <c r="B23" s="128">
        <v>43807</v>
      </c>
      <c r="C23" s="127" t="s">
        <v>458</v>
      </c>
      <c r="D23" s="130">
        <v>-15</v>
      </c>
      <c r="E23" s="133">
        <f>1</f>
        <v>1</v>
      </c>
      <c r="I23" s="132"/>
      <c r="K23" s="132"/>
      <c r="M23" s="132"/>
      <c r="N23" s="131"/>
    </row>
    <row r="24" spans="2:14" ht="19.5" customHeight="1" x14ac:dyDescent="0.35">
      <c r="B24" s="128">
        <v>43847</v>
      </c>
      <c r="C24" s="127" t="s">
        <v>459</v>
      </c>
      <c r="D24" s="130">
        <v>20</v>
      </c>
      <c r="E24" s="133">
        <f>1</f>
        <v>1</v>
      </c>
      <c r="I24" s="132"/>
      <c r="K24" s="132"/>
      <c r="M24" s="132"/>
      <c r="N24" s="131"/>
    </row>
    <row r="25" spans="2:14" ht="54" customHeight="1" x14ac:dyDescent="0.35">
      <c r="B25" s="128">
        <v>43907</v>
      </c>
      <c r="C25" s="143" t="s">
        <v>460</v>
      </c>
      <c r="D25" s="130">
        <v>-30</v>
      </c>
      <c r="E25" s="133">
        <f>1</f>
        <v>1</v>
      </c>
      <c r="I25" s="132"/>
      <c r="K25" s="132"/>
      <c r="M25" s="132"/>
      <c r="N25" s="131"/>
    </row>
    <row r="26" spans="2:14" ht="19.5" customHeight="1" x14ac:dyDescent="0.35">
      <c r="B26" s="128">
        <v>43922</v>
      </c>
      <c r="C26" s="127" t="s">
        <v>469</v>
      </c>
      <c r="D26" s="130">
        <v>10</v>
      </c>
      <c r="E26" s="127">
        <f>1</f>
        <v>1</v>
      </c>
      <c r="I26" s="132"/>
      <c r="K26" s="132"/>
      <c r="M26" s="132"/>
      <c r="N26" s="131"/>
    </row>
    <row r="27" spans="2:14" ht="19.5" customHeight="1" x14ac:dyDescent="0.15">
      <c r="B27" s="128">
        <v>43947</v>
      </c>
      <c r="C27" s="127" t="s">
        <v>461</v>
      </c>
      <c r="D27" s="130">
        <v>-15</v>
      </c>
      <c r="E27" s="133">
        <f>1</f>
        <v>1</v>
      </c>
    </row>
    <row r="28" spans="2:14" ht="19.5" customHeight="1" x14ac:dyDescent="0.15">
      <c r="B28" s="128">
        <v>43966</v>
      </c>
      <c r="C28" s="127" t="s">
        <v>462</v>
      </c>
      <c r="D28" s="130">
        <v>20</v>
      </c>
      <c r="E28" s="125">
        <f>1</f>
        <v>1</v>
      </c>
    </row>
    <row r="29" spans="2:14" ht="19.5" customHeight="1" x14ac:dyDescent="0.15">
      <c r="B29" s="128">
        <v>43995</v>
      </c>
      <c r="C29" s="127" t="s">
        <v>474</v>
      </c>
      <c r="D29" s="130">
        <v>-25</v>
      </c>
      <c r="E29" s="125">
        <f>1</f>
        <v>1</v>
      </c>
      <c r="H29" s="129"/>
    </row>
    <row r="30" spans="2:14" ht="19.5" customHeight="1" x14ac:dyDescent="0.15">
      <c r="B30" s="128">
        <v>44044</v>
      </c>
      <c r="C30" s="127" t="s">
        <v>467</v>
      </c>
      <c r="D30" s="130">
        <v>30</v>
      </c>
      <c r="E30" s="145">
        <f>1</f>
        <v>1</v>
      </c>
      <c r="H30" s="129"/>
    </row>
    <row r="31" spans="2:14" ht="89.25" customHeight="1" x14ac:dyDescent="0.15">
      <c r="B31" s="128">
        <v>44075</v>
      </c>
      <c r="C31" s="143" t="s">
        <v>478</v>
      </c>
      <c r="D31" s="130">
        <v>-25</v>
      </c>
      <c r="E31" s="125">
        <f>1</f>
        <v>1</v>
      </c>
    </row>
    <row r="32" spans="2:14" ht="19.5" customHeight="1" x14ac:dyDescent="0.15">
      <c r="B32" s="128">
        <v>44127</v>
      </c>
      <c r="C32" s="127" t="s">
        <v>465</v>
      </c>
      <c r="D32" s="126">
        <v>-10</v>
      </c>
      <c r="E32" s="125">
        <f>1</f>
        <v>1</v>
      </c>
    </row>
    <row r="33" spans="2:5" ht="73.5" customHeight="1" x14ac:dyDescent="0.15">
      <c r="B33" s="128">
        <v>44165</v>
      </c>
      <c r="C33" s="143" t="s">
        <v>479</v>
      </c>
      <c r="D33" s="126">
        <v>10</v>
      </c>
      <c r="E33" s="145">
        <f>1</f>
        <v>1</v>
      </c>
    </row>
    <row r="34" spans="2:5" ht="19.5" customHeight="1" x14ac:dyDescent="0.15">
      <c r="B34" s="128">
        <v>44196</v>
      </c>
      <c r="C34" s="127" t="s">
        <v>477</v>
      </c>
      <c r="D34" s="126">
        <v>-25</v>
      </c>
      <c r="E34" s="125">
        <f>1</f>
        <v>1</v>
      </c>
    </row>
    <row r="35" spans="2:5" ht="19.5" customHeight="1" x14ac:dyDescent="0.15">
      <c r="B35" s="128">
        <v>44226</v>
      </c>
      <c r="C35" s="127" t="s">
        <v>475</v>
      </c>
      <c r="D35" s="126">
        <v>30</v>
      </c>
      <c r="E35" s="145">
        <f>1</f>
        <v>1</v>
      </c>
    </row>
    <row r="36" spans="2:5" ht="19.5" customHeight="1" x14ac:dyDescent="0.15">
      <c r="B36" s="128" t="s">
        <v>470</v>
      </c>
      <c r="C36" s="127" t="s">
        <v>476</v>
      </c>
      <c r="D36" s="126">
        <v>-15</v>
      </c>
      <c r="E36" s="145">
        <f>1</f>
        <v>1</v>
      </c>
    </row>
    <row r="37" spans="2:5" ht="19.5" customHeight="1" x14ac:dyDescent="0.15">
      <c r="B37" s="128">
        <v>44285</v>
      </c>
      <c r="C37" s="127" t="s">
        <v>472</v>
      </c>
      <c r="D37" s="126">
        <v>5</v>
      </c>
      <c r="E37" s="145">
        <f>1</f>
        <v>1</v>
      </c>
    </row>
    <row r="38" spans="2:5" ht="19.5" customHeight="1" x14ac:dyDescent="0.15">
      <c r="B38" s="128">
        <v>44316</v>
      </c>
      <c r="C38" s="127" t="s">
        <v>473</v>
      </c>
      <c r="D38" s="126">
        <v>-25</v>
      </c>
      <c r="E38" s="145">
        <f>1</f>
        <v>1</v>
      </c>
    </row>
    <row r="39" spans="2:5" ht="19.5" customHeight="1" x14ac:dyDescent="0.15">
      <c r="B39" s="128">
        <v>44285</v>
      </c>
      <c r="C39" s="127" t="s">
        <v>471</v>
      </c>
      <c r="D39" s="126">
        <v>15</v>
      </c>
      <c r="E39" s="145">
        <f>1</f>
        <v>1</v>
      </c>
    </row>
    <row r="40" spans="2:5" ht="19.5" customHeight="1" x14ac:dyDescent="0.15">
      <c r="B40" s="128"/>
      <c r="C40" s="127"/>
      <c r="D40" s="144"/>
      <c r="E40" s="145">
        <f>1</f>
        <v>1</v>
      </c>
    </row>
    <row r="41" spans="2:5" ht="19.5" customHeight="1" x14ac:dyDescent="0.15">
      <c r="B41" s="128"/>
      <c r="C41" s="127"/>
      <c r="D41" s="144"/>
      <c r="E41" s="145">
        <f>1</f>
        <v>1</v>
      </c>
    </row>
    <row r="42" spans="2:5" ht="19.5" customHeight="1" x14ac:dyDescent="0.15">
      <c r="B42" s="128"/>
      <c r="C42" s="127"/>
      <c r="D42" s="144"/>
      <c r="E42" s="145">
        <f>1</f>
        <v>1</v>
      </c>
    </row>
  </sheetData>
  <phoneticPr fontId="34" type="noConversion"/>
  <pageMargins left="0.7" right="0.7" top="0.75" bottom="0.75" header="0.3" footer="0.3"/>
  <pageSetup scale="78" fitToHeight="0" orientation="landscape"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02C0DC3323C604EAE2E7FA4965E1370" ma:contentTypeVersion="0" ma:contentTypeDescription="Create a new document." ma:contentTypeScope="" ma:versionID="6ef2ceac325efc2abf9ab58aa80908ca">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69639A4A-ED56-479D-BBC2-24ACE46046AC}">
  <ds:schemaRefs/>
</ds:datastoreItem>
</file>

<file path=customXml/itemProps2.xml><?xml version="1.0" encoding="utf-8"?>
<ds:datastoreItem xmlns:ds="http://schemas.openxmlformats.org/officeDocument/2006/customXml" ds:itemID="{480F11A6-3660-43C1-99FE-060D2F124066}">
  <ds:schemaRefs/>
</ds:datastoreItem>
</file>

<file path=customXml/itemProps3.xml><?xml version="1.0" encoding="utf-8"?>
<ds:datastoreItem xmlns:ds="http://schemas.openxmlformats.org/officeDocument/2006/customXml" ds:itemID="{D28F5C45-C627-4FF7-8D08-18B70412A884}">
  <ds:schemaRefs>
    <ds:schemaRef ds:uri="http://schemas.openxmlformats.org/package/2006/metadata/core-properties"/>
    <ds:schemaRef ds:uri="http://purl.org/dc/terms/"/>
    <ds:schemaRef ds:uri="http://purl.org/dc/elements/1.1/"/>
    <ds:schemaRef ds:uri="http://www.w3.org/XML/1998/namespace"/>
    <ds:schemaRef ds:uri="http://schemas.microsoft.com/office/2006/documentManagement/types"/>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21</vt:i4>
      </vt:variant>
    </vt:vector>
  </HeadingPairs>
  <TitlesOfParts>
    <vt:vector size="30" baseType="lpstr">
      <vt:lpstr>framework</vt:lpstr>
      <vt:lpstr>opengl</vt:lpstr>
      <vt:lpstr>other</vt:lpstr>
      <vt:lpstr>newbrush SDK总任务表</vt:lpstr>
      <vt:lpstr>newbrush studio总任务表</vt:lpstr>
      <vt:lpstr>newbrush SDK详细任务跟进</vt:lpstr>
      <vt:lpstr>newbrush studio详细任务跟进</vt:lpstr>
      <vt:lpstr>倒车轨迹线线OpenGL方案</vt:lpstr>
      <vt:lpstr>项目时间表</vt:lpstr>
      <vt:lpstr>'newbrush studio总任务表'!Display_Week</vt:lpstr>
      <vt:lpstr>Display_Week</vt:lpstr>
      <vt:lpstr>'newbrush SDK详细任务跟进'!EOI</vt:lpstr>
      <vt:lpstr>'newbrush studio详细任务跟进'!EOI</vt:lpstr>
      <vt:lpstr>opengl!EOI</vt:lpstr>
      <vt:lpstr>other!EOI</vt:lpstr>
      <vt:lpstr>倒车轨迹线线OpenGL方案!EOI</vt:lpstr>
      <vt:lpstr>EOI</vt:lpstr>
      <vt:lpstr>项目时间表!Print_Area</vt:lpstr>
      <vt:lpstr>'newbrush SDK总任务表'!Print_Titles</vt:lpstr>
      <vt:lpstr>'newbrush studio总任务表'!Print_Titles</vt:lpstr>
      <vt:lpstr>'newbrush studio总任务表'!Project_Start</vt:lpstr>
      <vt:lpstr>Project_Start</vt:lpstr>
      <vt:lpstr>项目时间表!ProjectEnd</vt:lpstr>
      <vt:lpstr>项目时间表!ProjectStart</vt:lpstr>
      <vt:lpstr>'newbrush SDK总任务表'!task_end</vt:lpstr>
      <vt:lpstr>'newbrush studio总任务表'!task_end</vt:lpstr>
      <vt:lpstr>'newbrush SDK总任务表'!task_progress</vt:lpstr>
      <vt:lpstr>'newbrush studio总任务表'!task_progress</vt:lpstr>
      <vt:lpstr>'newbrush SDK总任务表'!task_start</vt:lpstr>
      <vt:lpstr>'newbrush studio总任务表'!task_start</vt:lpstr>
    </vt:vector>
  </TitlesOfParts>
  <Company>DESAY SV Automotive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 Dan</dc:creator>
  <cp:lastModifiedBy>windows10</cp:lastModifiedBy>
  <cp:lastPrinted>2015-01-15T10:30:00Z</cp:lastPrinted>
  <dcterms:created xsi:type="dcterms:W3CDTF">2014-11-14T05:24:00Z</dcterms:created>
  <dcterms:modified xsi:type="dcterms:W3CDTF">2020-07-13T03:54:03Z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0x010100D02C0DC3323C604EAE2E7FA4965E1370</vt:lpwstr>
  </property>
  <property fmtid="{D5CDD505-2E9C-101B-9397-08002B2CF9AE}" pid="3" name="KSOProductBuildVer">
    <vt:lpwstr>2052-11.1.0.9440</vt:lpwstr>
  </property>
</Properties>
</file>