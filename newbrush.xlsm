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dp3575\Desktop\"/>
    </mc:Choice>
  </mc:AlternateContent>
  <bookViews>
    <workbookView xWindow="0" yWindow="0" windowWidth="0" windowHeight="12240" firstSheet="6" activeTab="6"/>
  </bookViews>
  <sheets>
    <sheet name="newbrush SDK总任务表" sheetId="10" state="hidden" r:id="rId1"/>
    <sheet name="项目时间表" sheetId="16" state="hidden" r:id="rId2"/>
    <sheet name="newbrush studio总任务表" sheetId="15" state="hidden" r:id="rId3"/>
    <sheet name="framework" sheetId="5" state="hidden" r:id="rId4"/>
    <sheet name="opengl" sheetId="7" state="hidden" r:id="rId5"/>
    <sheet name="other" sheetId="9" state="hidden" r:id="rId6"/>
    <sheet name="newbrush SDK详细任务跟进" sheetId="8" r:id="rId7"/>
    <sheet name="newbrush studio详细任务跟进" sheetId="12" state="hidden" r:id="rId8"/>
    <sheet name="倒车轨迹线线OpenGL方案" sheetId="17" state="hidden" r:id="rId9"/>
    <sheet name="RadarACM" sheetId="19" r:id="rId10"/>
    <sheet name="福特CDX706" sheetId="20" r:id="rId11"/>
    <sheet name="防晕车实验软件" sheetId="21" r:id="rId12"/>
    <sheet name="模型换装" sheetId="22" r:id="rId13"/>
  </sheets>
  <externalReferences>
    <externalReference r:id="rId14"/>
  </externalReferences>
  <definedNames>
    <definedName name="_xlnm._FilterDatabase" localSheetId="3" hidden="1">framework!$A$3:$P$18</definedName>
    <definedName name="_xlnm._FilterDatabase" localSheetId="6" hidden="1">'newbrush SDK详细任务跟进'!$A$3:$P$30</definedName>
    <definedName name="_xlnm._FilterDatabase" localSheetId="7" hidden="1">'newbrush studio详细任务跟进'!$A$3:$P$30</definedName>
    <definedName name="_xlnm._FilterDatabase" localSheetId="4" hidden="1">opengl!$A$3:$P$14</definedName>
    <definedName name="_xlnm._FilterDatabase" localSheetId="5" hidden="1">other!$A$3:$P$15</definedName>
    <definedName name="_xlnm._FilterDatabase" localSheetId="9" hidden="1">RadarACM!$A$3:$P$13</definedName>
    <definedName name="_xlnm._FilterDatabase" localSheetId="8" hidden="1">倒车轨迹线线OpenGL方案!$A$3:$P$27</definedName>
    <definedName name="_xlnm._FilterDatabase" localSheetId="11" hidden="1">防晕车实验软件!$A$3:$P$13</definedName>
    <definedName name="_xlnm._FilterDatabase" localSheetId="10" hidden="1">福特CDX706!$A$3:$P$18</definedName>
    <definedName name="_xlnm._FilterDatabase" localSheetId="12" hidden="1">模型换装!$A$3:$P$12</definedName>
    <definedName name="ActualBeyond" localSheetId="7">'newbrush studio详细任务跟进'!PeriodInActual*(#REF!&gt;0)</definedName>
    <definedName name="ActualBeyond" localSheetId="2">'newbrush studio总任务表'!PeriodInActual*(#REF!&gt;0)</definedName>
    <definedName name="ActualBeyond" localSheetId="9">RadarACM!PeriodInActual*(#REF!&gt;0)</definedName>
    <definedName name="ActualBeyond" localSheetId="8">倒车轨迹线线OpenGL方案!PeriodInActual*(#REF!&gt;0)</definedName>
    <definedName name="ActualBeyond" localSheetId="11">防晕车实验软件!PeriodInActual*(#REF!&gt;0)</definedName>
    <definedName name="ActualBeyond" localSheetId="10">福特CDX706!PeriodInActual*(#REF!&gt;0)</definedName>
    <definedName name="ActualBeyond" localSheetId="12">模型换装!PeriodInActual*(#REF!&gt;0)</definedName>
    <definedName name="ActualBeyond">PeriodInActual*(#REF!&gt;0)</definedName>
    <definedName name="Display_Week" localSheetId="2">'newbrush studio总任务表'!$E$4</definedName>
    <definedName name="Display_Week">'newbrush SDK总任务表'!$E$4</definedName>
    <definedName name="EOI" localSheetId="6">'newbrush SDK详细任务跟进'!$A$89</definedName>
    <definedName name="EOI" localSheetId="7">'newbrush studio详细任务跟进'!$A$31</definedName>
    <definedName name="EOI" localSheetId="4">opengl!$A$15</definedName>
    <definedName name="EOI" localSheetId="5">other!$A$16</definedName>
    <definedName name="EOI" localSheetId="9">RadarACM!$A$14</definedName>
    <definedName name="EOI" localSheetId="8">倒车轨迹线线OpenGL方案!$A$28</definedName>
    <definedName name="EOI" localSheetId="11">防晕车实验软件!$A$14</definedName>
    <definedName name="EOI" localSheetId="10">福特CDX706!$A$22</definedName>
    <definedName name="EOI" localSheetId="12">模型换装!$A$13</definedName>
    <definedName name="EOI">framework!$A$22</definedName>
    <definedName name="EOS" localSheetId="0">#REF!</definedName>
    <definedName name="EOS" localSheetId="7">#REF!</definedName>
    <definedName name="EOS" localSheetId="2">#REF!</definedName>
    <definedName name="EOS" localSheetId="9">#REF!</definedName>
    <definedName name="EOS" localSheetId="8">#REF!</definedName>
    <definedName name="EOS" localSheetId="11">#REF!</definedName>
    <definedName name="EOS" localSheetId="10">#REF!</definedName>
    <definedName name="EOS" localSheetId="12">#REF!</definedName>
    <definedName name="EOS">#REF!</definedName>
    <definedName name="EOT" localSheetId="0">#REF!</definedName>
    <definedName name="EOT" localSheetId="7">#REF!</definedName>
    <definedName name="EOT" localSheetId="2">#REF!</definedName>
    <definedName name="EOT" localSheetId="9">#REF!</definedName>
    <definedName name="EOT" localSheetId="8">#REF!</definedName>
    <definedName name="EOT" localSheetId="11">#REF!</definedName>
    <definedName name="EOT" localSheetId="10">#REF!</definedName>
    <definedName name="EOT" localSheetId="12">#REF!</definedName>
    <definedName name="EOT">#REF!</definedName>
    <definedName name="PercentComplete" localSheetId="7">'newbrush studio详细任务跟进'!PercentCompleteBeyond*'newbrush studio详细任务跟进'!PeriodInPlan</definedName>
    <definedName name="PercentComplete" localSheetId="2">'newbrush studio总任务表'!PercentCompleteBeyond*'newbrush studio总任务表'!PeriodInPlan</definedName>
    <definedName name="PercentComplete" localSheetId="9">RadarACM!PercentCompleteBeyond*RadarACM!PeriodInPlan</definedName>
    <definedName name="PercentComplete" localSheetId="8">倒车轨迹线线OpenGL方案!PercentCompleteBeyond*倒车轨迹线线OpenGL方案!PeriodInPlan</definedName>
    <definedName name="PercentComplete" localSheetId="11">防晕车实验软件!PercentCompleteBeyond*防晕车实验软件!PeriodInPlan</definedName>
    <definedName name="PercentComplete" localSheetId="10">福特CDX706!PercentCompleteBeyond*福特CDX706!PeriodInPlan</definedName>
    <definedName name="PercentComplete" localSheetId="12">模型换装!PercentCompleteBeyond*模型换装!PeriodInPlan</definedName>
    <definedName name="PercentComplete">PercentCompleteBeyond*PeriodInPlan</definedName>
    <definedName name="PercentCompleteBeyond" localSheetId="7">(#REF!=MEDIAN(#REF!,#REF!,#REF!+#REF!)*(#REF!&gt;0))*((#REF!&lt;(INT(#REF!+#REF!*#REF!)))+(#REF!=#REF!))*(#REF!&gt;0)</definedName>
    <definedName name="PercentCompleteBeyond" localSheetId="2">(#REF!=MEDIAN(#REF!,#REF!,#REF!+#REF!)*(#REF!&gt;0))*((#REF!&lt;(INT(#REF!+#REF!*#REF!)))+(#REF!=#REF!))*(#REF!&gt;0)</definedName>
    <definedName name="PercentCompleteBeyond" localSheetId="9">(#REF!=MEDIAN(#REF!,#REF!,#REF!+#REF!)*(#REF!&gt;0))*((#REF!&lt;(INT(#REF!+#REF!*#REF!)))+(#REF!=#REF!))*(#REF!&gt;0)</definedName>
    <definedName name="PercentCompleteBeyond" localSheetId="8">(#REF!=MEDIAN(#REF!,#REF!,#REF!+#REF!)*(#REF!&gt;0))*((#REF!&lt;(INT(#REF!+#REF!*#REF!)))+(#REF!=#REF!))*(#REF!&gt;0)</definedName>
    <definedName name="PercentCompleteBeyond" localSheetId="11">(#REF!=MEDIAN(#REF!,#REF!,#REF!+#REF!)*(#REF!&gt;0))*((#REF!&lt;(INT(#REF!+#REF!*#REF!)))+(#REF!=#REF!))*(#REF!&gt;0)</definedName>
    <definedName name="PercentCompleteBeyond" localSheetId="10">(#REF!=MEDIAN(#REF!,#REF!,#REF!+#REF!)*(#REF!&gt;0))*((#REF!&lt;(INT(#REF!+#REF!*#REF!)))+(#REF!=#REF!))*(#REF!&gt;0)</definedName>
    <definedName name="PercentCompleteBeyond" localSheetId="12">(#REF!=MEDIAN(#REF!,#REF!,#REF!+#REF!)*(#REF!&gt;0))*((#REF!&lt;(INT(#REF!+#REF!*#REF!)))+(#REF!=#REF!))*(#REF!&gt;0)</definedName>
    <definedName name="PercentCompleteBeyond">(#REF!=MEDIAN(#REF!,#REF!,#REF!+#REF!)*(#REF!&gt;0))*((#REF!&lt;(INT(#REF!+#REF!*#REF!)))+(#REF!=#REF!))*(#REF!&gt;0)</definedName>
    <definedName name="period_selected" localSheetId="7">#REF!</definedName>
    <definedName name="period_selected" localSheetId="2">#REF!</definedName>
    <definedName name="period_selected" localSheetId="9">#REF!</definedName>
    <definedName name="period_selected" localSheetId="8">#REF!</definedName>
    <definedName name="period_selected" localSheetId="11">#REF!</definedName>
    <definedName name="period_selected" localSheetId="10">#REF!</definedName>
    <definedName name="period_selected" localSheetId="12">#REF!</definedName>
    <definedName name="period_selected">#REF!</definedName>
    <definedName name="PeriodInActual" localSheetId="7">#REF!=MEDIAN(#REF!,#REF!,#REF!+#REF!-1)</definedName>
    <definedName name="PeriodInActual" localSheetId="2">#REF!=MEDIAN(#REF!,#REF!,#REF!+#REF!-1)</definedName>
    <definedName name="PeriodInActual" localSheetId="9">#REF!=MEDIAN(#REF!,#REF!,#REF!+#REF!-1)</definedName>
    <definedName name="PeriodInActual" localSheetId="8">#REF!=MEDIAN(#REF!,#REF!,#REF!+#REF!-1)</definedName>
    <definedName name="PeriodInActual" localSheetId="11">#REF!=MEDIAN(#REF!,#REF!,#REF!+#REF!-1)</definedName>
    <definedName name="PeriodInActual" localSheetId="10">#REF!=MEDIAN(#REF!,#REF!,#REF!+#REF!-1)</definedName>
    <definedName name="PeriodInActual" localSheetId="12">#REF!=MEDIAN(#REF!,#REF!,#REF!+#REF!-1)</definedName>
    <definedName name="PeriodInActual">#REF!=MEDIAN(#REF!,#REF!,#REF!+#REF!-1)</definedName>
    <definedName name="PeriodInPlan" localSheetId="7">#REF!=MEDIAN(#REF!,#REF!,#REF!+#REF!-1)</definedName>
    <definedName name="PeriodInPlan" localSheetId="2">#REF!=MEDIAN(#REF!,#REF!,#REF!+#REF!-1)</definedName>
    <definedName name="PeriodInPlan" localSheetId="9">#REF!=MEDIAN(#REF!,#REF!,#REF!+#REF!-1)</definedName>
    <definedName name="PeriodInPlan" localSheetId="8">#REF!=MEDIAN(#REF!,#REF!,#REF!+#REF!-1)</definedName>
    <definedName name="PeriodInPlan" localSheetId="11">#REF!=MEDIAN(#REF!,#REF!,#REF!+#REF!-1)</definedName>
    <definedName name="PeriodInPlan" localSheetId="10">#REF!=MEDIAN(#REF!,#REF!,#REF!+#REF!-1)</definedName>
    <definedName name="PeriodInPlan" localSheetId="12">#REF!=MEDIAN(#REF!,#REF!,#REF!+#REF!-1)</definedName>
    <definedName name="PeriodInPlan">#REF!=MEDIAN(#REF!,#REF!,#REF!+#REF!-1)</definedName>
    <definedName name="_xlnm.Print_Area" localSheetId="1">项目时间表!$A$1:$N$17</definedName>
    <definedName name="_xlnm.Print_Titles" localSheetId="0">'newbrush SDK总任务表'!$4:$6</definedName>
    <definedName name="_xlnm.Print_Titles" localSheetId="2">'newbrush studio总任务表'!$4:$6</definedName>
    <definedName name="Project_Start" localSheetId="2">'newbrush studio总任务表'!$E$3</definedName>
    <definedName name="Project_Start">'newbrush SDK总任务表'!$E$3</definedName>
    <definedName name="ProjectEnd" localSheetId="9">#REF!</definedName>
    <definedName name="ProjectEnd" localSheetId="8">#REF!</definedName>
    <definedName name="ProjectEnd" localSheetId="11">#REF!</definedName>
    <definedName name="ProjectEnd" localSheetId="10">#REF!</definedName>
    <definedName name="ProjectEnd" localSheetId="12">#REF!</definedName>
    <definedName name="ProjectEnd" localSheetId="1">项目时间表!$L$21</definedName>
    <definedName name="ProjectEnd">#REF!</definedName>
    <definedName name="ProjectStart" localSheetId="9">#REF!</definedName>
    <definedName name="ProjectStart" localSheetId="8">#REF!</definedName>
    <definedName name="ProjectStart" localSheetId="11">#REF!</definedName>
    <definedName name="ProjectStart" localSheetId="10">#REF!</definedName>
    <definedName name="ProjectStart" localSheetId="12">#REF!</definedName>
    <definedName name="ProjectStart" localSheetId="1">项目时间表!$L$19</definedName>
    <definedName name="ProjectStart">#REF!</definedName>
    <definedName name="task_end" localSheetId="0">'newbrush SDK总任务表'!$F1</definedName>
    <definedName name="task_end" localSheetId="2">'newbrush studio总任务表'!$F1</definedName>
    <definedName name="task_progress" localSheetId="0">'newbrush SDK总任务表'!$D1</definedName>
    <definedName name="task_progress" localSheetId="2">'newbrush studio总任务表'!$D1</definedName>
    <definedName name="task_start" localSheetId="0">'newbrush SDK总任务表'!$E1</definedName>
    <definedName name="task_start" localSheetId="2">'newbrush studio总任务表'!$E1</definedName>
    <definedName name="TitleRegion..BO60" localSheetId="7">#REF!</definedName>
    <definedName name="TitleRegion..BO60" localSheetId="2">#REF!</definedName>
    <definedName name="TitleRegion..BO60" localSheetId="9">#REF!</definedName>
    <definedName name="TitleRegion..BO60" localSheetId="8">#REF!</definedName>
    <definedName name="TitleRegion..BO60" localSheetId="11">#REF!</definedName>
    <definedName name="TitleRegion..BO60" localSheetId="10">#REF!</definedName>
    <definedName name="TitleRegion..BO60" localSheetId="12">#REF!</definedName>
    <definedName name="TitleRegion..BO60">#REF!</definedName>
    <definedName name="计划" localSheetId="7">'newbrush studio详细任务跟进'!PeriodInPlan*(#REF!&gt;0)</definedName>
    <definedName name="计划" localSheetId="2">'newbrush studio总任务表'!PeriodInPlan*(#REF!&gt;0)</definedName>
    <definedName name="计划" localSheetId="9">RadarACM!PeriodInPlan*(#REF!&gt;0)</definedName>
    <definedName name="计划" localSheetId="8">倒车轨迹线线OpenGL方案!PeriodInPlan*(#REF!&gt;0)</definedName>
    <definedName name="计划" localSheetId="11">防晕车实验软件!PeriodInPlan*(#REF!&gt;0)</definedName>
    <definedName name="计划" localSheetId="10">福特CDX706!PeriodInPlan*(#REF!&gt;0)</definedName>
    <definedName name="计划" localSheetId="12">模型换装!PeriodInPlan*(#REF!&gt;0)</definedName>
    <definedName name="计划">PeriodInPlan*(#REF!&gt;0)</definedName>
    <definedName name="今天" localSheetId="0">TODAY()</definedName>
    <definedName name="今天" localSheetId="2">TODAY()</definedName>
    <definedName name="实际值" localSheetId="7">('newbrush studio详细任务跟进'!PeriodInActual*(#REF!&gt;0))*'newbrush studio详细任务跟进'!PeriodInPlan</definedName>
    <definedName name="实际值" localSheetId="2">('newbrush studio总任务表'!PeriodInActual*(#REF!&gt;0))*'newbrush studio总任务表'!PeriodInPlan</definedName>
    <definedName name="实际值" localSheetId="9">(RadarACM!PeriodInActual*(#REF!&gt;0))*RadarACM!PeriodInPlan</definedName>
    <definedName name="实际值" localSheetId="8">(倒车轨迹线线OpenGL方案!PeriodInActual*(#REF!&gt;0))*倒车轨迹线线OpenGL方案!PeriodInPlan</definedName>
    <definedName name="实际值" localSheetId="11">(防晕车实验软件!PeriodInActual*(#REF!&gt;0))*防晕车实验软件!PeriodInPlan</definedName>
    <definedName name="实际值" localSheetId="10">(福特CDX706!PeriodInActual*(#REF!&gt;0))*福特CDX706!PeriodInPlan</definedName>
    <definedName name="实际值" localSheetId="12">(模型换装!PeriodInActual*(#REF!&gt;0))*模型换装!PeriodInPlan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12" i="22" l="1"/>
  <c r="K12" i="22"/>
  <c r="O11" i="22"/>
  <c r="K11" i="22"/>
  <c r="O4" i="22"/>
  <c r="C2" i="22"/>
  <c r="J12" i="22" s="1"/>
  <c r="N12" i="22" l="1"/>
  <c r="M12" i="22"/>
  <c r="L12" i="22"/>
  <c r="K4" i="22"/>
  <c r="J4" i="22" s="1"/>
  <c r="J11" i="22"/>
  <c r="O13" i="21"/>
  <c r="K13" i="21"/>
  <c r="O12" i="21"/>
  <c r="K12" i="21"/>
  <c r="O5" i="21"/>
  <c r="C2" i="21"/>
  <c r="N4" i="22" l="1"/>
  <c r="M4" i="22"/>
  <c r="L4" i="22"/>
  <c r="M11" i="22"/>
  <c r="L11" i="22"/>
  <c r="N11" i="22"/>
  <c r="K5" i="21"/>
  <c r="J5" i="21" s="1"/>
  <c r="J4" i="21"/>
  <c r="J12" i="21"/>
  <c r="K4" i="21"/>
  <c r="O4" i="21"/>
  <c r="J13" i="21"/>
  <c r="C2" i="20"/>
  <c r="N5" i="21" l="1"/>
  <c r="M5" i="21"/>
  <c r="L5" i="21"/>
  <c r="N13" i="21"/>
  <c r="M13" i="21"/>
  <c r="L13" i="21"/>
  <c r="M12" i="21"/>
  <c r="L12" i="21"/>
  <c r="N12" i="21"/>
  <c r="L4" i="21"/>
  <c r="M4" i="21"/>
  <c r="N4" i="21"/>
  <c r="K4" i="20"/>
  <c r="O4" i="20"/>
  <c r="O13" i="19"/>
  <c r="K13" i="19"/>
  <c r="O12" i="19"/>
  <c r="K12" i="19"/>
  <c r="C2" i="19"/>
  <c r="K6" i="19" l="1"/>
  <c r="J7" i="19"/>
  <c r="J4" i="20"/>
  <c r="N4" i="20" s="1"/>
  <c r="K5" i="19"/>
  <c r="J5" i="19" s="1"/>
  <c r="K4" i="19"/>
  <c r="J4" i="19"/>
  <c r="M4" i="19" s="1"/>
  <c r="O4" i="19"/>
  <c r="J12" i="19"/>
  <c r="M12" i="19" s="1"/>
  <c r="O6" i="19"/>
  <c r="J6" i="19" s="1"/>
  <c r="M6" i="19" s="1"/>
  <c r="J13" i="19"/>
  <c r="O5" i="19"/>
  <c r="O21" i="5"/>
  <c r="K21" i="5"/>
  <c r="K20" i="5"/>
  <c r="O19" i="5"/>
  <c r="K19" i="5"/>
  <c r="L4" i="20" l="1"/>
  <c r="M4" i="20"/>
  <c r="L12" i="19"/>
  <c r="L6" i="19"/>
  <c r="N6" i="19"/>
  <c r="N12" i="19"/>
  <c r="N4" i="19"/>
  <c r="N5" i="19"/>
  <c r="L5" i="19"/>
  <c r="M5" i="19"/>
  <c r="L4" i="19"/>
  <c r="N13" i="19"/>
  <c r="L13" i="19"/>
  <c r="M13" i="19"/>
  <c r="K35" i="8"/>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7" i="17" l="1"/>
  <c r="J8" i="17"/>
  <c r="J19" i="17"/>
  <c r="L19" i="17" s="1"/>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19" i="17" l="1"/>
  <c r="M19" i="17"/>
  <c r="N4" i="17"/>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J87"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K18" i="5"/>
  <c r="K17" i="5"/>
  <c r="K16" i="5"/>
  <c r="K15" i="5"/>
  <c r="K14" i="5"/>
  <c r="C2" i="5"/>
  <c r="J85" i="8" l="1"/>
  <c r="J86" i="8"/>
  <c r="J83" i="8"/>
  <c r="J84" i="8"/>
  <c r="J81" i="8"/>
  <c r="J82" i="8"/>
  <c r="J79" i="8"/>
  <c r="J80" i="8"/>
  <c r="J77" i="8"/>
  <c r="J78" i="8"/>
  <c r="J75" i="8"/>
  <c r="J76" i="8"/>
  <c r="J73" i="8"/>
  <c r="J74" i="8"/>
  <c r="J62" i="8"/>
  <c r="J64" i="8"/>
  <c r="J65" i="8"/>
  <c r="J66" i="8"/>
  <c r="J63" i="8"/>
  <c r="J71" i="8"/>
  <c r="J72" i="8"/>
  <c r="J69" i="8"/>
  <c r="J70" i="8"/>
  <c r="J67" i="8"/>
  <c r="J68" i="8"/>
  <c r="J53" i="8"/>
  <c r="O18" i="5"/>
  <c r="O20" i="5"/>
  <c r="J55" i="8"/>
  <c r="J61" i="8"/>
  <c r="J59" i="8"/>
  <c r="J60" i="8"/>
  <c r="J57" i="8"/>
  <c r="J58" i="8"/>
  <c r="J50" i="8"/>
  <c r="J54" i="8"/>
  <c r="J51" i="8"/>
  <c r="J52" i="8"/>
  <c r="J56" i="8"/>
  <c r="J46" i="8"/>
  <c r="J47" i="8"/>
  <c r="J48" i="8"/>
  <c r="J49" i="8"/>
  <c r="J43" i="8"/>
  <c r="J45" i="8"/>
  <c r="J40" i="8"/>
  <c r="J42" i="8"/>
  <c r="J41" i="8"/>
  <c r="J44" i="8"/>
  <c r="J38" i="8"/>
  <c r="J39" i="8"/>
  <c r="J36" i="8"/>
  <c r="J37" i="8"/>
  <c r="J20" i="5"/>
  <c r="N20" i="5" s="1"/>
  <c r="J21" i="5"/>
  <c r="O17" i="5"/>
  <c r="J19" i="5"/>
  <c r="O35" i="8"/>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L20" i="5" l="1"/>
  <c r="M20" i="5"/>
  <c r="N21" i="5"/>
  <c r="M21" i="5"/>
  <c r="L21" i="5"/>
  <c r="N19" i="5"/>
  <c r="L19" i="5"/>
  <c r="M19" i="5"/>
  <c r="M35" i="8"/>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7.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8.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9.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10.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<sst xmlns="http://schemas.openxmlformats.org/spreadsheetml/2006/main" count="1363" uniqueCount="686">
  <si>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</si>
  <si>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</si>
  <si>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</si>
  <si>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</si>
  <si>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</si>
  <si>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</si>
  <si>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</si>
  <si>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</si>
  <si>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</si>
  <si>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</si>
  <si>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</si>
  <si>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</si>
  <si>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</si>
  <si>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</si>
  <si>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</si>
  <si>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</si>
  <si>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</si>
  <si>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</si>
  <si>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</si>
  <si>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</si>
  <si>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</si>
  <si>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</si>
  <si>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</si>
  <si>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</si>
  <si>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</si>
  <si>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</si>
  <si>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</si>
  <si>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</si>
  <si>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</si>
  <si>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</si>
  <si>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</si>
  <si>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</si>
  <si>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</si>
  <si>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</si>
  <si>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</si>
  <si>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</si>
  <si>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</si>
  <si>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</si>
  <si>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</si>
  <si>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</si>
  <si>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</si>
  <si>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</si>
  <si>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</si>
  <si>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</si>
  <si>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</si>
  <si>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</si>
  <si>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</si>
  <si>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</si>
  <si>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</si>
  <si>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</si>
  <si>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</si>
  <si>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</si>
  <si>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</si>
  <si>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</si>
  <si>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</si>
  <si>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</si>
  <si>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</si>
  <si>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</si>
  <si>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</si>
  <si>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</si>
  <si>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</si>
  <si>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</si>
  <si>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</si>
  <si>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</si>
  <si>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</si>
  <si>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</si>
  <si>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</si>
  <si>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</si>
  <si>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</si>
  <si>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</si>
  <si>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</si>
  <si>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</si>
  <si>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</si>
  <si>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</si>
  <si>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</si>
  <si>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</si>
  <si>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</si>
  <si>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</si>
  <si>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</si>
  <si>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</si>
  <si>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</si>
  <si>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</si>
  <si>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</si>
  <si>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</si>
  <si>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</si>
  <si>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</si>
  <si>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</si>
  <si>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</si>
  <si>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</si>
  <si>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</si>
  <si>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</si>
  <si>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</si>
  <si>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</si>
  <si>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</si>
  <si>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</si>
  <si>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</si>
  <si>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</si>
  <si>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</si>
  <si>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</si>
  <si>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</si>
  <si>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</si>
  <si>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</si>
  <si>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</si>
  <si>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</si>
  <si>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</si>
  <si>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</si>
  <si>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</si>
  <si>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</si>
  <si>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</si>
  <si>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</si>
  <si>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</si>
  <si>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</si>
  <si>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</si>
  <si>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</si>
  <si>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</si>
  <si>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</si>
  <si>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</si>
  <si>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</si>
  <si>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</si>
  <si>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</si>
  <si>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</si>
  <si>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</si>
  <si>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</si>
  <si>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</si>
  <si>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</si>
  <si>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</si>
  <si>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</si>
  <si>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</si>
  <si>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</si>
  <si>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</si>
  <si>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</si>
  <si>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</si>
  <si>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</si>
  <si>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</si>
  <si>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</si>
  <si>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</si>
  <si>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</si>
  <si>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</si>
  <si>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</si>
  <si>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</si>
  <si>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</si>
  <si>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</si>
  <si>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</si>
  <si>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</si>
  <si>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</si>
  <si>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</si>
  <si>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</si>
  <si>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</si>
  <si>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</si>
  <si>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</si>
  <si>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</si>
  <si>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</si>
  <si>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</si>
  <si>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</si>
  <si>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</si>
  <si>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</si>
  <si>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</si>
  <si>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</si>
  <si>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</si>
  <si>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</si>
  <si>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</si>
  <si>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</si>
  <si>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</si>
  <si>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</si>
  <si>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</si>
  <si>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</si>
  <si>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</si>
  <si>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</si>
  <si>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</si>
  <si>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</si>
  <si>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</si>
  <si>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</si>
  <si>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</si>
  <si>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</si>
  <si>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</si>
  <si>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</si>
  <si>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</si>
  <si>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</si>
  <si>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</si>
  <si>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</si>
  <si>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</si>
  <si>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</si>
  <si>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</si>
  <si>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</si>
  <si>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</si>
  <si>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</si>
  <si>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</si>
  <si>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</si>
  <si>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</si>
  <si>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</si>
  <si>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</si>
  <si>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</si>
  <si>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</si>
  <si>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</si>
  <si>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</si>
  <si>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</si>
  <si>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</si>
  <si>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</si>
  <si>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</si>
  <si>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</si>
  <si>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</si>
  <si>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</si>
  <si>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</si>
  <si>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</si>
  <si>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</si>
  <si>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</si>
  <si>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</si>
  <si>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</si>
  <si>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</si>
  <si>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</si>
  <si>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</si>
  <si>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</si>
  <si>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</si>
  <si>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</si>
  <si>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</si>
  <si>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</si>
  <si>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</si>
  <si>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</si>
  <si>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</si>
  <si>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</si>
  <si>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</si>
  <si>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</si>
  <si>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</si>
  <si>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</si>
  <si>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</si>
  <si>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</si>
  <si>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</si>
  <si>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</si>
  <si>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</si>
  <si>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</si>
  <si>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</si>
  <si>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</si>
  <si>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</si>
  <si>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</si>
  <si>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</si>
  <si>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</si>
  <si>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</si>
  <si>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</si>
  <si>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</si>
  <si>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</si>
  <si>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</si>
  <si>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</si>
  <si>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</si>
  <si>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</si>
  <si>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</si>
  <si>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</si>
  <si>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</si>
  <si>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</si>
  <si>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</si>
  <si>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</si>
  <si>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</si>
  <si>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</si>
  <si>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</si>
  <si>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</si>
  <si>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</si>
  <si>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</si>
  <si>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</si>
  <si>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</si>
  <si>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</si>
  <si>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</si>
  <si>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</si>
  <si>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</si>
  <si>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</si>
  <si>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</si>
  <si>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</si>
  <si>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</si>
  <si>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</si>
  <si>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</si>
  <si>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</si>
  <si>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</si>
  <si>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</si>
  <si>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</si>
  <si>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</si>
  <si>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</si>
  <si>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</si>
  <si>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</si>
  <si>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</si>
  <si>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</si>
  <si>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</si>
  <si>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</si>
  <si>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</si>
  <si>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</si>
  <si>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</si>
  <si>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</si>
  <si>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</si>
  <si>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</si>
  <si>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</si>
  <si>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</si>
  <si>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</si>
  <si>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</si>
  <si>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</si>
  <si>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</si>
  <si>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</si>
  <si>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</si>
  <si>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</si>
  <si>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</si>
  <si>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</si>
  <si>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</si>
  <si>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</si>
  <si>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</si>
  <si>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</si>
  <si>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</si>
  <si>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</si>
  <si>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</si>
  <si>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</si>
  <si>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</si>
  <si>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</si>
  <si>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</si>
  <si>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</si>
  <si>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</si>
  <si>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</si>
  <si>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</si>
  <si>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</si>
  <si>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</si>
  <si>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</si>
  <si>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</si>
  <si>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</si>
  <si>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</si>
  <si>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</si>
  <si>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</si>
  <si>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</si>
  <si>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</si>
  <si>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</si>
  <si>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</si>
  <si>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</si>
  <si>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</si>
  <si>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</si>
  <si>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</si>
  <si>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</si>
  <si>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</si>
  <si>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</si>
  <si>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</si>
  <si>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</si>
  <si>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</si>
  <si>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</si>
  <si>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</si>
  <si>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</si>
  <si>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</si>
  <si>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</si>
  <si>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</si>
  <si>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</si>
  <si>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</si>
  <si>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</si>
  <si>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</si>
  <si>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</si>
  <si>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</si>
  <si>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</si>
  <si>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</si>
  <si>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</si>
  <si>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</si>
  <si>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</si>
  <si>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</si>
  <si>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</si>
  <si>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</si>
  <si>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</si>
  <si>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</si>
  <si>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</si>
  <si>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</si>
  <si>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</si>
  <si>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</si>
  <si>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</si>
  <si>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</si>
  <si>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</si>
  <si>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</si>
  <si>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</si>
  <si>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</si>
  <si>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</si>
  <si>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</si>
  <si>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</si>
  <si>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</si>
  <si>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</si>
  <si>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</si>
  <si>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</si>
  <si>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</si>
  <si>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</si>
  <si>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</si>
  <si>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</si>
  <si>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</si>
  <si>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</si>
  <si>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</si>
  <si>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</si>
  <si>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</si>
  <si>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</si>
  <si>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</si>
  <si>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</si>
  <si>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</si>
  <si>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</si>
  <si>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</si>
  <si>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</si>
  <si>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</si>
  <si>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</si>
  <si>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</si>
  <si>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</si>
  <si>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</si>
  <si>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</si>
  <si>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</si>
  <si>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</si>
  <si>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</si>
  <si>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</si>
  <si>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</si>
  <si>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</si>
  <si>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</si>
  <si>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</si>
  <si>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</si>
  <si>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</si>
  <si>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</si>
  <si>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</si>
  <si>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</si>
  <si>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</si>
  <si>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</si>
  <si>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</si>
  <si>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</si>
  <si>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</si>
  <si>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</si>
  <si>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</si>
  <si>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</si>
  <si>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</si>
  <si>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</si>
  <si>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</si>
  <si>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</si>
  <si>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</si>
  <si>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</si>
  <si>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</si>
  <si>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</si>
  <si>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</si>
  <si>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</si>
  <si>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</si>
  <si>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</si>
  <si>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</si>
  <si>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</si>
  <si>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</si>
  <si>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</si>
  <si>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</si>
  <si>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</si>
  <si>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</si>
  <si>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</si>
  <si>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</si>
  <si>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</si>
  <si>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</si>
  <si>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</si>
  <si>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</si>
  <si>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</si>
  <si>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</si>
  <si>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</si>
  <si>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</si>
  <si>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</si>
  <si>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</si>
  <si>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</si>
  <si>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</si>
  <si>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</si>
  <si>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</si>
  <si>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</si>
  <si>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</si>
  <si>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</si>
  <si>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</si>
  <si>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</si>
  <si>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</si>
  <si>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</si>
  <si>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</si>
  <si>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</si>
  <si>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</si>
  <si>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</si>
  <si>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</si>
  <si>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</si>
  <si>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</si>
  <si>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</si>
  <si>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</si>
  <si>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</si>
  <si>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</si>
  <si>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</si>
  <si>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</si>
  <si>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</si>
  <si>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</si>
  <si>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</si>
  <si>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</si>
  <si>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</si>
  <si>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</si>
  <si>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</si>
  <si>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</si>
  <si>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</si>
  <si>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</si>
  <si>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</si>
  <si>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</si>
  <si>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</si>
  <si>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</si>
  <si>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</si>
  <si>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</si>
  <si>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</si>
  <si>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</si>
  <si>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</si>
  <si>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</si>
  <si>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</si>
  <si>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</si>
  <si>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</si>
  <si>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</si>
  <si>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</si>
  <si>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</si>
  <si>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</si>
  <si>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</si>
  <si>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</si>
  <si>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</si>
  <si>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</si>
  <si>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</si>
  <si>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</si>
  <si>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</si>
  <si>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</si>
  <si>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</si>
  <si>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</si>
  <si>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</si>
  <si>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</si>
  <si>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</si>
  <si>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</si>
  <si>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</si>
  <si>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</si>
  <si>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</si>
  <si>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t>3D模型代码整合入NB框架中</t>
    <phoneticPr fontId="34" type="noConversion"/>
  </si>
  <si>
    <t>模型 cubmap天空盒材质</t>
    <phoneticPr fontId="34" type="noConversion"/>
  </si>
  <si>
    <t>Su Zhifei</t>
    <phoneticPr fontId="34" type="noConversion"/>
  </si>
  <si>
    <t>找CM新建Newbrush数据库</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</si>
  <si>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2020-7-27：已完善，关闭
</t>
    </r>
    <phoneticPr fontId="34" type="noConversion"/>
  </si>
  <si>
    <r>
      <t>2020-7-20</t>
    </r>
    <r>
      <rPr>
        <sz val="10"/>
        <rFont val="宋体"/>
        <family val="3"/>
        <charset val="134"/>
      </rPr>
      <t xml:space="preserve">：本周
</t>
    </r>
    <r>
      <rPr>
        <sz val="10"/>
        <rFont val="Arial"/>
        <family val="2"/>
      </rPr>
      <t>2020-7-27</t>
    </r>
    <r>
      <rPr>
        <sz val="10"/>
        <rFont val="宋体"/>
        <family val="3"/>
        <charset val="134"/>
      </rPr>
      <t>：已经建立</t>
    </r>
    <phoneticPr fontId="34" type="noConversion"/>
  </si>
  <si>
    <r>
      <t>2020-7-20</t>
    </r>
    <r>
      <rPr>
        <sz val="10"/>
        <rFont val="宋体"/>
        <family val="3"/>
        <charset val="134"/>
      </rPr>
      <t xml:space="preserve">：今天给计划，本周先解决中心点等问题，下周开始
</t>
    </r>
    <r>
      <rPr>
        <sz val="10"/>
        <rFont val="Arial"/>
        <family val="2"/>
      </rPr>
      <t>2020-7-27</t>
    </r>
    <r>
      <rPr>
        <sz val="10"/>
        <rFont val="宋体"/>
        <family val="3"/>
        <charset val="134"/>
      </rPr>
      <t xml:space="preserve">：尽可能本周初步调试完成
</t>
    </r>
    <r>
      <rPr>
        <sz val="10"/>
        <rFont val="Arial"/>
        <family val="2"/>
      </rPr>
      <t>2020-8-3</t>
    </r>
    <r>
      <rPr>
        <sz val="10"/>
        <rFont val="宋体"/>
        <family val="3"/>
        <charset val="134"/>
      </rPr>
      <t>：完成</t>
    </r>
    <phoneticPr fontId="34" type="noConversion"/>
  </si>
  <si>
    <r>
      <t>2020-8-3</t>
    </r>
    <r>
      <rPr>
        <sz val="10"/>
        <rFont val="宋体"/>
        <family val="3"/>
        <charset val="134"/>
      </rPr>
      <t>：先思考怎么做，大概做成什么样。本周给出计划</t>
    </r>
    <phoneticPr fontId="34" type="noConversion"/>
  </si>
  <si>
    <t>kanzi2.8.13升级</t>
  </si>
  <si>
    <t>2019-11-18：正在进行
2019-12-2：升级到2.8.13，但是项目概率挂死。</t>
    <phoneticPr fontId="34" type="noConversion"/>
  </si>
  <si>
    <r>
      <rPr>
        <sz val="11"/>
        <color theme="1"/>
        <rFont val="宋体"/>
        <family val="3"/>
        <charset val="134"/>
      </rPr>
      <t>数据驱动替换掉</t>
    </r>
    <r>
      <rPr>
        <sz val="11"/>
        <color theme="1"/>
        <rFont val="Arial"/>
        <family val="2"/>
      </rPr>
      <t>SOMEIP</t>
    </r>
    <r>
      <rPr>
        <sz val="11"/>
        <color theme="1"/>
        <rFont val="宋体"/>
        <family val="3"/>
        <charset val="134"/>
      </rPr>
      <t>方案</t>
    </r>
    <phoneticPr fontId="34" type="noConversion"/>
  </si>
  <si>
    <t>模型demo问题解决：cubemap效果调整，倒影贴图，座位渲染不完整问题，
放大缩小按钮</t>
    <phoneticPr fontId="34" type="noConversion"/>
  </si>
  <si>
    <r>
      <t>2020-8-10</t>
    </r>
    <r>
      <rPr>
        <sz val="10"/>
        <rFont val="宋体"/>
        <family val="3"/>
        <charset val="134"/>
      </rPr>
      <t>：正在调试基于</t>
    </r>
    <r>
      <rPr>
        <sz val="10"/>
        <rFont val="Arial"/>
        <family val="2"/>
      </rPr>
      <t>Poco::Net</t>
    </r>
    <r>
      <rPr>
        <sz val="10"/>
        <rFont val="宋体"/>
        <family val="3"/>
        <charset val="134"/>
      </rPr>
      <t xml:space="preserve">的方案
</t>
    </r>
    <r>
      <rPr>
        <sz val="10"/>
        <rFont val="Arial"/>
        <family val="2"/>
      </rPr>
      <t>2020-8-19</t>
    </r>
    <r>
      <rPr>
        <sz val="10"/>
        <rFont val="宋体"/>
        <family val="3"/>
        <charset val="134"/>
      </rPr>
      <t xml:space="preserve">：已经给到项目做各方面测试
</t>
    </r>
    <r>
      <rPr>
        <sz val="10"/>
        <rFont val="Arial"/>
        <family val="2"/>
      </rPr>
      <t>2020-8-24</t>
    </r>
    <r>
      <rPr>
        <sz val="10"/>
        <rFont val="宋体"/>
        <family val="3"/>
        <charset val="134"/>
      </rPr>
      <t>：项目已经经过压力测试，并集成到了</t>
    </r>
    <r>
      <rPr>
        <sz val="10"/>
        <rFont val="Arial"/>
        <family val="2"/>
      </rPr>
      <t>T1D</t>
    </r>
    <r>
      <rPr>
        <sz val="10"/>
        <rFont val="宋体"/>
        <family val="3"/>
        <charset val="134"/>
      </rPr>
      <t>项目，应该没有问题了。</t>
    </r>
    <phoneticPr fontId="34" type="noConversion"/>
  </si>
  <si>
    <r>
      <t>2020-7-13</t>
    </r>
    <r>
      <rPr>
        <sz val="10"/>
        <rFont val="宋体"/>
        <family val="3"/>
        <charset val="134"/>
      </rPr>
      <t>：本周开始review代码，整理model部分
2020-7-27：整合工作量有点多，暂定还需两周完成初步移植
2020-8-3：正在处理
2020-8-10：先优先处理数据驱动方案
2020-8-19：本周开始可以重点处理次任务
2020-8-24：为了应对新的项目时间要求（9个月全功能+文档），把项目精简了，不再支持STUDIO等功能。目前已经有初版</t>
    </r>
    <phoneticPr fontId="34" type="noConversion"/>
  </si>
  <si>
    <t>丰富材质数据结构，满足更多细节</t>
    <phoneticPr fontId="34" type="noConversion"/>
  </si>
  <si>
    <t>Pan Rongtao</t>
    <phoneticPr fontId="34" type="noConversion"/>
  </si>
  <si>
    <t>提取光照对象</t>
    <phoneticPr fontId="34" type="noConversion"/>
  </si>
  <si>
    <t>考虑AD/DD/RD的形式和做法</t>
    <phoneticPr fontId="34" type="noConversion"/>
  </si>
  <si>
    <t>Su Zhifei</t>
    <phoneticPr fontId="34" type="noConversion"/>
  </si>
  <si>
    <t>Pan Rongtao</t>
    <phoneticPr fontId="34" type="noConversion"/>
  </si>
  <si>
    <r>
      <t>2020-8-19</t>
    </r>
    <r>
      <rPr>
        <sz val="10"/>
        <rFont val="宋体"/>
        <family val="3"/>
        <charset val="134"/>
      </rPr>
      <t xml:space="preserve">：节点顺序引起的渲染顺序问题，新的车模修改了顺序就没有问题了。
</t>
    </r>
    <r>
      <rPr>
        <sz val="10"/>
        <rFont val="Arial"/>
        <family val="2"/>
      </rPr>
      <t>2020-8-24</t>
    </r>
    <r>
      <rPr>
        <sz val="10"/>
        <rFont val="宋体"/>
        <family val="3"/>
        <charset val="134"/>
      </rPr>
      <t>：今天搞定放大缩小问题，本周完成cubemap调整
2020-8-30：已完成</t>
    </r>
    <phoneticPr fontId="34" type="noConversion"/>
  </si>
  <si>
    <r>
      <t>2020-8-24</t>
    </r>
    <r>
      <rPr>
        <sz val="10"/>
        <rFont val="宋体"/>
        <family val="3"/>
        <charset val="134"/>
      </rPr>
      <t xml:space="preserve">：本周开始
</t>
    </r>
    <r>
      <rPr>
        <sz val="10"/>
        <rFont val="Arial"/>
        <family val="2"/>
      </rPr>
      <t>2020-8-30</t>
    </r>
    <r>
      <rPr>
        <sz val="10"/>
        <rFont val="宋体"/>
        <family val="3"/>
        <charset val="134"/>
      </rPr>
      <t>：已完成</t>
    </r>
    <phoneticPr fontId="34" type="noConversion"/>
  </si>
  <si>
    <t>动画系统整合</t>
    <phoneticPr fontId="34" type="noConversion"/>
  </si>
  <si>
    <t>Pan Rongtao</t>
    <phoneticPr fontId="34" type="noConversion"/>
  </si>
  <si>
    <t>节点动画整合</t>
    <phoneticPr fontId="34" type="noConversion"/>
  </si>
  <si>
    <t>矩阵封装</t>
    <phoneticPr fontId="34" type="noConversion"/>
  </si>
  <si>
    <r>
      <t>2020-8-30</t>
    </r>
    <r>
      <rPr>
        <sz val="10"/>
        <rFont val="宋体"/>
        <family val="3"/>
        <charset val="134"/>
      </rPr>
      <t xml:space="preserve">：本周开始
</t>
    </r>
    <r>
      <rPr>
        <sz val="10"/>
        <rFont val="Arial"/>
        <family val="2"/>
      </rPr>
      <t>2020-9-7</t>
    </r>
    <r>
      <rPr>
        <sz val="10"/>
        <rFont val="宋体"/>
        <family val="3"/>
        <charset val="134"/>
      </rPr>
      <t>：完成</t>
    </r>
    <phoneticPr fontId="34" type="noConversion"/>
  </si>
  <si>
    <t>模型展示周边优化：禁用侧边栏、禁用下拉菜单，按钮位置等的重新布局、启动方式方案、小人图标隐藏；展示机器平台选择</t>
    <phoneticPr fontId="34" type="noConversion"/>
  </si>
  <si>
    <t>推介会《NewBrush 3D》课题准备</t>
    <phoneticPr fontId="34" type="noConversion"/>
  </si>
  <si>
    <t>Pan Rongtao</t>
    <phoneticPr fontId="34" type="noConversion"/>
  </si>
  <si>
    <r>
      <t>2020-9-7</t>
    </r>
    <r>
      <rPr>
        <sz val="10"/>
        <rFont val="宋体"/>
        <family val="3"/>
        <charset val="134"/>
      </rPr>
      <t>：完成</t>
    </r>
    <phoneticPr fontId="34" type="noConversion"/>
  </si>
  <si>
    <t>车模背景效果优化（木地板+光照）</t>
    <phoneticPr fontId="34" type="noConversion"/>
  </si>
  <si>
    <t>Su Zhifei</t>
    <phoneticPr fontId="34" type="noConversion"/>
  </si>
  <si>
    <t>推介会《倒车轨迹线》课题准备</t>
    <phoneticPr fontId="34" type="noConversion"/>
  </si>
  <si>
    <r>
      <t>2020-9-7</t>
    </r>
    <r>
      <rPr>
        <sz val="10"/>
        <rFont val="宋体"/>
        <family val="3"/>
        <charset val="134"/>
      </rPr>
      <t xml:space="preserve">：本周开始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</si>
  <si>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</si>
  <si>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：本周开始
</t>
    </r>
    <r>
      <rPr>
        <sz val="10"/>
        <rFont val="Arial"/>
        <family val="2"/>
      </rPr>
      <t>2020-9-14</t>
    </r>
    <r>
      <rPr>
        <sz val="10"/>
        <rFont val="宋体"/>
        <family val="3"/>
        <charset val="134"/>
      </rPr>
      <t>：光照先不弄，地板完成</t>
    </r>
    <phoneticPr fontId="34" type="noConversion"/>
  </si>
  <si>
    <r>
      <t>2020-9-14</t>
    </r>
    <r>
      <rPr>
        <sz val="10"/>
        <rFont val="宋体"/>
        <family val="3"/>
        <charset val="134"/>
      </rPr>
      <t>：下周开始</t>
    </r>
    <phoneticPr fontId="34" type="noConversion"/>
  </si>
  <si>
    <r>
      <t>2020-8-30</t>
    </r>
    <r>
      <rPr>
        <sz val="10"/>
        <rFont val="宋体"/>
        <family val="3"/>
        <charset val="134"/>
      </rPr>
      <t xml:space="preserve">：本周开始，预计一周完成
</t>
    </r>
    <r>
      <rPr>
        <sz val="10"/>
        <rFont val="Arial"/>
        <family val="2"/>
      </rPr>
      <t>2020-9-7</t>
    </r>
    <r>
      <rPr>
        <sz val="10"/>
        <rFont val="宋体"/>
        <family val="3"/>
        <charset val="134"/>
      </rPr>
      <t xml:space="preserve">：已完成禁用侧边栏、禁用下拉菜单，尽量本周解决掉这些环境方面的问题
</t>
    </r>
    <r>
      <rPr>
        <sz val="10"/>
        <rFont val="Arial"/>
        <family val="2"/>
      </rPr>
      <t>2020-9-14</t>
    </r>
    <r>
      <rPr>
        <sz val="10"/>
        <rFont val="宋体"/>
        <family val="3"/>
        <charset val="134"/>
      </rPr>
      <t>：自启动还没弄，今天先尝试自己弄，不行就问下</t>
    </r>
    <r>
      <rPr>
        <sz val="10"/>
        <rFont val="Arial"/>
        <family val="2"/>
      </rPr>
      <t>Android</t>
    </r>
    <r>
      <rPr>
        <sz val="10"/>
        <rFont val="宋体"/>
        <family val="3"/>
        <charset val="134"/>
      </rPr>
      <t xml:space="preserve">相关人员
</t>
    </r>
    <r>
      <rPr>
        <sz val="10"/>
        <rFont val="Arial"/>
        <family val="2"/>
      </rPr>
      <t>2020-9-21</t>
    </r>
    <r>
      <rPr>
        <sz val="10"/>
        <rFont val="宋体"/>
        <family val="3"/>
        <charset val="134"/>
      </rPr>
      <t>：无法做开机自启动，做成手动点击。但需要把旁边的硬按键遮挡住，今天确认。</t>
    </r>
    <phoneticPr fontId="34" type="noConversion"/>
  </si>
  <si>
    <t>模型视觉意见收集</t>
    <phoneticPr fontId="34" type="noConversion"/>
  </si>
  <si>
    <t>Su, Zhifei</t>
    <phoneticPr fontId="34" type="noConversion"/>
  </si>
  <si>
    <t>模型加载JSON配置文件</t>
  </si>
  <si>
    <t>Pan Rongtao</t>
    <phoneticPr fontId="34" type="noConversion"/>
  </si>
  <si>
    <r>
      <t>2020-9-21</t>
    </r>
    <r>
      <rPr>
        <sz val="10"/>
        <rFont val="宋体"/>
        <family val="3"/>
        <charset val="134"/>
      </rPr>
      <t xml:space="preserve">：本周开始
</t>
    </r>
    <r>
      <rPr>
        <sz val="10"/>
        <rFont val="Arial"/>
        <family val="2"/>
      </rPr>
      <t>2020-9-28</t>
    </r>
    <r>
      <rPr>
        <sz val="10"/>
        <rFont val="宋体"/>
        <family val="3"/>
        <charset val="134"/>
      </rPr>
      <t>：搜集完成，罗列详细优化任务</t>
    </r>
    <phoneticPr fontId="34" type="noConversion"/>
  </si>
  <si>
    <t>创新大赛两个参赛作品</t>
    <phoneticPr fontId="34" type="noConversion"/>
  </si>
  <si>
    <t>PC版本输出纹理</t>
    <phoneticPr fontId="34" type="noConversion"/>
  </si>
  <si>
    <t>系统需求文档和架构设计文档</t>
    <phoneticPr fontId="34" type="noConversion"/>
  </si>
  <si>
    <r>
      <t>2020-9-21</t>
    </r>
    <r>
      <rPr>
        <sz val="10"/>
        <rFont val="宋体"/>
        <family val="3"/>
        <charset val="134"/>
      </rPr>
      <t xml:space="preserve">：本周开始
</t>
    </r>
    <r>
      <rPr>
        <sz val="10"/>
        <rFont val="Arial"/>
        <family val="2"/>
      </rPr>
      <t>2020-9-28</t>
    </r>
    <r>
      <rPr>
        <sz val="10"/>
        <rFont val="宋体"/>
        <family val="3"/>
        <charset val="134"/>
      </rPr>
      <t>：已解析可视部分，正在处理</t>
    </r>
    <r>
      <rPr>
        <sz val="10"/>
        <rFont val="Arial"/>
        <family val="2"/>
      </rPr>
      <t>Library</t>
    </r>
    <r>
      <rPr>
        <sz val="10"/>
        <rFont val="宋体"/>
        <family val="3"/>
        <charset val="134"/>
      </rPr>
      <t xml:space="preserve">部分
</t>
    </r>
    <r>
      <rPr>
        <sz val="10"/>
        <rFont val="Arial"/>
        <family val="2"/>
      </rPr>
      <t>2020-10-12</t>
    </r>
    <r>
      <rPr>
        <sz val="10"/>
        <rFont val="宋体"/>
        <family val="3"/>
        <charset val="134"/>
      </rPr>
      <t>：完成初版，但是不太易用，看后期移植到android上后决定是否使用</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</si>
  <si>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：本周开始，做</t>
    </r>
    <r>
      <rPr>
        <sz val="10"/>
        <rFont val="Arial"/>
        <family val="2"/>
      </rPr>
      <t>SW RD, DD
2020-10-19</t>
    </r>
    <r>
      <rPr>
        <sz val="10"/>
        <rFont val="宋体"/>
        <family val="3"/>
        <charset val="134"/>
      </rPr>
      <t>：只做了</t>
    </r>
    <r>
      <rPr>
        <sz val="10"/>
        <rFont val="Arial"/>
        <family val="2"/>
      </rPr>
      <t>RD</t>
    </r>
    <r>
      <rPr>
        <sz val="10"/>
        <rFont val="宋体"/>
        <family val="3"/>
        <charset val="134"/>
      </rPr>
      <t xml:space="preserve">部分
</t>
    </r>
    <r>
      <rPr>
        <sz val="10"/>
        <rFont val="Arial"/>
        <family val="2"/>
      </rPr>
      <t>2020-10-26</t>
    </r>
    <r>
      <rPr>
        <sz val="10"/>
        <rFont val="宋体"/>
        <family val="3"/>
        <charset val="134"/>
      </rPr>
      <t>：完成</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</si>
  <si>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 xml:space="preserve">：本周开始，预计两周完成
</t>
    </r>
    <r>
      <rPr>
        <sz val="10"/>
        <rFont val="Arial"/>
        <family val="2"/>
      </rPr>
      <t>2020-10-19</t>
    </r>
    <r>
      <rPr>
        <sz val="10"/>
        <rFont val="宋体"/>
        <family val="3"/>
        <charset val="134"/>
      </rPr>
      <t xml:space="preserve">：系统需求文档已完成
</t>
    </r>
    <r>
      <rPr>
        <sz val="10"/>
        <rFont val="Arial"/>
        <family val="2"/>
      </rPr>
      <t>2020-10-26</t>
    </r>
    <r>
      <rPr>
        <sz val="10"/>
        <rFont val="宋体"/>
        <family val="3"/>
        <charset val="134"/>
      </rPr>
      <t>：完成</t>
    </r>
    <phoneticPr fontId="34" type="noConversion"/>
  </si>
  <si>
    <t>android studio cmake使用研究</t>
    <phoneticPr fontId="34" type="noConversion"/>
  </si>
  <si>
    <t>android studio环境搭建</t>
    <phoneticPr fontId="34" type="noConversion"/>
  </si>
  <si>
    <t>FBX格式各种模型渲染验证</t>
    <phoneticPr fontId="34" type="noConversion"/>
  </si>
  <si>
    <r>
      <t>2020-10-19</t>
    </r>
    <r>
      <rPr>
        <sz val="10"/>
        <rFont val="宋体"/>
        <family val="3"/>
        <charset val="134"/>
      </rPr>
      <t>：本周使用推介会</t>
    </r>
    <r>
      <rPr>
        <sz val="10"/>
        <rFont val="Arial"/>
        <family val="2"/>
      </rPr>
      <t>PPT</t>
    </r>
    <r>
      <rPr>
        <sz val="10"/>
        <rFont val="宋体"/>
        <family val="3"/>
        <charset val="134"/>
      </rPr>
      <t xml:space="preserve">尝试演讲，根据需要做微调。
</t>
    </r>
    <r>
      <rPr>
        <sz val="10"/>
        <rFont val="Arial"/>
        <family val="2"/>
      </rPr>
      <t>2020-9-28</t>
    </r>
    <r>
      <rPr>
        <sz val="10"/>
        <rFont val="宋体"/>
        <family val="3"/>
        <charset val="134"/>
      </rPr>
      <t>：不再重新制作</t>
    </r>
    <r>
      <rPr>
        <sz val="10"/>
        <rFont val="Arial"/>
        <family val="2"/>
      </rPr>
      <t>PPT</t>
    </r>
    <r>
      <rPr>
        <sz val="10"/>
        <rFont val="宋体"/>
        <family val="3"/>
        <charset val="134"/>
      </rPr>
      <t>，使用推介会的</t>
    </r>
    <r>
      <rPr>
        <sz val="10"/>
        <rFont val="Arial"/>
        <family val="2"/>
      </rPr>
      <t>PPT</t>
    </r>
    <r>
      <rPr>
        <sz val="10"/>
        <rFont val="宋体"/>
        <family val="3"/>
        <charset val="134"/>
      </rPr>
      <t xml:space="preserve">，花两天时间模拟演讲完善
</t>
    </r>
    <r>
      <rPr>
        <sz val="10"/>
        <rFont val="Arial"/>
        <family val="2"/>
      </rPr>
      <t>2020-11-2</t>
    </r>
    <r>
      <rPr>
        <sz val="10"/>
        <rFont val="宋体"/>
        <family val="3"/>
        <charset val="134"/>
      </rPr>
      <t>：初选未过，终止</t>
    </r>
    <phoneticPr fontId="34" type="noConversion"/>
  </si>
  <si>
    <r>
      <t>2020-11-2</t>
    </r>
    <r>
      <rPr>
        <sz val="10"/>
        <rFont val="宋体"/>
        <family val="3"/>
        <charset val="134"/>
      </rPr>
      <t>：完成</t>
    </r>
    <phoneticPr fontId="34" type="noConversion"/>
  </si>
  <si>
    <r>
      <t>2020-11-2</t>
    </r>
    <r>
      <rPr>
        <sz val="10"/>
        <rFont val="宋体"/>
        <family val="3"/>
        <charset val="134"/>
      </rPr>
      <t>：第三方库都编译完成，正在编译</t>
    </r>
    <r>
      <rPr>
        <sz val="10"/>
        <rFont val="Arial"/>
        <family val="2"/>
      </rPr>
      <t>NB
2020-11-9</t>
    </r>
    <r>
      <rPr>
        <sz val="10"/>
        <rFont val="宋体"/>
        <family val="3"/>
        <charset val="134"/>
      </rPr>
      <t>：完成</t>
    </r>
    <phoneticPr fontId="34" type="noConversion"/>
  </si>
  <si>
    <t>数据驱动</t>
    <phoneticPr fontId="34" type="noConversion"/>
  </si>
  <si>
    <t>Pan Rongtao</t>
    <phoneticPr fontId="34" type="noConversion"/>
  </si>
  <si>
    <r>
      <t>2020-11-16</t>
    </r>
    <r>
      <rPr>
        <sz val="10"/>
        <rFont val="宋体"/>
        <family val="3"/>
        <charset val="134"/>
      </rPr>
      <t>：完成</t>
    </r>
    <phoneticPr fontId="34" type="noConversion"/>
  </si>
  <si>
    <t>移植JNI与调试</t>
    <phoneticPr fontId="34" type="noConversion"/>
  </si>
  <si>
    <t>Pan Rongtao</t>
    <phoneticPr fontId="34" type="noConversion"/>
  </si>
  <si>
    <t>横向渐变需求</t>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</si>
  <si>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 xml:space="preserve">：机器已经拿到，缺摄像头，后续拿到
</t>
    </r>
    <r>
      <rPr>
        <sz val="10"/>
        <rFont val="Arial"/>
        <family val="2"/>
      </rPr>
      <t>2020-7-27</t>
    </r>
    <r>
      <rPr>
        <sz val="10"/>
        <rFont val="宋体"/>
        <family val="3"/>
        <charset val="134"/>
      </rPr>
      <t xml:space="preserve">：尽可能下周开始
</t>
    </r>
    <r>
      <rPr>
        <sz val="10"/>
        <rFont val="Arial"/>
        <family val="2"/>
      </rPr>
      <t>2020-8-3</t>
    </r>
    <r>
      <rPr>
        <sz val="10"/>
        <rFont val="宋体"/>
        <family val="3"/>
        <charset val="134"/>
      </rPr>
      <t xml:space="preserve">：本周开始
</t>
    </r>
    <r>
      <rPr>
        <sz val="10"/>
        <rFont val="Arial"/>
        <family val="2"/>
      </rPr>
      <t>2020-8-10</t>
    </r>
    <r>
      <rPr>
        <sz val="10"/>
        <rFont val="宋体"/>
        <family val="3"/>
        <charset val="134"/>
      </rPr>
      <t>：需要南京配合调试</t>
    </r>
    <r>
      <rPr>
        <sz val="10"/>
        <rFont val="Arial"/>
        <family val="2"/>
      </rPr>
      <t>EGL</t>
    </r>
    <r>
      <rPr>
        <sz val="10"/>
        <rFont val="宋体"/>
        <family val="3"/>
        <charset val="134"/>
      </rPr>
      <t xml:space="preserve">部分，协调人员部分已经给到项目经理。确定了基本的接口，本周可以先按照接口写实现，并调试完成。
</t>
    </r>
    <r>
      <rPr>
        <sz val="10"/>
        <rFont val="Arial"/>
        <family val="2"/>
      </rPr>
      <t>2020-8-19</t>
    </r>
    <r>
      <rPr>
        <sz val="10"/>
        <rFont val="宋体"/>
        <family val="3"/>
        <charset val="134"/>
      </rPr>
      <t xml:space="preserve">：等项目经理协调人力，本周或者下周正式邮件询问进度
</t>
    </r>
    <r>
      <rPr>
        <sz val="10"/>
        <rFont val="Arial"/>
        <family val="2"/>
      </rPr>
      <t>2020-8-24</t>
    </r>
    <r>
      <rPr>
        <sz val="10"/>
        <rFont val="宋体"/>
        <family val="3"/>
        <charset val="134"/>
      </rPr>
      <t xml:space="preserve">：本周发出正式的邮件督促协调人员
</t>
    </r>
    <r>
      <rPr>
        <sz val="10"/>
        <rFont val="Arial"/>
        <family val="2"/>
      </rPr>
      <t>2020-8-31</t>
    </r>
    <r>
      <rPr>
        <sz val="10"/>
        <rFont val="宋体"/>
        <family val="3"/>
        <charset val="134"/>
      </rPr>
      <t xml:space="preserve">：等待原平台解决协调人员、历史各种问题
</t>
    </r>
    <r>
      <rPr>
        <sz val="10"/>
        <rFont val="Arial"/>
        <family val="2"/>
      </rPr>
      <t>2020-11-23</t>
    </r>
    <r>
      <rPr>
        <sz val="10"/>
        <rFont val="宋体"/>
        <family val="3"/>
        <charset val="134"/>
      </rPr>
      <t>：已不需要arm版本</t>
    </r>
    <phoneticPr fontId="34" type="noConversion"/>
  </si>
  <si>
    <r>
      <t>2020-11-16</t>
    </r>
    <r>
      <rPr>
        <sz val="10"/>
        <rFont val="宋体"/>
        <family val="3"/>
        <charset val="134"/>
      </rPr>
      <t xml:space="preserve">：本周开始
</t>
    </r>
    <r>
      <rPr>
        <sz val="10"/>
        <rFont val="Arial"/>
        <family val="2"/>
      </rPr>
      <t>2020-11-23</t>
    </r>
    <r>
      <rPr>
        <sz val="10"/>
        <rFont val="宋体"/>
        <family val="3"/>
        <charset val="134"/>
      </rPr>
      <t xml:space="preserve">：这周完成
</t>
    </r>
    <r>
      <rPr>
        <sz val="10"/>
        <rFont val="Arial"/>
        <family val="2"/>
      </rPr>
      <t>2020-11-30</t>
    </r>
    <r>
      <rPr>
        <sz val="10"/>
        <rFont val="宋体"/>
        <family val="3"/>
        <charset val="134"/>
      </rPr>
      <t>：已经有一个版本，调通</t>
    </r>
    <phoneticPr fontId="34" type="noConversion"/>
  </si>
  <si>
    <t>demo添加下雪下雨晴天三种效果</t>
    <phoneticPr fontId="34" type="noConversion"/>
  </si>
  <si>
    <t>Su Zhifei</t>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</si>
  <si>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 xml:space="preserve">：基本的线基本可以绘制，接下来研究渐变
</t>
    </r>
    <r>
      <rPr>
        <sz val="10"/>
        <rFont val="Arial"/>
        <family val="2"/>
      </rPr>
      <t>2020-7-27</t>
    </r>
    <r>
      <rPr>
        <sz val="10"/>
        <rFont val="宋体"/>
        <family val="3"/>
        <charset val="134"/>
      </rPr>
      <t xml:space="preserve">：目前有个半弧形缝隙问题仍然在调试，预计本周解决
</t>
    </r>
    <r>
      <rPr>
        <sz val="10"/>
        <rFont val="Arial"/>
        <family val="2"/>
      </rPr>
      <t>2020-8-3</t>
    </r>
    <r>
      <rPr>
        <sz val="10"/>
        <rFont val="宋体"/>
        <family val="3"/>
        <charset val="134"/>
      </rPr>
      <t xml:space="preserve">：半弧问题已经解决，是数据给得有问题。本周等待算法给过来几个项目的数据，然后调试看结果
</t>
    </r>
    <r>
      <rPr>
        <sz val="10"/>
        <rFont val="Arial"/>
        <family val="2"/>
      </rPr>
      <t>2020-8-10</t>
    </r>
    <r>
      <rPr>
        <sz val="10"/>
        <rFont val="宋体"/>
        <family val="3"/>
        <charset val="134"/>
      </rPr>
      <t xml:space="preserve">：已经把模拟程序给到算法调试，本项基本完成
</t>
    </r>
    <r>
      <rPr>
        <sz val="10"/>
        <rFont val="Arial"/>
        <family val="2"/>
      </rPr>
      <t>2020-8-19</t>
    </r>
    <r>
      <rPr>
        <sz val="10"/>
        <rFont val="宋体"/>
        <family val="3"/>
        <charset val="134"/>
      </rPr>
      <t xml:space="preserve">：挂起，后续联调
</t>
    </r>
    <r>
      <rPr>
        <sz val="10"/>
        <rFont val="Arial"/>
        <family val="2"/>
      </rPr>
      <t>2020-11-23</t>
    </r>
    <r>
      <rPr>
        <sz val="10"/>
        <rFont val="宋体"/>
        <family val="3"/>
        <charset val="134"/>
      </rPr>
      <t xml:space="preserve">：协助解决工程挂死问题
</t>
    </r>
    <r>
      <rPr>
        <sz val="10"/>
        <rFont val="Arial"/>
        <family val="2"/>
      </rPr>
      <t>2020-11-30</t>
    </r>
    <r>
      <rPr>
        <sz val="10"/>
        <rFont val="宋体"/>
        <family val="3"/>
        <charset val="134"/>
      </rPr>
      <t>：环境问题已经解决，是对方的配置问题</t>
    </r>
    <phoneticPr fontId="34" type="noConversion"/>
  </si>
  <si>
    <r>
      <t>2020-11-23</t>
    </r>
    <r>
      <rPr>
        <sz val="10"/>
        <rFont val="宋体"/>
        <family val="3"/>
        <charset val="134"/>
      </rPr>
      <t xml:space="preserve">：计划两周完成
</t>
    </r>
    <r>
      <rPr>
        <sz val="10"/>
        <rFont val="Arial"/>
        <family val="2"/>
      </rPr>
      <t>2020-11-30</t>
    </r>
    <r>
      <rPr>
        <sz val="10"/>
        <rFont val="宋体"/>
        <family val="3"/>
        <charset val="134"/>
      </rPr>
      <t>：已完成</t>
    </r>
    <phoneticPr fontId="34" type="noConversion"/>
  </si>
  <si>
    <t>统一android开发环境，SDK版本，NDK版本，安装路径等</t>
    <phoneticPr fontId="34" type="noConversion"/>
  </si>
  <si>
    <t>JNI完善，包括数据驱动等</t>
    <phoneticPr fontId="34" type="noConversion"/>
  </si>
  <si>
    <t>android下模型浏览器，可视化操作</t>
    <phoneticPr fontId="34" type="noConversion"/>
  </si>
  <si>
    <t>Pan Rongtao</t>
    <phoneticPr fontId="34" type="noConversion"/>
  </si>
  <si>
    <r>
      <t>2020-11-20</t>
    </r>
    <r>
      <rPr>
        <sz val="10"/>
        <rFont val="宋体"/>
        <family val="3"/>
        <charset val="134"/>
      </rPr>
      <t xml:space="preserve">：本周开始
</t>
    </r>
    <r>
      <rPr>
        <sz val="10"/>
        <rFont val="Arial"/>
        <family val="2"/>
      </rPr>
      <t>2020-12-7</t>
    </r>
    <r>
      <rPr>
        <sz val="10"/>
        <rFont val="宋体"/>
        <family val="3"/>
        <charset val="134"/>
      </rPr>
      <t>：优先级先放低，先处理倒车轨迹线问题</t>
    </r>
    <phoneticPr fontId="34" type="noConversion"/>
  </si>
  <si>
    <r>
      <t>2020-12-7</t>
    </r>
    <r>
      <rPr>
        <sz val="10"/>
        <rFont val="宋体"/>
        <family val="3"/>
        <charset val="134"/>
      </rPr>
      <t>：完成</t>
    </r>
    <phoneticPr fontId="34" type="noConversion"/>
  </si>
  <si>
    <t>产品创新技术大赛事宜</t>
    <phoneticPr fontId="34" type="noConversion"/>
  </si>
  <si>
    <t>Pan Rongtao/Su Zhifei</t>
    <phoneticPr fontId="34" type="noConversion"/>
  </si>
  <si>
    <r>
      <t>2020-12-7</t>
    </r>
    <r>
      <rPr>
        <sz val="10"/>
        <rFont val="宋体"/>
        <family val="3"/>
        <charset val="134"/>
      </rPr>
      <t xml:space="preserve">：windows上nb </t>
    </r>
    <r>
      <rPr>
        <sz val="10"/>
        <rFont val="Arial"/>
        <family val="2"/>
      </rPr>
      <t>a08</t>
    </r>
    <r>
      <rPr>
        <sz val="10"/>
        <rFont val="宋体"/>
        <family val="3"/>
        <charset val="134"/>
      </rPr>
      <t>占用</t>
    </r>
    <r>
      <rPr>
        <sz val="10"/>
        <rFont val="Arial"/>
        <family val="2"/>
      </rPr>
      <t>13%</t>
    </r>
    <r>
      <rPr>
        <sz val="10"/>
        <rFont val="宋体"/>
        <family val="3"/>
        <charset val="134"/>
      </rPr>
      <t>。Demo占用9%左右。目前nb后续可优化的点transform的value方法；每次都计算renderTransform。</t>
    </r>
    <phoneticPr fontId="34" type="noConversion"/>
  </si>
  <si>
    <r>
      <t>2020-12-7</t>
    </r>
    <r>
      <rPr>
        <sz val="10"/>
        <rFont val="宋体"/>
        <family val="3"/>
        <charset val="134"/>
      </rPr>
      <t>：glfw本身占用20mb的内存，目前nb a08总共占用40mb的内存</t>
    </r>
    <phoneticPr fontId="34" type="noConversion"/>
  </si>
  <si>
    <t>CPU优化（长期任务）</t>
    <phoneticPr fontId="34" type="noConversion"/>
  </si>
  <si>
    <t>内存优化（长期任务）</t>
    <phoneticPr fontId="34" type="noConversion"/>
  </si>
  <si>
    <r>
      <t>2020-12-7</t>
    </r>
    <r>
      <rPr>
        <sz val="10"/>
        <rFont val="宋体"/>
        <family val="3"/>
        <charset val="134"/>
      </rPr>
      <t>：android studio 4.0.1，SDK和NDK在SDKmanager下直接下载操作。Gradle使用6.1.1版本，studio下下载不了，需要手动下载安装
2020-12-14：完成</t>
    </r>
    <phoneticPr fontId="34" type="noConversion"/>
  </si>
  <si>
    <r>
      <t>G7PH</t>
    </r>
    <r>
      <rPr>
        <sz val="11"/>
        <color theme="1"/>
        <rFont val="宋体"/>
        <family val="3"/>
        <charset val="134"/>
      </rPr>
      <t>数据库</t>
    </r>
    <r>
      <rPr>
        <sz val="11"/>
        <color theme="1"/>
        <rFont val="Arial"/>
        <family val="2"/>
      </rPr>
      <t>2.0Baseline</t>
    </r>
    <r>
      <rPr>
        <sz val="11"/>
        <color theme="1"/>
        <rFont val="宋体"/>
        <family val="3"/>
        <charset val="134"/>
      </rPr>
      <t>构建和调试</t>
    </r>
    <phoneticPr fontId="34" type="noConversion"/>
  </si>
  <si>
    <t>Pan Rongtao</t>
    <phoneticPr fontId="34" type="noConversion"/>
  </si>
  <si>
    <r>
      <t>2020-12-14</t>
    </r>
    <r>
      <rPr>
        <sz val="10"/>
        <rFont val="宋体"/>
        <family val="3"/>
        <charset val="134"/>
      </rPr>
      <t>：已经构建并经过调试，jiangfeng，</t>
    </r>
    <r>
      <rPr>
        <sz val="10"/>
        <rFont val="Arial"/>
        <family val="2"/>
      </rPr>
      <t>CM</t>
    </r>
    <r>
      <rPr>
        <sz val="10"/>
        <rFont val="宋体"/>
        <family val="3"/>
        <charset val="134"/>
      </rPr>
      <t>均反馈无问题</t>
    </r>
    <phoneticPr fontId="34" type="noConversion"/>
  </si>
  <si>
    <r>
      <t>2020-12-14</t>
    </r>
    <r>
      <rPr>
        <sz val="10"/>
        <rFont val="宋体"/>
        <family val="3"/>
        <charset val="134"/>
      </rPr>
      <t xml:space="preserve">：正在进行
</t>
    </r>
    <r>
      <rPr>
        <sz val="10"/>
        <rFont val="Arial"/>
        <family val="2"/>
      </rPr>
      <t>2020-12-21</t>
    </r>
    <r>
      <rPr>
        <sz val="10"/>
        <rFont val="宋体"/>
        <family val="3"/>
        <charset val="134"/>
      </rPr>
      <t>：完成</t>
    </r>
    <phoneticPr fontId="34" type="noConversion"/>
  </si>
  <si>
    <r>
      <t>2020-12-7</t>
    </r>
    <r>
      <rPr>
        <sz val="10"/>
        <rFont val="宋体"/>
        <family val="3"/>
        <charset val="134"/>
      </rPr>
      <t xml:space="preserve">：本周开始按举办方的要求准备
</t>
    </r>
    <r>
      <rPr>
        <sz val="10"/>
        <rFont val="Arial"/>
        <family val="2"/>
      </rPr>
      <t>2020-12-14</t>
    </r>
    <r>
      <rPr>
        <sz val="10"/>
        <rFont val="宋体"/>
        <family val="3"/>
        <charset val="134"/>
      </rPr>
      <t xml:space="preserve">：本周五进行
</t>
    </r>
    <r>
      <rPr>
        <sz val="10"/>
        <rFont val="Arial"/>
        <family val="2"/>
      </rPr>
      <t>2020-12-21</t>
    </r>
    <r>
      <rPr>
        <sz val="10"/>
        <rFont val="宋体"/>
        <family val="3"/>
        <charset val="134"/>
      </rPr>
      <t>：完成</t>
    </r>
    <phoneticPr fontId="34" type="noConversion"/>
  </si>
  <si>
    <t>美化（各种效果的东西，材质相关）</t>
    <phoneticPr fontId="34" type="noConversion"/>
  </si>
  <si>
    <r>
      <t>2020-10-19</t>
    </r>
    <r>
      <rPr>
        <sz val="10"/>
        <rFont val="宋体"/>
        <family val="3"/>
        <charset val="134"/>
      </rPr>
      <t>：</t>
    </r>
    <r>
      <rPr>
        <sz val="10"/>
        <rFont val="Arial"/>
        <family val="2"/>
      </rPr>
      <t>11</t>
    </r>
    <r>
      <rPr>
        <sz val="10"/>
        <rFont val="宋体"/>
        <family val="3"/>
        <charset val="134"/>
      </rPr>
      <t xml:space="preserve">月份开始
</t>
    </r>
    <r>
      <rPr>
        <sz val="10"/>
        <rFont val="Arial"/>
        <family val="2"/>
      </rPr>
      <t>2020-10-26</t>
    </r>
    <r>
      <rPr>
        <sz val="10"/>
        <rFont val="宋体"/>
        <family val="3"/>
        <charset val="134"/>
      </rPr>
      <t xml:space="preserve">：本周开始
</t>
    </r>
    <r>
      <rPr>
        <sz val="10"/>
        <rFont val="Arial"/>
        <family val="2"/>
      </rPr>
      <t>2020-11-2</t>
    </r>
    <r>
      <rPr>
        <sz val="10"/>
        <rFont val="宋体"/>
        <family val="3"/>
        <charset val="134"/>
      </rPr>
      <t xml:space="preserve">：本周完成
</t>
    </r>
    <r>
      <rPr>
        <sz val="10"/>
        <rFont val="Arial"/>
        <family val="2"/>
      </rPr>
      <t>2020-11-9</t>
    </r>
    <r>
      <rPr>
        <sz val="10"/>
        <rFont val="宋体"/>
        <family val="3"/>
        <charset val="134"/>
      </rPr>
      <t xml:space="preserve">：意见提供给算法同事，注意反馈
</t>
    </r>
    <r>
      <rPr>
        <sz val="10"/>
        <rFont val="Arial"/>
        <family val="2"/>
      </rPr>
      <t>2020-11-23</t>
    </r>
    <r>
      <rPr>
        <sz val="10"/>
        <rFont val="宋体"/>
        <family val="3"/>
        <charset val="134"/>
      </rPr>
      <t xml:space="preserve">：完成
</t>
    </r>
    <r>
      <rPr>
        <sz val="10"/>
        <rFont val="Arial"/>
        <family val="2"/>
      </rPr>
      <t>2020-12-7</t>
    </r>
    <r>
      <rPr>
        <sz val="10"/>
        <rFont val="宋体"/>
        <family val="3"/>
        <charset val="134"/>
      </rPr>
      <t>：arm版本无法隐藏窗口显示的问题；混合渐变边缘异常的问题
2020-12-14：混合问题已经解决。arm下使用南京提供的方式，解决独立app运行图层冲突问题。
2020-12-21：算法那边已经基本验证，如果仍有其他问题，再开其他任务</t>
    </r>
    <phoneticPr fontId="34" type="noConversion"/>
  </si>
  <si>
    <t>299</t>
    <phoneticPr fontId="34" type="noConversion"/>
  </si>
  <si>
    <t>把nb移植到GS6A上</t>
    <phoneticPr fontId="34" type="noConversion"/>
  </si>
  <si>
    <t>Pan Rongtao</t>
    <phoneticPr fontId="34" type="noConversion"/>
  </si>
  <si>
    <r>
      <t>2020-11-9</t>
    </r>
    <r>
      <rPr>
        <sz val="10"/>
        <rFont val="宋体"/>
        <family val="3"/>
        <charset val="134"/>
      </rPr>
      <t xml:space="preserve">：今天定下样本数量、样本文件格式，今天给出时间。
</t>
    </r>
    <r>
      <rPr>
        <sz val="10"/>
        <rFont val="Arial"/>
        <family val="2"/>
      </rPr>
      <t>2020-11-16</t>
    </r>
    <r>
      <rPr>
        <sz val="10"/>
        <rFont val="宋体"/>
        <family val="3"/>
        <charset val="134"/>
      </rPr>
      <t xml:space="preserve">：本周按计划进行
</t>
    </r>
    <r>
      <rPr>
        <sz val="10"/>
        <rFont val="Arial"/>
        <family val="2"/>
      </rPr>
      <t>2020-11-23</t>
    </r>
    <r>
      <rPr>
        <sz val="10"/>
        <rFont val="宋体"/>
        <family val="3"/>
        <charset val="134"/>
      </rPr>
      <t>：</t>
    </r>
    <r>
      <rPr>
        <sz val="10"/>
        <rFont val="Arial"/>
        <family val="2"/>
      </rPr>
      <t>FBX</t>
    </r>
    <r>
      <rPr>
        <sz val="10"/>
        <rFont val="宋体"/>
        <family val="3"/>
        <charset val="134"/>
      </rPr>
      <t>和</t>
    </r>
    <r>
      <rPr>
        <sz val="10"/>
        <rFont val="Arial"/>
        <family val="2"/>
      </rPr>
      <t>OBJ</t>
    </r>
    <r>
      <rPr>
        <sz val="10"/>
        <rFont val="宋体"/>
        <family val="3"/>
        <charset val="134"/>
      </rPr>
      <t xml:space="preserve">测试了一部分，记录下出现问题的模型，如果已经解决，记录下解决的方式。
</t>
    </r>
    <r>
      <rPr>
        <sz val="10"/>
        <rFont val="Arial"/>
        <family val="2"/>
      </rPr>
      <t>2020-11-30</t>
    </r>
    <r>
      <rPr>
        <sz val="10"/>
        <rFont val="宋体"/>
        <family val="3"/>
        <charset val="134"/>
      </rPr>
      <t xml:space="preserve">：再花两周时间处理完，包括动画的一些样本。
</t>
    </r>
    <r>
      <rPr>
        <sz val="10"/>
        <rFont val="Arial"/>
        <family val="2"/>
      </rPr>
      <t>2020-12-7</t>
    </r>
    <r>
      <rPr>
        <sz val="10"/>
        <rFont val="宋体"/>
        <family val="3"/>
        <charset val="134"/>
      </rPr>
      <t xml:space="preserve">：优先级先放低
</t>
    </r>
    <r>
      <rPr>
        <sz val="10"/>
        <rFont val="Arial"/>
        <family val="2"/>
      </rPr>
      <t>2020-12-21</t>
    </r>
    <r>
      <rPr>
        <sz val="10"/>
        <rFont val="宋体"/>
        <family val="3"/>
        <charset val="134"/>
      </rPr>
      <t xml:space="preserve">：本周完成
</t>
    </r>
    <r>
      <rPr>
        <sz val="10"/>
        <rFont val="Arial"/>
        <family val="2"/>
      </rPr>
      <t>2020-12-28</t>
    </r>
    <r>
      <rPr>
        <sz val="10"/>
        <rFont val="宋体"/>
        <family val="3"/>
        <charset val="134"/>
      </rPr>
      <t>：完成，会后发出相关</t>
    </r>
    <r>
      <rPr>
        <sz val="10"/>
        <rFont val="Arial"/>
        <family val="2"/>
      </rPr>
      <t>Excel</t>
    </r>
    <r>
      <rPr>
        <sz val="10"/>
        <rFont val="宋体"/>
        <family val="3"/>
        <charset val="134"/>
      </rPr>
      <t>记录</t>
    </r>
    <phoneticPr fontId="34" type="noConversion"/>
  </si>
  <si>
    <t>解决野猪模型BUG：纹理加载失败、骨骼动画第一帧不显示</t>
    <phoneticPr fontId="34" type="noConversion"/>
  </si>
  <si>
    <t>小狗模型第一帧不显示</t>
    <phoneticPr fontId="34" type="noConversion"/>
  </si>
  <si>
    <t>银灰色BMW7L模型tif图片加载失败</t>
    <phoneticPr fontId="34" type="noConversion"/>
  </si>
  <si>
    <t>中国59式中型坦克 部分mesh显示不出</t>
    <phoneticPr fontId="34" type="noConversion"/>
  </si>
  <si>
    <t>audi-r8-red-fbx纹理显示异常</t>
    <phoneticPr fontId="34" type="noConversion"/>
  </si>
  <si>
    <t>Parrot_FBX 无法处理多个纹理处理的问题</t>
    <phoneticPr fontId="34" type="noConversion"/>
  </si>
  <si>
    <t>小鸡模型、跳肚皮舞的小男孩无法处理多个纹理的问题</t>
    <phoneticPr fontId="34" type="noConversion"/>
  </si>
  <si>
    <t>某些模型内嵌纹理数据，无法处理的情况</t>
    <phoneticPr fontId="34" type="noConversion"/>
  </si>
  <si>
    <t>Su Zhifei</t>
    <phoneticPr fontId="34" type="noConversion"/>
  </si>
  <si>
    <r>
      <t>2021-1-4</t>
    </r>
    <r>
      <rPr>
        <sz val="10"/>
        <rFont val="宋体"/>
        <family val="3"/>
        <charset val="134"/>
      </rPr>
      <t>：已解决</t>
    </r>
    <phoneticPr fontId="34" type="noConversion"/>
  </si>
  <si>
    <r>
      <t>2021-1-4</t>
    </r>
    <r>
      <rPr>
        <sz val="10"/>
        <rFont val="宋体"/>
        <family val="3"/>
        <charset val="134"/>
      </rPr>
      <t>：已解决内嵌式纹理问题</t>
    </r>
    <phoneticPr fontId="34" type="noConversion"/>
  </si>
  <si>
    <r>
      <t>2021-1-4</t>
    </r>
    <r>
      <rPr>
        <sz val="10"/>
        <rFont val="宋体"/>
        <family val="3"/>
        <charset val="134"/>
      </rPr>
      <t>：尾巴使用了独立的纹理，与基本纹理进行了混合，需要研究下最终的混合方式和算法，</t>
    </r>
    <r>
      <rPr>
        <sz val="10"/>
        <rFont val="Arial"/>
        <family val="2"/>
      </rPr>
      <t>alpha</t>
    </r>
    <r>
      <rPr>
        <sz val="10"/>
        <rFont val="宋体"/>
        <family val="3"/>
        <charset val="134"/>
      </rPr>
      <t>混合</t>
    </r>
    <phoneticPr fontId="34" type="noConversion"/>
  </si>
  <si>
    <r>
      <t>2021-1-4</t>
    </r>
    <r>
      <rPr>
        <sz val="10"/>
        <rFont val="宋体"/>
        <family val="3"/>
        <charset val="134"/>
      </rPr>
      <t>：已解决内嵌式纹理问题</t>
    </r>
    <phoneticPr fontId="34" type="noConversion"/>
  </si>
  <si>
    <t>圆形绘制需求</t>
    <phoneticPr fontId="34" type="noConversion"/>
  </si>
  <si>
    <t>2020-5-4：
2020-6-29：
2020-7-6：</t>
    <phoneticPr fontId="34" type="noConversion"/>
  </si>
  <si>
    <t>Su Zhifei</t>
    <phoneticPr fontId="34" type="noConversion"/>
  </si>
  <si>
    <t>某些模型phong材质有透明通道的有镂空的情况，比如魔兽的模型</t>
    <phoneticPr fontId="34" type="noConversion"/>
  </si>
  <si>
    <r>
      <t>2020-12-21</t>
    </r>
    <r>
      <rPr>
        <sz val="10"/>
        <rFont val="宋体"/>
        <family val="3"/>
        <charset val="134"/>
      </rPr>
      <t xml:space="preserve">：本周开始
</t>
    </r>
    <r>
      <rPr>
        <sz val="10"/>
        <rFont val="Arial"/>
        <family val="2"/>
      </rPr>
      <t>2020-12-28</t>
    </r>
    <r>
      <rPr>
        <sz val="10"/>
        <rFont val="宋体"/>
        <family val="3"/>
        <charset val="134"/>
      </rPr>
      <t xml:space="preserve">：本周开始
</t>
    </r>
    <r>
      <rPr>
        <sz val="10"/>
        <rFont val="Arial"/>
        <family val="2"/>
      </rPr>
      <t>2021-1-4</t>
    </r>
    <r>
      <rPr>
        <sz val="10"/>
        <rFont val="宋体"/>
        <family val="3"/>
        <charset val="134"/>
      </rPr>
      <t>：本周完成
2021-1-12：有模型抖动的问题，找不到原因，用最精简方式做加法解决问题
2021-1-18：已解决，是由于android下多线程，同一帧下不同线程改变uniform引起的</t>
    </r>
    <phoneticPr fontId="34" type="noConversion"/>
  </si>
  <si>
    <r>
      <t>2021-1-12</t>
    </r>
    <r>
      <rPr>
        <sz val="10"/>
        <rFont val="宋体"/>
        <family val="3"/>
        <charset val="134"/>
      </rPr>
      <t xml:space="preserve">：本周重点解决这个问题，估计是顶点数据不对
</t>
    </r>
    <r>
      <rPr>
        <sz val="10"/>
        <rFont val="Arial"/>
        <family val="2"/>
      </rPr>
      <t>2021-1-18</t>
    </r>
    <r>
      <rPr>
        <sz val="10"/>
        <rFont val="宋体"/>
        <family val="3"/>
        <charset val="134"/>
      </rPr>
      <t>：glDrawElement使用short个数indices引起的，mesh的indices个数超过了short上限，改成int的方式可解决。后续需要尝试拆分成mesh，因为gles 2不支持int的模式</t>
    </r>
    <phoneticPr fontId="34" type="noConversion"/>
  </si>
  <si>
    <t>kanzi studio导出三个项目模型apk，测试其CPU/MEM/FPS/面数/启动时间等</t>
    <phoneticPr fontId="34" type="noConversion"/>
  </si>
  <si>
    <t>Su Zhifei</t>
    <phoneticPr fontId="34" type="noConversion"/>
  </si>
  <si>
    <t>开展一次workshop，PPT准备</t>
    <phoneticPr fontId="34" type="noConversion"/>
  </si>
  <si>
    <t>Pan Rongtao</t>
    <phoneticPr fontId="34" type="noConversion"/>
  </si>
  <si>
    <t>Su Zhifei</t>
    <phoneticPr fontId="34" type="noConversion"/>
  </si>
  <si>
    <t>Problem Description / Action Item</t>
    <phoneticPr fontId="34" type="noConversion"/>
  </si>
  <si>
    <r>
      <t>2021-2-1</t>
    </r>
    <r>
      <rPr>
        <sz val="10"/>
        <rFont val="宋体"/>
        <family val="3"/>
        <charset val="134"/>
      </rPr>
      <t>：完成</t>
    </r>
    <phoneticPr fontId="34" type="noConversion"/>
  </si>
  <si>
    <r>
      <t>2021-2-1</t>
    </r>
    <r>
      <rPr>
        <sz val="10"/>
        <rFont val="宋体"/>
        <family val="3"/>
        <charset val="134"/>
      </rPr>
      <t>：已解决，是indices使用short长度，而有些模型顶点数据数量超过该限制引起的，改用int</t>
    </r>
    <phoneticPr fontId="34" type="noConversion"/>
  </si>
  <si>
    <t>处理phong材质的a通道时候，某些模型现实异常（比如魔兽）</t>
    <phoneticPr fontId="34" type="noConversion"/>
  </si>
  <si>
    <t>Su zhifei</t>
    <phoneticPr fontId="34" type="noConversion"/>
  </si>
  <si>
    <r>
      <t>KANZI2.8 CN180S</t>
    </r>
    <r>
      <rPr>
        <sz val="11"/>
        <color theme="1"/>
        <rFont val="宋体"/>
        <family val="3"/>
        <charset val="134"/>
      </rPr>
      <t>开机启动kanzi挂死</t>
    </r>
    <phoneticPr fontId="34" type="noConversion"/>
  </si>
  <si>
    <r>
      <t>2021-1-4</t>
    </r>
    <r>
      <rPr>
        <sz val="10"/>
        <rFont val="宋体"/>
        <family val="3"/>
        <charset val="134"/>
      </rPr>
      <t>：承诺本周完成
2021-1-12：已经完成，未反馈，会后询问
2021-2-1：无反馈，先关闭</t>
    </r>
    <phoneticPr fontId="34" type="noConversion"/>
  </si>
  <si>
    <r>
      <t>2020-2-1</t>
    </r>
    <r>
      <rPr>
        <sz val="10"/>
        <rFont val="宋体"/>
        <family val="3"/>
        <charset val="134"/>
      </rPr>
      <t>：协助加</t>
    </r>
    <r>
      <rPr>
        <sz val="10"/>
        <rFont val="Arial"/>
        <family val="2"/>
      </rPr>
      <t>LOG</t>
    </r>
    <r>
      <rPr>
        <sz val="10"/>
        <rFont val="宋体"/>
        <family val="3"/>
        <charset val="134"/>
      </rPr>
      <t xml:space="preserve">定位挂死位置
</t>
    </r>
    <r>
      <rPr>
        <sz val="10"/>
        <rFont val="Arial"/>
        <family val="2"/>
      </rPr>
      <t>2020-2-8</t>
    </r>
    <r>
      <rPr>
        <sz val="10"/>
        <rFont val="宋体"/>
        <family val="3"/>
        <charset val="134"/>
      </rPr>
      <t>：已协助解决</t>
    </r>
    <phoneticPr fontId="34" type="noConversion"/>
  </si>
  <si>
    <t>轨迹线边缘混合白色问题</t>
    <phoneticPr fontId="34" type="noConversion"/>
  </si>
  <si>
    <t>静态界面开发</t>
    <phoneticPr fontId="34" type="noConversion"/>
  </si>
  <si>
    <t xml:space="preserve">Pan Rongtao </t>
    <phoneticPr fontId="34" type="noConversion"/>
  </si>
  <si>
    <r>
      <t>2021-2-8</t>
    </r>
    <r>
      <rPr>
        <sz val="10"/>
        <rFont val="宋体"/>
        <family val="3"/>
        <charset val="134"/>
      </rPr>
      <t>：已完成初版</t>
    </r>
    <phoneticPr fontId="34" type="noConversion"/>
  </si>
  <si>
    <t>呼吸线开发</t>
    <phoneticPr fontId="34" type="noConversion"/>
  </si>
  <si>
    <t>心跳线开发</t>
    <phoneticPr fontId="34" type="noConversion"/>
  </si>
  <si>
    <r>
      <t>2021-2-8</t>
    </r>
    <r>
      <rPr>
        <sz val="10"/>
        <color rgb="FF000000"/>
        <rFont val="宋体"/>
        <family val="3"/>
        <charset val="134"/>
      </rPr>
      <t>：完成第一版，已反馈给客户</t>
    </r>
    <phoneticPr fontId="34" type="noConversion"/>
  </si>
  <si>
    <t>与服务端数据联调</t>
    <phoneticPr fontId="34" type="noConversion"/>
  </si>
  <si>
    <t>时钟ECO特效DEMO</t>
    <phoneticPr fontId="34" type="noConversion"/>
  </si>
  <si>
    <t>时钟Normal特效第一版</t>
    <phoneticPr fontId="34" type="noConversion"/>
  </si>
  <si>
    <t>时钟SPORT特效第一版</t>
    <phoneticPr fontId="34" type="noConversion"/>
  </si>
  <si>
    <r>
      <t>2021-1-18</t>
    </r>
    <r>
      <rPr>
        <sz val="10"/>
        <rFont val="宋体"/>
        <family val="3"/>
        <charset val="134"/>
      </rPr>
      <t xml:space="preserve">：本周开始
</t>
    </r>
    <r>
      <rPr>
        <sz val="10"/>
        <rFont val="Arial"/>
        <family val="2"/>
      </rPr>
      <t>2021-2-1</t>
    </r>
    <r>
      <rPr>
        <sz val="10"/>
        <rFont val="宋体"/>
        <family val="3"/>
        <charset val="134"/>
      </rPr>
      <t>：已经测试了</t>
    </r>
    <r>
      <rPr>
        <sz val="10"/>
        <rFont val="Arial"/>
        <family val="2"/>
      </rPr>
      <t>2</t>
    </r>
    <r>
      <rPr>
        <sz val="10"/>
        <rFont val="宋体"/>
        <family val="3"/>
        <charset val="134"/>
      </rPr>
      <t xml:space="preserve">个，本周再测试一个；本周完成
</t>
    </r>
    <r>
      <rPr>
        <sz val="10"/>
        <rFont val="Arial"/>
        <family val="2"/>
      </rPr>
      <t>2021-2-1</t>
    </r>
    <r>
      <rPr>
        <sz val="10"/>
        <rFont val="宋体"/>
        <family val="3"/>
        <charset val="134"/>
      </rPr>
      <t xml:space="preserve">：年后第一周
</t>
    </r>
    <r>
      <rPr>
        <sz val="10"/>
        <rFont val="Arial"/>
        <family val="2"/>
      </rPr>
      <t>2021-3-9</t>
    </r>
    <r>
      <rPr>
        <sz val="10"/>
        <rFont val="宋体"/>
        <family val="3"/>
        <charset val="134"/>
      </rPr>
      <t xml:space="preserve">：两周内给出数据
</t>
    </r>
    <phoneticPr fontId="34" type="noConversion"/>
  </si>
  <si>
    <r>
      <t>2021-3-9</t>
    </r>
    <r>
      <rPr>
        <sz val="10"/>
        <rFont val="宋体"/>
        <family val="3"/>
        <charset val="134"/>
      </rPr>
      <t>：已完成</t>
    </r>
    <phoneticPr fontId="34" type="noConversion"/>
  </si>
  <si>
    <t>高</t>
    <phoneticPr fontId="34" type="noConversion"/>
  </si>
  <si>
    <r>
      <t>3D</t>
    </r>
    <r>
      <rPr>
        <sz val="11"/>
        <color theme="1"/>
        <rFont val="宋体"/>
        <family val="3"/>
        <charset val="134"/>
      </rPr>
      <t>模型的demo工程交接</t>
    </r>
    <phoneticPr fontId="34" type="noConversion"/>
  </si>
  <si>
    <r>
      <t>2021-3-9</t>
    </r>
    <r>
      <rPr>
        <sz val="10"/>
        <rFont val="宋体"/>
        <family val="3"/>
        <charset val="134"/>
      </rPr>
      <t xml:space="preserve">：正在装环境，准备联调
</t>
    </r>
    <r>
      <rPr>
        <sz val="10"/>
        <rFont val="Arial"/>
        <family val="2"/>
      </rPr>
      <t>2021-3-22</t>
    </r>
    <r>
      <rPr>
        <sz val="10"/>
        <rFont val="宋体"/>
        <family val="3"/>
        <charset val="134"/>
      </rPr>
      <t>：已经调试整个通路没有问题，今天准备把笔记本交接给算法那边优化雷达部分，</t>
    </r>
    <r>
      <rPr>
        <sz val="10"/>
        <rFont val="Arial"/>
        <family val="2"/>
      </rPr>
      <t>3.25</t>
    </r>
    <r>
      <rPr>
        <sz val="10"/>
        <rFont val="宋体"/>
        <family val="3"/>
        <charset val="134"/>
      </rPr>
      <t xml:space="preserve">做全部软件的联调。
</t>
    </r>
    <r>
      <rPr>
        <sz val="10"/>
        <rFont val="Arial"/>
        <family val="2"/>
      </rPr>
      <t>2021-3-27</t>
    </r>
    <r>
      <rPr>
        <sz val="10"/>
        <rFont val="宋体"/>
        <family val="3"/>
        <charset val="134"/>
      </rPr>
      <t>：完成</t>
    </r>
    <phoneticPr fontId="34" type="noConversion"/>
  </si>
  <si>
    <t>上位机开发</t>
    <phoneticPr fontId="34" type="noConversion"/>
  </si>
  <si>
    <t xml:space="preserve">Cai Zhibing/Pan Rongtao </t>
    <phoneticPr fontId="34" type="noConversion"/>
  </si>
  <si>
    <t>模型调试</t>
    <phoneticPr fontId="34" type="noConversion"/>
  </si>
  <si>
    <r>
      <t>2021-2-8</t>
    </r>
    <r>
      <rPr>
        <sz val="10"/>
        <rFont val="宋体"/>
        <family val="3"/>
        <charset val="134"/>
      </rPr>
      <t>：研究抗锯齿混合算法
2021-2-22：打算采用在最终渲染时shader端实现抗锯齿的方法，生成bin不开启抗锯齿
2021-3-8：大白边问题已解决，是DRM使用参数的问题，XRGB修改为ARGB后解决。会后PRT参与理清方案
2021-3-22：添加抗锯齿接口和clearColor接口，看锯齿在arm下，EGLConfig重新配置有些问题，重点处理这个问题
2021-5-17：项目已结项</t>
    </r>
    <phoneticPr fontId="34" type="noConversion"/>
  </si>
  <si>
    <r>
      <t>2021-5-17</t>
    </r>
    <r>
      <rPr>
        <sz val="10"/>
        <rFont val="宋体"/>
        <family val="3"/>
        <charset val="134"/>
      </rPr>
      <t>：已交接</t>
    </r>
    <phoneticPr fontId="34" type="noConversion"/>
  </si>
  <si>
    <t>Pan Rongtao/Cai Zhibing</t>
    <phoneticPr fontId="34" type="noConversion"/>
  </si>
  <si>
    <r>
      <t>2021-4-27</t>
    </r>
    <r>
      <rPr>
        <sz val="10"/>
        <rFont val="宋体"/>
        <family val="3"/>
        <charset val="134"/>
      </rPr>
      <t>：由</t>
    </r>
    <r>
      <rPr>
        <sz val="10"/>
        <rFont val="Arial"/>
        <family val="2"/>
      </rPr>
      <t xml:space="preserve">DQ </t>
    </r>
    <r>
      <rPr>
        <sz val="10"/>
        <rFont val="宋体"/>
        <family val="3"/>
        <charset val="134"/>
      </rPr>
      <t xml:space="preserve">满意负责车速提取，我们控制视频速度
</t>
    </r>
    <r>
      <rPr>
        <sz val="10"/>
        <rFont val="Arial"/>
        <family val="2"/>
      </rPr>
      <t>2021-5-17</t>
    </r>
    <r>
      <rPr>
        <sz val="10"/>
        <rFont val="宋体"/>
        <family val="3"/>
        <charset val="134"/>
      </rPr>
      <t>：已经可以拿到车速，需要等</t>
    </r>
    <r>
      <rPr>
        <sz val="10"/>
        <rFont val="Arial"/>
        <family val="2"/>
      </rPr>
      <t>LP</t>
    </r>
    <r>
      <rPr>
        <sz val="10"/>
        <rFont val="宋体"/>
        <family val="3"/>
        <charset val="134"/>
      </rPr>
      <t xml:space="preserve">协调车辆，后续再实车上调试和验证。使用上的体验待反馈。问刘鹏要视频
</t>
    </r>
    <r>
      <rPr>
        <sz val="10"/>
        <rFont val="Arial"/>
        <family val="2"/>
      </rPr>
      <t>2021-5-31</t>
    </r>
    <r>
      <rPr>
        <sz val="10"/>
        <rFont val="宋体"/>
        <family val="3"/>
        <charset val="134"/>
      </rPr>
      <t>：视频已经进过一轮测试，待</t>
    </r>
    <r>
      <rPr>
        <sz val="10"/>
        <rFont val="Arial"/>
        <family val="2"/>
      </rPr>
      <t>QA</t>
    </r>
    <r>
      <rPr>
        <sz val="10"/>
        <rFont val="宋体"/>
        <family val="3"/>
        <charset val="134"/>
      </rPr>
      <t>组使用反馈</t>
    </r>
    <phoneticPr fontId="34" type="noConversion"/>
  </si>
  <si>
    <t>确定使用NB实现的几个特效</t>
    <phoneticPr fontId="34" type="noConversion"/>
  </si>
  <si>
    <t>Cai Zhibing</t>
    <phoneticPr fontId="34" type="noConversion"/>
  </si>
  <si>
    <r>
      <t>2021-5-31</t>
    </r>
    <r>
      <rPr>
        <sz val="10"/>
        <rFont val="宋体"/>
        <family val="3"/>
        <charset val="134"/>
      </rPr>
      <t>：确定几个用</t>
    </r>
    <r>
      <rPr>
        <sz val="10"/>
        <rFont val="Arial"/>
        <family val="2"/>
      </rPr>
      <t>KANZI</t>
    </r>
    <r>
      <rPr>
        <sz val="10"/>
        <rFont val="宋体"/>
        <family val="3"/>
        <charset val="134"/>
      </rPr>
      <t>做的特效（仪表盘、取色、空调风、天气等），确认后按特效分解任务</t>
    </r>
    <phoneticPr fontId="34" type="noConversion"/>
  </si>
  <si>
    <t>Pan Rongtao</t>
    <phoneticPr fontId="34" type="noConversion"/>
  </si>
  <si>
    <t>系统架构文档</t>
    <phoneticPr fontId="34" type="noConversion"/>
  </si>
  <si>
    <t>模块文档</t>
    <phoneticPr fontId="34" type="noConversion"/>
  </si>
  <si>
    <t>开发文档</t>
    <phoneticPr fontId="34" type="noConversion"/>
  </si>
  <si>
    <t>UIT组员培训</t>
    <phoneticPr fontId="34" type="noConversion"/>
  </si>
  <si>
    <t>研究技术文档工具</t>
    <phoneticPr fontId="34" type="noConversion"/>
  </si>
  <si>
    <r>
      <rPr>
        <sz val="11"/>
        <color theme="1"/>
        <rFont val="宋体"/>
        <family val="3"/>
        <charset val="134"/>
      </rPr>
      <t>第二阶段</t>
    </r>
    <r>
      <rPr>
        <sz val="11"/>
        <color theme="1"/>
        <rFont val="Arial"/>
        <family val="2"/>
      </rPr>
      <t>UI</t>
    </r>
    <phoneticPr fontId="34" type="noConversion"/>
  </si>
  <si>
    <r>
      <t>2021-5-31</t>
    </r>
    <r>
      <rPr>
        <sz val="10"/>
        <rFont val="宋体"/>
        <family val="3"/>
        <charset val="134"/>
      </rPr>
      <t>：本周找茂林聊聊
2021-6-28：目前系统那边找过，PL也准备call会讨论方案的推进，会后找下YZB推进下call会进度</t>
    </r>
    <phoneticPr fontId="34" type="noConversion"/>
  </si>
  <si>
    <r>
      <t>2020-6-28</t>
    </r>
    <r>
      <rPr>
        <sz val="10"/>
        <rFont val="宋体"/>
        <family val="3"/>
        <charset val="134"/>
      </rPr>
      <t>：两周内完成，两周后培训</t>
    </r>
    <phoneticPr fontId="34" type="noConversion"/>
  </si>
  <si>
    <r>
      <t>2020-6-28</t>
    </r>
    <r>
      <rPr>
        <sz val="10"/>
        <rFont val="宋体"/>
        <family val="3"/>
        <charset val="134"/>
      </rPr>
      <t>：特效开发文档</t>
    </r>
    <phoneticPr fontId="34" type="noConversion"/>
  </si>
  <si>
    <t>Cai Zhibing</t>
    <phoneticPr fontId="34" type="noConversion"/>
  </si>
  <si>
    <r>
      <t>2021-6-28</t>
    </r>
    <r>
      <rPr>
        <sz val="10"/>
        <rFont val="宋体"/>
        <family val="3"/>
        <charset val="134"/>
      </rPr>
      <t>：目前等待设计出效果图/素材</t>
    </r>
    <phoneticPr fontId="34" type="noConversion"/>
  </si>
  <si>
    <r>
      <t>2021-3-9</t>
    </r>
    <r>
      <rPr>
        <sz val="10"/>
        <color rgb="FF000000"/>
        <rFont val="宋体"/>
        <family val="3"/>
        <charset val="134"/>
      </rPr>
      <t xml:space="preserve">：本周开始
</t>
    </r>
    <r>
      <rPr>
        <sz val="10"/>
        <color rgb="FF000000"/>
        <rFont val="Arial"/>
        <family val="2"/>
      </rPr>
      <t>2021-3-22</t>
    </r>
    <r>
      <rPr>
        <sz val="10"/>
        <color rgb="FF000000"/>
        <rFont val="宋体"/>
        <family val="3"/>
        <charset val="134"/>
      </rPr>
      <t>：找相关人员召开了workshop，
2021-5-17：试了一个思路，发现效果不理想，后续找XYH支持看，思路拓展；跟PM确认第一个需要集成在内的时间和版本
2021-5-31：PM反馈七月底集成入第一版时钟特效，本周开始着重特效的开发
2020/6/28：目前成熟度60%，本周做过一分钟的效果；整合进android</t>
    </r>
    <phoneticPr fontId="34" type="noConversion"/>
  </si>
  <si>
    <r>
      <t>2021-5-31</t>
    </r>
    <r>
      <rPr>
        <sz val="10"/>
        <color rgb="FF000000"/>
        <rFont val="宋体"/>
        <family val="3"/>
        <charset val="134"/>
      </rPr>
      <t>：</t>
    </r>
    <r>
      <rPr>
        <sz val="10"/>
        <color rgb="FF000000"/>
        <rFont val="Arial"/>
        <family val="2"/>
      </rPr>
      <t>PM</t>
    </r>
    <r>
      <rPr>
        <sz val="10"/>
        <color rgb="FF000000"/>
        <rFont val="宋体"/>
        <family val="3"/>
        <charset val="134"/>
      </rPr>
      <t xml:space="preserve">反馈七月底集成入第一版时钟特效，本周开始着重特效的开发
</t>
    </r>
    <r>
      <rPr>
        <sz val="10"/>
        <color rgb="FF000000"/>
        <rFont val="Arial"/>
        <family val="2"/>
      </rPr>
      <t>2020/6/28</t>
    </r>
    <r>
      <rPr>
        <sz val="10"/>
        <color rgb="FF000000"/>
        <rFont val="宋体"/>
        <family val="3"/>
        <charset val="134"/>
      </rPr>
      <t>：目前成熟度</t>
    </r>
    <r>
      <rPr>
        <sz val="10"/>
        <color rgb="FF000000"/>
        <rFont val="Arial"/>
        <family val="2"/>
      </rPr>
      <t>65%</t>
    </r>
    <r>
      <rPr>
        <sz val="10"/>
        <color rgb="FF000000"/>
        <rFont val="宋体"/>
        <family val="3"/>
        <charset val="134"/>
      </rPr>
      <t>，本周做过一分钟的效果；整合进</t>
    </r>
    <r>
      <rPr>
        <sz val="10"/>
        <color rgb="FF000000"/>
        <rFont val="Arial"/>
        <family val="2"/>
      </rPr>
      <t>android</t>
    </r>
    <phoneticPr fontId="34" type="noConversion"/>
  </si>
  <si>
    <r>
      <t>2021-5-10</t>
    </r>
    <r>
      <rPr>
        <sz val="10"/>
        <rFont val="宋体"/>
        <family val="3"/>
        <charset val="134"/>
      </rPr>
      <t>：目前存在问题：</t>
    </r>
    <r>
      <rPr>
        <sz val="10"/>
        <rFont val="Arial"/>
        <family val="2"/>
      </rPr>
      <t>1</t>
    </r>
    <r>
      <rPr>
        <sz val="10"/>
        <rFont val="宋体"/>
        <family val="3"/>
        <charset val="134"/>
      </rPr>
      <t>、骨骼动画</t>
    </r>
    <r>
      <rPr>
        <sz val="10"/>
        <rFont val="Arial"/>
        <family val="2"/>
      </rPr>
      <t xml:space="preserve"> 2</t>
    </r>
    <r>
      <rPr>
        <sz val="10"/>
        <rFont val="宋体"/>
        <family val="3"/>
        <charset val="134"/>
      </rPr>
      <t>、材质调整</t>
    </r>
    <r>
      <rPr>
        <sz val="10"/>
        <rFont val="Arial"/>
        <family val="2"/>
      </rPr>
      <t xml:space="preserve"> 3</t>
    </r>
    <r>
      <rPr>
        <sz val="10"/>
        <rFont val="宋体"/>
        <family val="3"/>
        <charset val="134"/>
      </rPr>
      <t>、摄像头</t>
    </r>
    <r>
      <rPr>
        <sz val="10"/>
        <rFont val="Arial"/>
        <family val="2"/>
      </rPr>
      <t xml:space="preserve"> 4</t>
    </r>
    <r>
      <rPr>
        <sz val="10"/>
        <rFont val="宋体"/>
        <family val="3"/>
        <charset val="134"/>
      </rPr>
      <t>、</t>
    </r>
    <r>
      <rPr>
        <sz val="10"/>
        <rFont val="Arial"/>
        <family val="2"/>
      </rPr>
      <t>UI ICON
2021-5-17</t>
    </r>
    <r>
      <rPr>
        <sz val="10"/>
        <rFont val="宋体"/>
        <family val="3"/>
        <charset val="134"/>
      </rPr>
      <t>：摄像头问题已解决，</t>
    </r>
    <r>
      <rPr>
        <sz val="10"/>
        <rFont val="Arial"/>
        <family val="2"/>
      </rPr>
      <t>UI</t>
    </r>
    <r>
      <rPr>
        <sz val="10"/>
        <rFont val="宋体"/>
        <family val="3"/>
        <charset val="134"/>
      </rPr>
      <t>已部分调试，目前重点调试材质效果。</t>
    </r>
    <r>
      <rPr>
        <sz val="10"/>
        <rFont val="Arial"/>
        <family val="2"/>
      </rPr>
      <t>24</t>
    </r>
    <r>
      <rPr>
        <sz val="10"/>
        <rFont val="宋体"/>
        <family val="3"/>
        <charset val="134"/>
      </rPr>
      <t>号再次review。
2021-5-31：骨骼问题已解决；材质问题已解决；摄像机问题已解决；UI ICON已经解决；今天call相关人员review效果</t>
    </r>
    <r>
      <rPr>
        <sz val="10"/>
        <rFont val="Arial"/>
        <family val="2"/>
      </rPr>
      <t xml:space="preserve">
</t>
    </r>
    <r>
      <rPr>
        <sz val="10"/>
        <rFont val="宋体"/>
        <family val="3"/>
        <charset val="134"/>
      </rPr>
      <t>2020/6/28：已完成</t>
    </r>
    <phoneticPr fontId="34" type="noConversion"/>
  </si>
  <si>
    <t>QNX移植</t>
    <phoneticPr fontId="34" type="noConversion"/>
  </si>
  <si>
    <r>
      <t>2020-6-28</t>
    </r>
    <r>
      <rPr>
        <sz val="10"/>
        <rFont val="宋体"/>
        <family val="3"/>
        <charset val="134"/>
      </rPr>
      <t>：</t>
    </r>
    <r>
      <rPr>
        <sz val="10"/>
        <rFont val="Arial"/>
        <family val="2"/>
      </rPr>
      <t>QNX</t>
    </r>
    <r>
      <rPr>
        <sz val="10"/>
        <rFont val="宋体"/>
        <family val="3"/>
        <charset val="134"/>
      </rPr>
      <t>的窗口系统不一样，需要单独调试，目前demo已没问题，需集成进框架里</t>
    </r>
    <phoneticPr fontId="34" type="noConversion"/>
  </si>
  <si>
    <t>NB在ADS业务的推广</t>
    <phoneticPr fontId="34" type="noConversion"/>
  </si>
  <si>
    <t>蓝鲸5.0 语音形象</t>
    <phoneticPr fontId="34" type="noConversion"/>
  </si>
  <si>
    <t>文档列出NB相关的项目情况</t>
    <phoneticPr fontId="34" type="noConversion"/>
  </si>
  <si>
    <r>
      <t>2020-6-28</t>
    </r>
    <r>
      <rPr>
        <sz val="10"/>
        <rFont val="宋体"/>
        <family val="3"/>
        <charset val="134"/>
      </rPr>
      <t>：本周给出</t>
    </r>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</si>
</sst>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3"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
      <strike/>
      <sz val="11"/>
      <color theme="1"/>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217">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49" fontId="27" fillId="0" borderId="1" xfId="6" applyNumberFormat="1" applyFont="1" applyFill="1" applyBorder="1" applyAlignment="1">
      <alignment horizontal="center" vertical="center" wrapText="1"/>
    </xf>
    <xf numFmtId="176" fontId="27" fillId="0" borderId="1" xfId="6" applyNumberFormat="1" applyFont="1" applyFill="1" applyBorder="1" applyAlignment="1">
      <alignment horizontal="center" vertical="center" wrapText="1"/>
    </xf>
    <xf numFmtId="176" fontId="62" fillId="0" borderId="1" xfId="0" applyNumberFormat="1" applyFont="1" applyBorder="1" applyAlignment="1">
      <alignment vertical="center" wrapText="1"/>
    </xf>
    <xf numFmtId="176" fontId="27" fillId="0" borderId="1" xfId="6" applyNumberFormat="1" applyFont="1" applyFill="1" applyBorder="1" applyAlignment="1" applyProtection="1">
      <alignment horizontal="center" vertical="center" wrapText="1"/>
    </xf>
    <xf numFmtId="176" fontId="27" fillId="0" borderId="1" xfId="6" applyNumberFormat="1" applyFont="1" applyFill="1" applyBorder="1" applyAlignment="1">
      <alignment horizontal="left" vertical="center" wrapText="1"/>
    </xf>
    <xf numFmtId="176" fontId="27" fillId="0" borderId="0" xfId="6" applyNumberFormat="1" applyFont="1" applyFill="1" applyBorder="1" applyAlignment="1">
      <alignment vertical="center"/>
    </xf>
    <xf numFmtId="176" fontId="62" fillId="0" borderId="0" xfId="0" applyNumberFormat="1" applyFo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10" fillId="0" borderId="1" xfId="0" applyNumberFormat="1" applyFont="1" applyBorder="1" applyAlignment="1">
      <alignment horizontal="left" vertical="center" wrapText="1"/>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651">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650"/>
      <tableStyleElement type="headerRow" dxfId="649"/>
      <tableStyleElement type="firstRowStripe" dxfId="648"/>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21</xdr:row>
          <xdr:rowOff>83820</xdr:rowOff>
        </xdr:from>
        <xdr:to>
          <xdr:col>2</xdr:col>
          <xdr:colOff>693420</xdr:colOff>
          <xdr:row>22</xdr:row>
          <xdr:rowOff>160020</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14</xdr:row>
          <xdr:rowOff>83820</xdr:rowOff>
        </xdr:from>
        <xdr:to>
          <xdr:col>2</xdr:col>
          <xdr:colOff>693420</xdr:colOff>
          <xdr:row>15</xdr:row>
          <xdr:rowOff>160020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15</xdr:row>
          <xdr:rowOff>83820</xdr:rowOff>
        </xdr:from>
        <xdr:to>
          <xdr:col>2</xdr:col>
          <xdr:colOff>693420</xdr:colOff>
          <xdr:row>16</xdr:row>
          <xdr:rowOff>160020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88</xdr:row>
          <xdr:rowOff>83820</xdr:rowOff>
        </xdr:from>
        <xdr:to>
          <xdr:col>1</xdr:col>
          <xdr:colOff>800100</xdr:colOff>
          <xdr:row>89</xdr:row>
          <xdr:rowOff>160020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30</xdr:row>
          <xdr:rowOff>83820</xdr:rowOff>
        </xdr:from>
        <xdr:to>
          <xdr:col>1</xdr:col>
          <xdr:colOff>800100</xdr:colOff>
          <xdr:row>31</xdr:row>
          <xdr:rowOff>160020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27</xdr:row>
          <xdr:rowOff>83820</xdr:rowOff>
        </xdr:from>
        <xdr:to>
          <xdr:col>1</xdr:col>
          <xdr:colOff>800100</xdr:colOff>
          <xdr:row>28</xdr:row>
          <xdr:rowOff>160020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13</xdr:row>
          <xdr:rowOff>83820</xdr:rowOff>
        </xdr:from>
        <xdr:to>
          <xdr:col>2</xdr:col>
          <xdr:colOff>693420</xdr:colOff>
          <xdr:row>14</xdr:row>
          <xdr:rowOff>160020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21</xdr:row>
          <xdr:rowOff>83820</xdr:rowOff>
        </xdr:from>
        <xdr:to>
          <xdr:col>2</xdr:col>
          <xdr:colOff>693420</xdr:colOff>
          <xdr:row>22</xdr:row>
          <xdr:rowOff>160020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13</xdr:row>
          <xdr:rowOff>83820</xdr:rowOff>
        </xdr:from>
        <xdr:to>
          <xdr:col>2</xdr:col>
          <xdr:colOff>693420</xdr:colOff>
          <xdr:row>14</xdr:row>
          <xdr:rowOff>160020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12</xdr:row>
          <xdr:rowOff>83820</xdr:rowOff>
        </xdr:from>
        <xdr:to>
          <xdr:col>2</xdr:col>
          <xdr:colOff>693420</xdr:colOff>
          <xdr:row>13</xdr:row>
          <xdr:rowOff>160020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647" dataDxfId="646">
  <tableColumns count="4">
    <tableColumn id="1" name="日期" dataDxfId="645"/>
    <tableColumn id="2" name="里程碑" dataDxfId="644"/>
    <tableColumn id="4" name="位置" dataDxfId="643"/>
    <tableColumn id="5" name="比较基准" dataDxfId="642">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omments" Target="../comments10.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ColWidth="9" defaultRowHeight="30" customHeight="1" x14ac:dyDescent="0.35"/>
  <cols>
    <col min="1" max="1" width="3.109375" style="46" customWidth="1"/>
    <col min="2" max="2" width="31.88671875" style="44" customWidth="1"/>
    <col min="3" max="3" width="9.88671875" style="44" customWidth="1"/>
    <col min="4" max="4" width="13" style="44" customWidth="1"/>
    <col min="5" max="5" width="11.6640625" style="45" customWidth="1"/>
    <col min="6" max="6" width="11.21875" style="44" customWidth="1"/>
    <col min="7" max="7" width="3.109375" style="44" customWidth="1"/>
    <col min="8" max="8" width="7.88671875" style="44" customWidth="1"/>
    <col min="9" max="9" width="39.6640625" style="44" customWidth="1"/>
    <col min="10" max="65" width="3" style="44" customWidth="1"/>
    <col min="66" max="16384" width="9" style="44"/>
  </cols>
  <sheetData>
    <row r="1" spans="1:65" ht="30" customHeight="1" x14ac:dyDescent="0.7">
      <c r="A1" s="59" t="s">
        <v>336</v>
      </c>
      <c r="B1" s="121" t="s">
        <v>335</v>
      </c>
      <c r="C1" s="120"/>
      <c r="D1" s="117"/>
      <c r="E1" s="119"/>
      <c r="F1" s="118"/>
      <c r="H1" s="117"/>
      <c r="I1" s="117"/>
      <c r="J1" s="49" t="s">
        <v>334</v>
      </c>
    </row>
    <row r="2" spans="1:65" ht="30" customHeight="1" x14ac:dyDescent="0.4">
      <c r="A2" s="46" t="s">
        <v>333</v>
      </c>
      <c r="B2" s="116" t="s">
        <v>332</v>
      </c>
      <c r="J2" s="115" t="s">
        <v>331</v>
      </c>
    </row>
    <row r="3" spans="1:65" ht="30" customHeight="1" x14ac:dyDescent="0.35">
      <c r="A3" s="46" t="s">
        <v>330</v>
      </c>
      <c r="B3" s="114" t="s">
        <v>329</v>
      </c>
      <c r="C3" s="210" t="s">
        <v>328</v>
      </c>
      <c r="D3" s="211"/>
      <c r="E3" s="209">
        <v>43647</v>
      </c>
      <c r="F3" s="209"/>
    </row>
    <row r="4" spans="1:65" ht="30" customHeight="1" x14ac:dyDescent="0.35">
      <c r="A4" s="59" t="s">
        <v>327</v>
      </c>
      <c r="C4" s="210" t="s">
        <v>326</v>
      </c>
      <c r="D4" s="211"/>
      <c r="E4" s="113">
        <v>25</v>
      </c>
      <c r="J4" s="206">
        <f>J5</f>
        <v>43814</v>
      </c>
      <c r="K4" s="207"/>
      <c r="L4" s="207"/>
      <c r="M4" s="207"/>
      <c r="N4" s="207"/>
      <c r="O4" s="207"/>
      <c r="P4" s="208"/>
      <c r="Q4" s="206">
        <f>Q5</f>
        <v>43821</v>
      </c>
      <c r="R4" s="207"/>
      <c r="S4" s="207"/>
      <c r="T4" s="207"/>
      <c r="U4" s="207"/>
      <c r="V4" s="207"/>
      <c r="W4" s="208"/>
      <c r="X4" s="206">
        <f>X5</f>
        <v>43828</v>
      </c>
      <c r="Y4" s="207"/>
      <c r="Z4" s="207"/>
      <c r="AA4" s="207"/>
      <c r="AB4" s="207"/>
      <c r="AC4" s="207"/>
      <c r="AD4" s="208"/>
      <c r="AE4" s="206">
        <f>AE5</f>
        <v>43835</v>
      </c>
      <c r="AF4" s="207"/>
      <c r="AG4" s="207"/>
      <c r="AH4" s="207"/>
      <c r="AI4" s="207"/>
      <c r="AJ4" s="207"/>
      <c r="AK4" s="208"/>
      <c r="AL4" s="206">
        <f>AL5</f>
        <v>43842</v>
      </c>
      <c r="AM4" s="207"/>
      <c r="AN4" s="207"/>
      <c r="AO4" s="207"/>
      <c r="AP4" s="207"/>
      <c r="AQ4" s="207"/>
      <c r="AR4" s="208"/>
      <c r="AS4" s="206">
        <f>AS5</f>
        <v>43849</v>
      </c>
      <c r="AT4" s="207"/>
      <c r="AU4" s="207"/>
      <c r="AV4" s="207"/>
      <c r="AW4" s="207"/>
      <c r="AX4" s="207"/>
      <c r="AY4" s="208"/>
      <c r="AZ4" s="206">
        <f>AZ5</f>
        <v>43856</v>
      </c>
      <c r="BA4" s="207"/>
      <c r="BB4" s="207"/>
      <c r="BC4" s="207"/>
      <c r="BD4" s="207"/>
      <c r="BE4" s="207"/>
      <c r="BF4" s="208"/>
      <c r="BG4" s="206">
        <f>BG5</f>
        <v>43863</v>
      </c>
      <c r="BH4" s="207"/>
      <c r="BI4" s="207"/>
      <c r="BJ4" s="207"/>
      <c r="BK4" s="207"/>
      <c r="BL4" s="207"/>
      <c r="BM4" s="208"/>
    </row>
    <row r="5" spans="1:65" ht="15" customHeight="1" x14ac:dyDescent="0.35">
      <c r="A5" s="59" t="s">
        <v>325</v>
      </c>
      <c r="B5" s="212"/>
      <c r="C5" s="212"/>
      <c r="D5" s="212"/>
      <c r="E5" s="212"/>
      <c r="F5" s="212"/>
      <c r="G5" s="212"/>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4">
      <c r="A6" s="59" t="s">
        <v>324</v>
      </c>
      <c r="B6" s="109" t="s">
        <v>323</v>
      </c>
      <c r="C6" s="108" t="s">
        <v>322</v>
      </c>
      <c r="D6" s="108" t="s">
        <v>321</v>
      </c>
      <c r="E6" s="108" t="s">
        <v>320</v>
      </c>
      <c r="F6" s="108" t="s">
        <v>319</v>
      </c>
      <c r="G6" s="108"/>
      <c r="H6" s="108" t="s">
        <v>318</v>
      </c>
      <c r="I6" s="107" t="s">
        <v>317</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4">
      <c r="A7" s="46" t="s">
        <v>316</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4">
      <c r="A8" s="59" t="s">
        <v>315</v>
      </c>
      <c r="B8" s="104" t="s">
        <v>314</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4">
      <c r="A9" s="59" t="s">
        <v>313</v>
      </c>
      <c r="B9" s="99" t="s">
        <v>312</v>
      </c>
      <c r="C9" s="98" t="s">
        <v>285</v>
      </c>
      <c r="D9" s="97">
        <v>0.8</v>
      </c>
      <c r="E9" s="96">
        <v>43647</v>
      </c>
      <c r="F9" s="96">
        <f>E9+2</f>
        <v>43649</v>
      </c>
      <c r="G9" s="61"/>
      <c r="H9" s="61">
        <f t="shared" si="4"/>
        <v>3</v>
      </c>
      <c r="I9" s="66" t="s">
        <v>311</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4">
      <c r="A10" s="59"/>
      <c r="B10" s="99" t="s">
        <v>310</v>
      </c>
      <c r="C10" s="98" t="s">
        <v>285</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4">
      <c r="A11" s="59" t="s">
        <v>309</v>
      </c>
      <c r="B11" s="99" t="s">
        <v>308</v>
      </c>
      <c r="C11" s="98" t="s">
        <v>285</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4">
      <c r="A12" s="46"/>
      <c r="B12" s="99" t="s">
        <v>307</v>
      </c>
      <c r="C12" s="98" t="s">
        <v>285</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4">
      <c r="A13" s="46"/>
      <c r="B13" s="99" t="s">
        <v>306</v>
      </c>
      <c r="C13" s="98" t="s">
        <v>285</v>
      </c>
      <c r="D13" s="97">
        <v>0.9</v>
      </c>
      <c r="E13" s="96">
        <v>43658</v>
      </c>
      <c r="F13" s="96">
        <f>E13+14</f>
        <v>43672</v>
      </c>
      <c r="G13" s="61"/>
      <c r="H13" s="61">
        <f t="shared" si="4"/>
        <v>15</v>
      </c>
      <c r="I13" s="89" t="s">
        <v>305</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4">
      <c r="A14" s="46"/>
      <c r="B14" s="99" t="s">
        <v>304</v>
      </c>
      <c r="C14" s="98" t="s">
        <v>285</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4">
      <c r="A15" s="46"/>
      <c r="B15" s="99" t="s">
        <v>303</v>
      </c>
      <c r="C15" s="98" t="s">
        <v>285</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4">
      <c r="A16" s="46"/>
      <c r="B16" s="99" t="s">
        <v>302</v>
      </c>
      <c r="C16" s="98" t="s">
        <v>285</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4">
      <c r="A17" s="46"/>
      <c r="B17" s="99" t="s">
        <v>301</v>
      </c>
      <c r="C17" s="98" t="s">
        <v>285</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4">
      <c r="A18" s="46"/>
      <c r="B18" s="99" t="s">
        <v>300</v>
      </c>
      <c r="C18" s="98" t="s">
        <v>285</v>
      </c>
      <c r="D18" s="97">
        <v>0.9</v>
      </c>
      <c r="E18" s="96">
        <v>43689</v>
      </c>
      <c r="F18" s="96">
        <f>E18+2</f>
        <v>43691</v>
      </c>
      <c r="G18" s="61"/>
      <c r="H18" s="61">
        <f t="shared" si="4"/>
        <v>3</v>
      </c>
      <c r="I18" s="89" t="s">
        <v>299</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4">
      <c r="A19" s="46"/>
      <c r="B19" s="99" t="s">
        <v>298</v>
      </c>
      <c r="C19" s="98" t="s">
        <v>285</v>
      </c>
      <c r="D19" s="97">
        <v>0.8</v>
      </c>
      <c r="E19" s="96">
        <v>43811</v>
      </c>
      <c r="F19" s="96">
        <f>E19+10</f>
        <v>43821</v>
      </c>
      <c r="G19" s="61"/>
      <c r="H19" s="61">
        <f t="shared" si="4"/>
        <v>11</v>
      </c>
      <c r="I19" s="89" t="s">
        <v>297</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4">
      <c r="A20" s="46"/>
      <c r="B20" s="99" t="s">
        <v>296</v>
      </c>
      <c r="C20" s="98" t="s">
        <v>285</v>
      </c>
      <c r="D20" s="97">
        <v>0.85</v>
      </c>
      <c r="E20" s="96">
        <v>43823</v>
      </c>
      <c r="F20" s="96">
        <f>E20+3</f>
        <v>43826</v>
      </c>
      <c r="G20" s="61"/>
      <c r="H20" s="61">
        <f t="shared" si="4"/>
        <v>4</v>
      </c>
      <c r="I20" s="66" t="s">
        <v>295</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4">
      <c r="A21" s="46"/>
      <c r="B21" s="99" t="s">
        <v>294</v>
      </c>
      <c r="C21" s="98" t="s">
        <v>285</v>
      </c>
      <c r="D21" s="97">
        <v>0.9</v>
      </c>
      <c r="E21" s="96">
        <v>43702</v>
      </c>
      <c r="F21" s="96">
        <f>E21+7</f>
        <v>43709</v>
      </c>
      <c r="G21" s="61"/>
      <c r="H21" s="61">
        <f t="shared" si="4"/>
        <v>8</v>
      </c>
      <c r="I21" s="66" t="s">
        <v>293</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4">
      <c r="A22" s="46"/>
      <c r="B22" s="99" t="s">
        <v>292</v>
      </c>
      <c r="C22" s="98" t="s">
        <v>285</v>
      </c>
      <c r="D22" s="97">
        <v>0.7</v>
      </c>
      <c r="E22" s="96">
        <v>43703</v>
      </c>
      <c r="F22" s="96">
        <f>E22+7</f>
        <v>43710</v>
      </c>
      <c r="G22" s="61"/>
      <c r="H22" s="61">
        <f t="shared" si="4"/>
        <v>8</v>
      </c>
      <c r="I22" s="89" t="s">
        <v>290</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4">
      <c r="A23" s="46"/>
      <c r="B23" s="99" t="s">
        <v>291</v>
      </c>
      <c r="C23" s="98" t="s">
        <v>285</v>
      </c>
      <c r="D23" s="97">
        <v>0.7</v>
      </c>
      <c r="E23" s="96">
        <v>43704</v>
      </c>
      <c r="F23" s="96">
        <f>E23+2</f>
        <v>43706</v>
      </c>
      <c r="G23" s="61"/>
      <c r="H23" s="61">
        <f t="shared" si="4"/>
        <v>3</v>
      </c>
      <c r="I23" s="89" t="s">
        <v>290</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4">
      <c r="A24" s="46"/>
      <c r="B24" s="99" t="s">
        <v>289</v>
      </c>
      <c r="C24" s="98" t="s">
        <v>285</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4">
      <c r="A25" s="46"/>
      <c r="B25" s="99" t="s">
        <v>288</v>
      </c>
      <c r="C25" s="98" t="s">
        <v>285</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4">
      <c r="A26" s="46"/>
      <c r="B26" s="99" t="s">
        <v>287</v>
      </c>
      <c r="C26" s="98" t="s">
        <v>285</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4">
      <c r="A27" s="46"/>
      <c r="B27" s="99" t="s">
        <v>286</v>
      </c>
      <c r="C27" s="98" t="s">
        <v>285</v>
      </c>
      <c r="D27" s="97">
        <v>0.5</v>
      </c>
      <c r="E27" s="96">
        <f>F13</f>
        <v>43672</v>
      </c>
      <c r="F27" s="96">
        <f>E27+1</f>
        <v>43673</v>
      </c>
      <c r="G27" s="61"/>
      <c r="H27" s="61">
        <f t="shared" si="4"/>
        <v>2</v>
      </c>
      <c r="I27" s="89" t="s">
        <v>284</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4">
      <c r="A28" s="46"/>
      <c r="B28" s="99" t="s">
        <v>283</v>
      </c>
      <c r="C28" s="98" t="s">
        <v>119</v>
      </c>
      <c r="D28" s="97">
        <v>0.9</v>
      </c>
      <c r="E28" s="96">
        <v>43879</v>
      </c>
      <c r="F28" s="96">
        <f>E28+3</f>
        <v>43882</v>
      </c>
      <c r="G28" s="61"/>
      <c r="H28" s="61">
        <f t="shared" si="4"/>
        <v>4</v>
      </c>
      <c r="I28" s="66" t="s">
        <v>282</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4">
      <c r="A29" s="46"/>
      <c r="B29" s="99" t="s">
        <v>281</v>
      </c>
      <c r="C29" s="98" t="s">
        <v>119</v>
      </c>
      <c r="D29" s="97">
        <v>0.8</v>
      </c>
      <c r="E29" s="96">
        <v>43843</v>
      </c>
      <c r="F29" s="96">
        <f>E29+7</f>
        <v>43850</v>
      </c>
      <c r="G29" s="61"/>
      <c r="H29" s="61">
        <f t="shared" si="4"/>
        <v>8</v>
      </c>
      <c r="I29" s="66" t="s">
        <v>280</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4">
      <c r="A30" s="46"/>
      <c r="B30" s="99" t="s">
        <v>279</v>
      </c>
      <c r="C30" s="98" t="s">
        <v>119</v>
      </c>
      <c r="D30" s="97">
        <v>0.5</v>
      </c>
      <c r="E30" s="96">
        <v>43843</v>
      </c>
      <c r="F30" s="96">
        <f>E30+7</f>
        <v>43850</v>
      </c>
      <c r="G30" s="61"/>
      <c r="H30" s="61">
        <f t="shared" si="4"/>
        <v>8</v>
      </c>
      <c r="I30" s="89" t="s">
        <v>278</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4">
      <c r="A31" s="46"/>
      <c r="B31" s="99" t="s">
        <v>277</v>
      </c>
      <c r="C31" s="98" t="s">
        <v>119</v>
      </c>
      <c r="D31" s="97">
        <v>0</v>
      </c>
      <c r="E31" s="96"/>
      <c r="F31" s="96">
        <f>E31+3</f>
        <v>3</v>
      </c>
      <c r="G31" s="61"/>
      <c r="H31" s="61" t="str">
        <f t="shared" si="4"/>
        <v/>
      </c>
      <c r="I31" s="66" t="s">
        <v>276</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4">
      <c r="A32" s="46"/>
      <c r="B32" s="99" t="s">
        <v>275</v>
      </c>
      <c r="C32" s="98" t="s">
        <v>119</v>
      </c>
      <c r="D32" s="97">
        <v>0.5</v>
      </c>
      <c r="E32" s="96">
        <v>43843</v>
      </c>
      <c r="F32" s="96">
        <f>E32+7</f>
        <v>43850</v>
      </c>
      <c r="G32" s="61"/>
      <c r="H32" s="61">
        <f t="shared" si="4"/>
        <v>8</v>
      </c>
      <c r="I32" s="66" t="s">
        <v>274</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4">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4">
      <c r="A34" s="59" t="s">
        <v>273</v>
      </c>
      <c r="B34" s="95" t="s">
        <v>272</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4">
      <c r="A35" s="59"/>
      <c r="B35" s="88" t="s">
        <v>271</v>
      </c>
      <c r="C35" s="87" t="s">
        <v>119</v>
      </c>
      <c r="D35" s="87">
        <v>0.95</v>
      </c>
      <c r="E35" s="86">
        <v>43709</v>
      </c>
      <c r="F35" s="86">
        <f>E35+3</f>
        <v>43712</v>
      </c>
      <c r="G35" s="61"/>
      <c r="H35" s="61">
        <f t="shared" si="4"/>
        <v>4</v>
      </c>
      <c r="I35" s="66" t="s">
        <v>270</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4">
      <c r="A36" s="59"/>
      <c r="B36" s="88" t="s">
        <v>269</v>
      </c>
      <c r="C36" s="87" t="s">
        <v>119</v>
      </c>
      <c r="D36" s="87">
        <v>0.5</v>
      </c>
      <c r="E36" s="86">
        <v>43712</v>
      </c>
      <c r="F36" s="86">
        <f>E36+3</f>
        <v>43715</v>
      </c>
      <c r="G36" s="61"/>
      <c r="H36" s="61">
        <f t="shared" si="4"/>
        <v>4</v>
      </c>
      <c r="I36" s="89" t="s">
        <v>268</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4">
      <c r="A37" s="46"/>
      <c r="B37" s="88" t="s">
        <v>267</v>
      </c>
      <c r="C37" s="87" t="s">
        <v>119</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4">
      <c r="A38" s="46"/>
      <c r="B38" s="88" t="s">
        <v>266</v>
      </c>
      <c r="C38" s="87" t="s">
        <v>119</v>
      </c>
      <c r="D38" s="87">
        <v>0.4</v>
      </c>
      <c r="E38" s="86">
        <v>43721</v>
      </c>
      <c r="F38" s="86">
        <f>E38+1</f>
        <v>43722</v>
      </c>
      <c r="G38" s="61"/>
      <c r="H38" s="61">
        <f t="shared" si="4"/>
        <v>2</v>
      </c>
      <c r="I38" s="89" t="s">
        <v>265</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4">
      <c r="A39" s="46"/>
      <c r="B39" s="88" t="s">
        <v>264</v>
      </c>
      <c r="C39" s="87" t="s">
        <v>119</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4">
      <c r="A40" s="46"/>
      <c r="B40" s="88" t="s">
        <v>263</v>
      </c>
      <c r="C40" s="87" t="s">
        <v>119</v>
      </c>
      <c r="D40" s="87">
        <v>0.4</v>
      </c>
      <c r="E40" s="86">
        <v>43723</v>
      </c>
      <c r="F40" s="86">
        <f>E40+3</f>
        <v>43726</v>
      </c>
      <c r="G40" s="61"/>
      <c r="H40" s="61">
        <f t="shared" si="5"/>
        <v>4</v>
      </c>
      <c r="I40" s="89" t="s">
        <v>262</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4">
      <c r="A41" s="46"/>
      <c r="B41" s="88" t="s">
        <v>261</v>
      </c>
      <c r="C41" s="87" t="s">
        <v>119</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4">
      <c r="A42" s="46"/>
      <c r="B42" s="88" t="s">
        <v>260</v>
      </c>
      <c r="C42" s="87"/>
      <c r="D42" s="87">
        <v>0.5</v>
      </c>
      <c r="E42" s="86">
        <v>43727</v>
      </c>
      <c r="F42" s="86">
        <f>E42+1</f>
        <v>43728</v>
      </c>
      <c r="G42" s="61"/>
      <c r="H42" s="61">
        <f t="shared" si="5"/>
        <v>2</v>
      </c>
      <c r="I42" s="66" t="s">
        <v>259</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4">
      <c r="A43" s="46"/>
      <c r="B43" s="88" t="s">
        <v>258</v>
      </c>
      <c r="C43" s="87" t="s">
        <v>119</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4">
      <c r="A44" s="46"/>
      <c r="B44" s="88" t="s">
        <v>257</v>
      </c>
      <c r="C44" s="87" t="s">
        <v>119</v>
      </c>
      <c r="D44" s="87">
        <v>0.95</v>
      </c>
      <c r="E44" s="86">
        <v>43725</v>
      </c>
      <c r="F44" s="86">
        <f>E44+4</f>
        <v>43729</v>
      </c>
      <c r="G44" s="61"/>
      <c r="H44" s="61">
        <f t="shared" si="5"/>
        <v>5</v>
      </c>
      <c r="I44" s="89" t="s">
        <v>256</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4">
      <c r="A45" s="46"/>
      <c r="B45" s="88" t="s">
        <v>255</v>
      </c>
      <c r="C45" s="87" t="s">
        <v>119</v>
      </c>
      <c r="D45" s="87">
        <v>0.8</v>
      </c>
      <c r="E45" s="86">
        <v>43862</v>
      </c>
      <c r="F45" s="86">
        <f t="shared" ref="F45:F76" si="6">E45+28</f>
        <v>43890</v>
      </c>
      <c r="G45" s="61"/>
      <c r="H45" s="61">
        <f t="shared" si="5"/>
        <v>29</v>
      </c>
      <c r="I45" s="89" t="s">
        <v>254</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4">
      <c r="A46" s="46"/>
      <c r="B46" s="88" t="s">
        <v>253</v>
      </c>
      <c r="C46" s="87" t="s">
        <v>119</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4">
      <c r="A47" s="46"/>
      <c r="B47" s="88" t="s">
        <v>252</v>
      </c>
      <c r="C47" s="87" t="s">
        <v>119</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4">
      <c r="A48" s="46"/>
      <c r="B48" s="88" t="s">
        <v>251</v>
      </c>
      <c r="C48" s="87" t="s">
        <v>119</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4">
      <c r="A49" s="46"/>
      <c r="B49" s="88" t="s">
        <v>250</v>
      </c>
      <c r="C49" s="87" t="s">
        <v>119</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4">
      <c r="A50" s="46"/>
      <c r="B50" s="88" t="s">
        <v>249</v>
      </c>
      <c r="C50" s="87" t="s">
        <v>119</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4">
      <c r="A51" s="46"/>
      <c r="B51" s="88" t="s">
        <v>248</v>
      </c>
      <c r="C51" s="87" t="s">
        <v>119</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4">
      <c r="A52" s="46"/>
      <c r="B52" s="88" t="s">
        <v>248</v>
      </c>
      <c r="C52" s="87" t="s">
        <v>119</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4">
      <c r="A53" s="46"/>
      <c r="B53" s="88" t="s">
        <v>247</v>
      </c>
      <c r="C53" s="87" t="s">
        <v>119</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4">
      <c r="A54" s="46"/>
      <c r="B54" s="88" t="s">
        <v>246</v>
      </c>
      <c r="C54" s="87" t="s">
        <v>119</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4">
      <c r="A55" s="46"/>
      <c r="B55" s="88" t="s">
        <v>245</v>
      </c>
      <c r="C55" s="87" t="s">
        <v>119</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4">
      <c r="A56" s="46"/>
      <c r="B56" s="88" t="s">
        <v>244</v>
      </c>
      <c r="C56" s="87" t="s">
        <v>119</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4">
      <c r="A57" s="46"/>
      <c r="B57" s="88" t="s">
        <v>243</v>
      </c>
      <c r="C57" s="87" t="s">
        <v>119</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4">
      <c r="A58" s="46"/>
      <c r="B58" s="88" t="s">
        <v>242</v>
      </c>
      <c r="C58" s="87" t="s">
        <v>119</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4">
      <c r="A59" s="46"/>
      <c r="B59" s="88" t="s">
        <v>241</v>
      </c>
      <c r="C59" s="87" t="s">
        <v>119</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4">
      <c r="A60" s="46"/>
      <c r="B60" s="88" t="s">
        <v>240</v>
      </c>
      <c r="C60" s="87" t="s">
        <v>119</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4">
      <c r="A61" s="46"/>
      <c r="B61" s="88" t="s">
        <v>239</v>
      </c>
      <c r="C61" s="87" t="s">
        <v>119</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4">
      <c r="A62" s="46"/>
      <c r="B62" s="88" t="s">
        <v>238</v>
      </c>
      <c r="C62" s="87" t="s">
        <v>119</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4">
      <c r="A63" s="46"/>
      <c r="B63" s="88" t="s">
        <v>237</v>
      </c>
      <c r="C63" s="87" t="s">
        <v>222</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4">
      <c r="A64" s="46"/>
      <c r="B64" s="88" t="s">
        <v>236</v>
      </c>
      <c r="C64" s="87" t="s">
        <v>222</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4">
      <c r="A65" s="46"/>
      <c r="B65" s="88" t="s">
        <v>235</v>
      </c>
      <c r="C65" s="87" t="s">
        <v>222</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4">
      <c r="A66" s="46"/>
      <c r="B66" s="88" t="s">
        <v>234</v>
      </c>
      <c r="C66" s="87" t="s">
        <v>179</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4">
      <c r="A67" s="46"/>
      <c r="B67" s="88" t="s">
        <v>233</v>
      </c>
      <c r="C67" s="87" t="s">
        <v>179</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4">
      <c r="A68" s="46"/>
      <c r="B68" s="88" t="s">
        <v>232</v>
      </c>
      <c r="C68" s="87" t="s">
        <v>179</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4">
      <c r="A69" s="46"/>
      <c r="B69" s="88" t="s">
        <v>231</v>
      </c>
      <c r="C69" s="87" t="s">
        <v>222</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4">
      <c r="A70" s="46"/>
      <c r="B70" s="88" t="s">
        <v>230</v>
      </c>
      <c r="C70" s="87" t="s">
        <v>119</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4">
      <c r="A71" s="46"/>
      <c r="B71" s="88" t="s">
        <v>229</v>
      </c>
      <c r="C71" s="87" t="s">
        <v>119</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4">
      <c r="A72" s="46"/>
      <c r="B72" s="88" t="s">
        <v>228</v>
      </c>
      <c r="C72" s="87" t="s">
        <v>119</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4">
      <c r="A73" s="46"/>
      <c r="B73" s="88" t="s">
        <v>227</v>
      </c>
      <c r="C73" s="87" t="s">
        <v>119</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4">
      <c r="A74" s="46"/>
      <c r="B74" s="88" t="s">
        <v>226</v>
      </c>
      <c r="C74" s="87" t="s">
        <v>179</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4">
      <c r="A75" s="46"/>
      <c r="B75" s="88" t="s">
        <v>225</v>
      </c>
      <c r="C75" s="87" t="s">
        <v>179</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4">
      <c r="A76" s="46"/>
      <c r="B76" s="88" t="s">
        <v>224</v>
      </c>
      <c r="C76" s="87" t="s">
        <v>119</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4">
      <c r="A77" s="46"/>
      <c r="B77" s="88" t="s">
        <v>223</v>
      </c>
      <c r="C77" s="87" t="s">
        <v>222</v>
      </c>
      <c r="D77" s="87">
        <v>0.3</v>
      </c>
      <c r="E77" s="86">
        <v>43730</v>
      </c>
      <c r="F77" s="86">
        <f>E77+5</f>
        <v>43735</v>
      </c>
      <c r="G77" s="61"/>
      <c r="H77" s="61">
        <f t="shared" si="7"/>
        <v>6</v>
      </c>
      <c r="I77" s="89" t="s">
        <v>220</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4">
      <c r="A78" s="46"/>
      <c r="B78" s="88" t="s">
        <v>221</v>
      </c>
      <c r="C78" s="87" t="s">
        <v>119</v>
      </c>
      <c r="D78" s="87">
        <v>0.3</v>
      </c>
      <c r="E78" s="86">
        <v>43730</v>
      </c>
      <c r="F78" s="86">
        <f>E78+5</f>
        <v>43735</v>
      </c>
      <c r="G78" s="61"/>
      <c r="H78" s="61">
        <f t="shared" si="7"/>
        <v>6</v>
      </c>
      <c r="I78" s="89" t="s">
        <v>220</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4">
      <c r="A79" s="46"/>
      <c r="B79" s="88" t="s">
        <v>219</v>
      </c>
      <c r="C79" s="87" t="s">
        <v>119</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4">
      <c r="A80" s="46"/>
      <c r="B80" s="88" t="s">
        <v>218</v>
      </c>
      <c r="C80" s="87" t="s">
        <v>119</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4">
      <c r="A81" s="46"/>
      <c r="B81" s="88" t="s">
        <v>217</v>
      </c>
      <c r="C81" s="87" t="s">
        <v>119</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4">
      <c r="A82" s="46"/>
      <c r="B82" s="88" t="s">
        <v>216</v>
      </c>
      <c r="C82" s="87" t="s">
        <v>119</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4">
      <c r="A83" s="46"/>
      <c r="B83" s="88" t="s">
        <v>215</v>
      </c>
      <c r="C83" s="87" t="s">
        <v>119</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4">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4">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4">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4">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4">
      <c r="A88" s="46" t="s">
        <v>184</v>
      </c>
      <c r="B88" s="85" t="s">
        <v>214</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4">
      <c r="A89" s="46"/>
      <c r="B89" s="80" t="s">
        <v>213</v>
      </c>
      <c r="C89" s="79" t="s">
        <v>119</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4">
      <c r="A90" s="46"/>
      <c r="B90" s="80" t="s">
        <v>212</v>
      </c>
      <c r="C90" s="79" t="s">
        <v>179</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4">
      <c r="A91" s="46"/>
      <c r="B91" s="80" t="s">
        <v>211</v>
      </c>
      <c r="C91" s="79" t="s">
        <v>119</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4">
      <c r="A92" s="46"/>
      <c r="B92" s="80" t="s">
        <v>210</v>
      </c>
      <c r="C92" s="79" t="s">
        <v>119</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4">
      <c r="A93" s="46"/>
      <c r="B93" s="80" t="s">
        <v>209</v>
      </c>
      <c r="C93" s="79" t="s">
        <v>119</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4">
      <c r="A94" s="46"/>
      <c r="B94" s="80" t="s">
        <v>208</v>
      </c>
      <c r="C94" s="79" t="s">
        <v>179</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4">
      <c r="A95" s="46"/>
      <c r="B95" s="80" t="s">
        <v>207</v>
      </c>
      <c r="C95" s="79" t="s">
        <v>119</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4">
      <c r="A96" s="46"/>
      <c r="B96" s="80" t="s">
        <v>206</v>
      </c>
      <c r="C96" s="79" t="s">
        <v>119</v>
      </c>
      <c r="D96" s="78">
        <v>0.5</v>
      </c>
      <c r="E96" s="77">
        <v>43770</v>
      </c>
      <c r="F96" s="77">
        <f>E96+2</f>
        <v>43772</v>
      </c>
      <c r="G96" s="61"/>
      <c r="H96" s="61">
        <f t="shared" si="8"/>
        <v>3</v>
      </c>
      <c r="I96" s="66" t="s">
        <v>205</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4">
      <c r="A97" s="46"/>
      <c r="B97" s="80" t="s">
        <v>204</v>
      </c>
      <c r="C97" s="79" t="s">
        <v>179</v>
      </c>
      <c r="D97" s="78">
        <v>0.5</v>
      </c>
      <c r="E97" s="77">
        <v>43770</v>
      </c>
      <c r="F97" s="77">
        <f>E97+2</f>
        <v>43772</v>
      </c>
      <c r="G97" s="61"/>
      <c r="H97" s="61">
        <f t="shared" si="8"/>
        <v>3</v>
      </c>
      <c r="I97" s="66" t="s">
        <v>203</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4">
      <c r="A98" s="46"/>
      <c r="B98" s="80" t="s">
        <v>202</v>
      </c>
      <c r="C98" s="79" t="s">
        <v>119</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4">
      <c r="A99" s="46"/>
      <c r="B99" s="80" t="s">
        <v>201</v>
      </c>
      <c r="C99" s="79" t="s">
        <v>119</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4">
      <c r="A100" s="46"/>
      <c r="B100" s="80" t="s">
        <v>200</v>
      </c>
      <c r="C100" s="79" t="s">
        <v>119</v>
      </c>
      <c r="D100" s="78">
        <v>0.9</v>
      </c>
      <c r="E100" s="77">
        <v>43773</v>
      </c>
      <c r="F100" s="77">
        <f>E100+7</f>
        <v>43780</v>
      </c>
      <c r="G100" s="61"/>
      <c r="H100" s="61">
        <f t="shared" si="8"/>
        <v>8</v>
      </c>
      <c r="I100" s="66" t="s">
        <v>338</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4">
      <c r="A101" s="46"/>
      <c r="B101" s="80" t="s">
        <v>199</v>
      </c>
      <c r="C101" s="79" t="s">
        <v>198</v>
      </c>
      <c r="D101" s="78">
        <v>0.8</v>
      </c>
      <c r="E101" s="77">
        <v>43885</v>
      </c>
      <c r="F101" s="77">
        <f>E101+14</f>
        <v>43899</v>
      </c>
      <c r="G101" s="61"/>
      <c r="H101" s="61">
        <f t="shared" si="8"/>
        <v>15</v>
      </c>
      <c r="I101" s="66" t="s">
        <v>337</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4">
      <c r="A102" s="46"/>
      <c r="B102" s="80" t="s">
        <v>197</v>
      </c>
      <c r="C102" s="79" t="s">
        <v>119</v>
      </c>
      <c r="D102" s="78">
        <v>0.8</v>
      </c>
      <c r="E102" s="77">
        <v>43781</v>
      </c>
      <c r="F102" s="77">
        <f>E102+7</f>
        <v>43788</v>
      </c>
      <c r="G102" s="61"/>
      <c r="H102" s="61">
        <f t="shared" si="8"/>
        <v>8</v>
      </c>
      <c r="I102" s="66" t="s">
        <v>339</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4">
      <c r="A103" s="46"/>
      <c r="B103" s="80" t="s">
        <v>196</v>
      </c>
      <c r="C103" s="79" t="s">
        <v>119</v>
      </c>
      <c r="D103" s="78">
        <v>0.7</v>
      </c>
      <c r="E103" s="77">
        <v>43789</v>
      </c>
      <c r="F103" s="77">
        <f>E103+3</f>
        <v>43792</v>
      </c>
      <c r="G103" s="61"/>
      <c r="H103" s="61">
        <f t="shared" si="8"/>
        <v>4</v>
      </c>
      <c r="I103" s="66" t="s">
        <v>339</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4">
      <c r="A104" s="46"/>
      <c r="B104" s="80" t="s">
        <v>195</v>
      </c>
      <c r="C104" s="79" t="s">
        <v>119</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4">
      <c r="A105" s="46"/>
      <c r="B105" s="80" t="s">
        <v>194</v>
      </c>
      <c r="C105" s="79" t="s">
        <v>119</v>
      </c>
      <c r="D105" s="78">
        <v>0.1</v>
      </c>
      <c r="E105" s="77">
        <v>43796</v>
      </c>
      <c r="F105" s="77">
        <f>E105+5</f>
        <v>43801</v>
      </c>
      <c r="G105" s="61"/>
      <c r="H105" s="61">
        <f t="shared" si="8"/>
        <v>6</v>
      </c>
      <c r="I105" s="66" t="s">
        <v>340</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4">
      <c r="A106" s="46"/>
      <c r="B106" s="80" t="s">
        <v>193</v>
      </c>
      <c r="C106" s="79" t="s">
        <v>119</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4">
      <c r="A107" s="46"/>
      <c r="B107" s="80" t="s">
        <v>192</v>
      </c>
      <c r="C107" s="79" t="s">
        <v>119</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4">
      <c r="A108" s="46"/>
      <c r="B108" s="80" t="s">
        <v>191</v>
      </c>
      <c r="C108" s="79" t="s">
        <v>119</v>
      </c>
      <c r="D108" s="78">
        <v>0.3</v>
      </c>
      <c r="E108" s="77">
        <v>43807</v>
      </c>
      <c r="F108" s="77">
        <f>E108+3</f>
        <v>43810</v>
      </c>
      <c r="G108" s="61"/>
      <c r="H108" s="61">
        <f t="shared" si="8"/>
        <v>4</v>
      </c>
      <c r="I108" s="66" t="s">
        <v>343</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4">
      <c r="A109" s="46"/>
      <c r="B109" s="80" t="s">
        <v>190</v>
      </c>
      <c r="C109" s="79" t="s">
        <v>119</v>
      </c>
      <c r="D109" s="78">
        <v>0</v>
      </c>
      <c r="E109" s="77"/>
      <c r="F109" s="77">
        <f t="shared" si="9"/>
        <v>7</v>
      </c>
      <c r="G109" s="61"/>
      <c r="H109" s="61" t="str">
        <f t="shared" si="8"/>
        <v/>
      </c>
      <c r="I109" s="66" t="s">
        <v>342</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4">
      <c r="A110" s="46"/>
      <c r="B110" s="80" t="s">
        <v>189</v>
      </c>
      <c r="C110" s="79" t="s">
        <v>179</v>
      </c>
      <c r="D110" s="78">
        <v>0</v>
      </c>
      <c r="E110" s="77"/>
      <c r="F110" s="77">
        <f t="shared" si="9"/>
        <v>7</v>
      </c>
      <c r="G110" s="61"/>
      <c r="H110" s="61" t="str">
        <f t="shared" si="8"/>
        <v/>
      </c>
      <c r="I110" s="66" t="s">
        <v>342</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4">
      <c r="A111" s="46"/>
      <c r="B111" s="80" t="s">
        <v>188</v>
      </c>
      <c r="C111" s="79" t="s">
        <v>119</v>
      </c>
      <c r="D111" s="78">
        <v>0.1</v>
      </c>
      <c r="E111" s="77"/>
      <c r="F111" s="77">
        <f t="shared" si="9"/>
        <v>7</v>
      </c>
      <c r="G111" s="61"/>
      <c r="H111" s="61" t="str">
        <f t="shared" si="8"/>
        <v/>
      </c>
      <c r="I111" s="66" t="s">
        <v>341</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4">
      <c r="A112" s="46"/>
      <c r="B112" s="80" t="s">
        <v>187</v>
      </c>
      <c r="C112" s="79" t="s">
        <v>179</v>
      </c>
      <c r="D112" s="78">
        <v>0.1</v>
      </c>
      <c r="E112" s="77"/>
      <c r="F112" s="77">
        <f t="shared" si="9"/>
        <v>7</v>
      </c>
      <c r="G112" s="61"/>
      <c r="H112" s="61" t="str">
        <f t="shared" si="8"/>
        <v/>
      </c>
      <c r="I112" s="66" t="s">
        <v>341</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4">
      <c r="A113" s="46"/>
      <c r="B113" s="80" t="s">
        <v>186</v>
      </c>
      <c r="C113" s="79" t="s">
        <v>179</v>
      </c>
      <c r="D113" s="78">
        <v>0.1</v>
      </c>
      <c r="E113" s="77"/>
      <c r="F113" s="77">
        <f t="shared" si="9"/>
        <v>7</v>
      </c>
      <c r="G113" s="61"/>
      <c r="H113" s="61" t="str">
        <f t="shared" si="8"/>
        <v/>
      </c>
      <c r="I113" s="66" t="s">
        <v>341</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4">
      <c r="A114" s="46"/>
      <c r="B114" s="80" t="s">
        <v>185</v>
      </c>
      <c r="C114" s="79" t="s">
        <v>119</v>
      </c>
      <c r="D114" s="78">
        <v>0.1</v>
      </c>
      <c r="E114" s="77"/>
      <c r="F114" s="77">
        <f t="shared" si="9"/>
        <v>7</v>
      </c>
      <c r="G114" s="61"/>
      <c r="H114" s="61" t="str">
        <f t="shared" si="8"/>
        <v/>
      </c>
      <c r="I114" s="66" t="s">
        <v>341</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4">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4">
      <c r="A116" s="46" t="s">
        <v>184</v>
      </c>
      <c r="B116" s="76" t="s">
        <v>183</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4">
      <c r="A117" s="46"/>
      <c r="B117" s="70" t="s">
        <v>182</v>
      </c>
      <c r="C117" s="69" t="s">
        <v>119</v>
      </c>
      <c r="D117" s="68">
        <v>0.7</v>
      </c>
      <c r="E117" s="71">
        <v>43811</v>
      </c>
      <c r="F117" s="122">
        <f>E117+5</f>
        <v>43816</v>
      </c>
      <c r="G117" s="61"/>
      <c r="H117" s="61">
        <f t="shared" si="10"/>
        <v>6</v>
      </c>
      <c r="I117" s="66" t="s">
        <v>344</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4">
      <c r="A118" s="46"/>
      <c r="B118" s="70" t="s">
        <v>181</v>
      </c>
      <c r="C118" s="69" t="s">
        <v>119</v>
      </c>
      <c r="D118" s="68">
        <v>0.5</v>
      </c>
      <c r="E118" s="67">
        <v>43817</v>
      </c>
      <c r="F118" s="122">
        <f>E118+14</f>
        <v>43831</v>
      </c>
      <c r="G118" s="61"/>
      <c r="H118" s="61">
        <f t="shared" si="10"/>
        <v>15</v>
      </c>
      <c r="I118" s="66" t="s">
        <v>345</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4">
      <c r="A119" s="46"/>
      <c r="B119" s="70" t="s">
        <v>180</v>
      </c>
      <c r="C119" s="69" t="s">
        <v>179</v>
      </c>
      <c r="D119" s="68">
        <v>0.5</v>
      </c>
      <c r="E119" s="67">
        <v>43833</v>
      </c>
      <c r="F119" s="122">
        <f>E119+14</f>
        <v>43847</v>
      </c>
      <c r="G119" s="61"/>
      <c r="H119" s="61">
        <f t="shared" si="10"/>
        <v>15</v>
      </c>
      <c r="I119" s="66" t="s">
        <v>346</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4">
      <c r="A120" s="46"/>
      <c r="B120" s="70" t="s">
        <v>178</v>
      </c>
      <c r="C120" s="69" t="s">
        <v>119</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4">
      <c r="A121" s="46"/>
      <c r="B121" s="70" t="s">
        <v>177</v>
      </c>
      <c r="C121" s="69" t="s">
        <v>119</v>
      </c>
      <c r="D121" s="68">
        <v>0.7</v>
      </c>
      <c r="E121" s="67">
        <v>43837</v>
      </c>
      <c r="F121" s="122">
        <f t="shared" ref="F121:F128" si="11">E121+5</f>
        <v>43842</v>
      </c>
      <c r="G121" s="61"/>
      <c r="H121" s="61">
        <f t="shared" si="10"/>
        <v>6</v>
      </c>
      <c r="I121" s="66" t="s">
        <v>347</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4">
      <c r="A122" s="46"/>
      <c r="B122" s="70" t="s">
        <v>176</v>
      </c>
      <c r="C122" s="69" t="s">
        <v>119</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4">
      <c r="A123" s="46"/>
      <c r="B123" s="70" t="s">
        <v>175</v>
      </c>
      <c r="C123" s="69" t="s">
        <v>119</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4">
      <c r="A124" s="46"/>
      <c r="B124" s="70" t="s">
        <v>174</v>
      </c>
      <c r="C124" s="69" t="s">
        <v>119</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4">
      <c r="A125" s="46"/>
      <c r="B125" s="70" t="s">
        <v>173</v>
      </c>
      <c r="C125" s="69" t="s">
        <v>119</v>
      </c>
      <c r="D125" s="68">
        <v>0.7</v>
      </c>
      <c r="E125" s="67">
        <v>43854</v>
      </c>
      <c r="F125" s="122">
        <f>E125+5</f>
        <v>43859</v>
      </c>
      <c r="G125" s="61"/>
      <c r="H125" s="61">
        <f t="shared" si="10"/>
        <v>6</v>
      </c>
      <c r="I125" s="66" t="s">
        <v>348</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4">
      <c r="A126" s="46"/>
      <c r="B126" s="70" t="s">
        <v>172</v>
      </c>
      <c r="C126" s="69" t="s">
        <v>119</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4">
      <c r="A127" s="46"/>
      <c r="B127" s="70" t="s">
        <v>171</v>
      </c>
      <c r="C127" s="69" t="s">
        <v>119</v>
      </c>
      <c r="D127" s="68">
        <v>0.5</v>
      </c>
      <c r="E127" s="67">
        <v>43862</v>
      </c>
      <c r="F127" s="122">
        <f>E127+2</f>
        <v>43864</v>
      </c>
      <c r="G127" s="61"/>
      <c r="H127" s="61">
        <f t="shared" si="10"/>
        <v>3</v>
      </c>
      <c r="I127" s="66" t="s">
        <v>349</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4">
      <c r="A128" s="46"/>
      <c r="B128" s="70" t="s">
        <v>170</v>
      </c>
      <c r="C128" s="69" t="s">
        <v>119</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4">
      <c r="A129" s="46"/>
      <c r="B129" s="70" t="s">
        <v>169</v>
      </c>
      <c r="C129" s="69" t="s">
        <v>119</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4">
      <c r="A130" s="46"/>
      <c r="B130" s="70" t="s">
        <v>168</v>
      </c>
      <c r="C130" s="69" t="s">
        <v>119</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4">
      <c r="A131" s="46"/>
      <c r="B131" s="70" t="s">
        <v>167</v>
      </c>
      <c r="C131" s="69" t="s">
        <v>119</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4">
      <c r="A132" s="46"/>
      <c r="B132" s="70" t="s">
        <v>166</v>
      </c>
      <c r="C132" s="69" t="s">
        <v>119</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4">
      <c r="A133" s="46"/>
      <c r="B133" s="70" t="s">
        <v>165</v>
      </c>
      <c r="C133" s="69" t="s">
        <v>119</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4">
      <c r="A134" s="46"/>
      <c r="B134" s="70" t="s">
        <v>164</v>
      </c>
      <c r="C134" s="69" t="s">
        <v>119</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4">
      <c r="A135" s="46"/>
      <c r="B135" s="70" t="s">
        <v>163</v>
      </c>
      <c r="C135" s="69" t="s">
        <v>119</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4">
      <c r="A136" s="46"/>
      <c r="B136" s="70" t="s">
        <v>162</v>
      </c>
      <c r="C136" s="69" t="s">
        <v>119</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4">
      <c r="A137" s="46"/>
      <c r="B137" s="70" t="s">
        <v>161</v>
      </c>
      <c r="C137" s="69" t="s">
        <v>119</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4">
      <c r="A138" s="46"/>
      <c r="B138" s="70" t="s">
        <v>160</v>
      </c>
      <c r="C138" s="69" t="s">
        <v>119</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4">
      <c r="A139" s="46"/>
      <c r="B139" s="70" t="s">
        <v>159</v>
      </c>
      <c r="C139" s="69" t="s">
        <v>119</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4">
      <c r="A140" s="46"/>
      <c r="B140" s="70" t="s">
        <v>158</v>
      </c>
      <c r="C140" s="69" t="s">
        <v>119</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4">
      <c r="A141" s="46"/>
      <c r="B141" s="70" t="s">
        <v>157</v>
      </c>
      <c r="C141" s="69" t="s">
        <v>119</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4">
      <c r="A142" s="46"/>
      <c r="B142" s="70" t="s">
        <v>156</v>
      </c>
      <c r="C142" s="69" t="s">
        <v>119</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4">
      <c r="A143" s="46"/>
      <c r="B143" s="70" t="s">
        <v>155</v>
      </c>
      <c r="C143" s="69" t="s">
        <v>119</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4">
      <c r="A144" s="46"/>
      <c r="B144" s="70" t="s">
        <v>154</v>
      </c>
      <c r="C144" s="69" t="s">
        <v>119</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4">
      <c r="A145" s="46"/>
      <c r="B145" s="70" t="s">
        <v>153</v>
      </c>
      <c r="C145" s="69" t="s">
        <v>119</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4">
      <c r="A146" s="46"/>
      <c r="B146" s="70" t="s">
        <v>152</v>
      </c>
      <c r="C146" s="69" t="s">
        <v>119</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4">
      <c r="A147" s="46"/>
      <c r="B147" s="70" t="s">
        <v>151</v>
      </c>
      <c r="C147" s="69" t="s">
        <v>119</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4">
      <c r="A148" s="46"/>
      <c r="B148" s="70" t="s">
        <v>150</v>
      </c>
      <c r="C148" s="69" t="s">
        <v>119</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4">
      <c r="A149" s="46"/>
      <c r="B149" s="70" t="s">
        <v>149</v>
      </c>
      <c r="C149" s="69" t="s">
        <v>119</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4">
      <c r="A150" s="46"/>
      <c r="B150" s="70" t="s">
        <v>148</v>
      </c>
      <c r="C150" s="69" t="s">
        <v>119</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4">
      <c r="A151" s="46"/>
      <c r="B151" s="70" t="s">
        <v>147</v>
      </c>
      <c r="C151" s="69" t="s">
        <v>119</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4">
      <c r="A152" s="46"/>
      <c r="B152" s="70" t="s">
        <v>146</v>
      </c>
      <c r="C152" s="69" t="s">
        <v>119</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4">
      <c r="A153" s="46"/>
      <c r="B153" s="70" t="s">
        <v>145</v>
      </c>
      <c r="C153" s="69" t="s">
        <v>119</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4">
      <c r="A154" s="46"/>
      <c r="B154" s="70" t="s">
        <v>144</v>
      </c>
      <c r="C154" s="69" t="s">
        <v>119</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4">
      <c r="A155" s="46"/>
      <c r="B155" s="70" t="s">
        <v>143</v>
      </c>
      <c r="C155" s="69" t="s">
        <v>119</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4">
      <c r="A156" s="46"/>
      <c r="B156" s="70" t="s">
        <v>142</v>
      </c>
      <c r="C156" s="69" t="s">
        <v>119</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4">
      <c r="A157" s="46"/>
      <c r="B157" s="70" t="s">
        <v>351</v>
      </c>
      <c r="C157" s="69" t="s">
        <v>119</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4">
      <c r="A158" s="46"/>
      <c r="B158" s="70" t="s">
        <v>350</v>
      </c>
      <c r="C158" s="69" t="s">
        <v>119</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4">
      <c r="A159" s="46"/>
      <c r="B159" s="70" t="s">
        <v>352</v>
      </c>
      <c r="C159" s="69" t="s">
        <v>119</v>
      </c>
      <c r="D159" s="68">
        <v>0.3</v>
      </c>
      <c r="E159" s="67"/>
      <c r="F159" s="67"/>
      <c r="G159" s="61"/>
      <c r="H159" s="61" t="str">
        <f t="shared" si="12"/>
        <v/>
      </c>
      <c r="I159" s="66" t="s">
        <v>353</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4">
      <c r="A160" s="46"/>
      <c r="B160" s="70" t="s">
        <v>141</v>
      </c>
      <c r="C160" s="69" t="s">
        <v>119</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4">
      <c r="A161" s="46"/>
      <c r="B161" s="70" t="s">
        <v>140</v>
      </c>
      <c r="C161" s="69" t="s">
        <v>119</v>
      </c>
      <c r="D161" s="68">
        <v>0.6</v>
      </c>
      <c r="E161" s="67"/>
      <c r="F161" s="67"/>
      <c r="G161" s="61"/>
      <c r="H161" s="61" t="str">
        <f t="shared" si="12"/>
        <v/>
      </c>
      <c r="I161" s="66" t="s">
        <v>354</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4">
      <c r="A162" s="46"/>
      <c r="B162" s="70" t="s">
        <v>139</v>
      </c>
      <c r="C162" s="69" t="s">
        <v>119</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4">
      <c r="A163" s="46"/>
      <c r="B163" s="70" t="s">
        <v>138</v>
      </c>
      <c r="C163" s="69" t="s">
        <v>119</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4">
      <c r="A164" s="46"/>
      <c r="B164" s="70" t="s">
        <v>137</v>
      </c>
      <c r="C164" s="69" t="s">
        <v>119</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4">
      <c r="A165" s="46"/>
      <c r="B165" s="70" t="s">
        <v>136</v>
      </c>
      <c r="C165" s="69" t="s">
        <v>119</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4">
      <c r="A166" s="46"/>
      <c r="B166" s="70" t="s">
        <v>135</v>
      </c>
      <c r="C166" s="69" t="s">
        <v>119</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4">
      <c r="A167" s="46"/>
      <c r="B167" s="70" t="s">
        <v>134</v>
      </c>
      <c r="C167" s="69" t="s">
        <v>119</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4">
      <c r="A168" s="46"/>
      <c r="B168" s="70" t="s">
        <v>133</v>
      </c>
      <c r="C168" s="69" t="s">
        <v>119</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4">
      <c r="A169" s="46"/>
      <c r="B169" s="70"/>
      <c r="C169" s="69" t="s">
        <v>119</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4">
      <c r="A170" s="46"/>
      <c r="B170" s="70" t="s">
        <v>132</v>
      </c>
      <c r="C170" s="69" t="s">
        <v>119</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4">
      <c r="A171" s="46"/>
      <c r="B171" s="70" t="s">
        <v>131</v>
      </c>
      <c r="C171" s="69" t="s">
        <v>119</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4">
      <c r="A172" s="46"/>
      <c r="B172" s="70" t="s">
        <v>130</v>
      </c>
      <c r="C172" s="69" t="s">
        <v>119</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4">
      <c r="A173" s="46"/>
      <c r="B173" s="70" t="s">
        <v>129</v>
      </c>
      <c r="C173" s="69" t="s">
        <v>119</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4">
      <c r="A174" s="46"/>
      <c r="B174" s="70" t="s">
        <v>128</v>
      </c>
      <c r="C174" s="69" t="s">
        <v>119</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4">
      <c r="A175" s="46"/>
      <c r="B175" s="70" t="s">
        <v>127</v>
      </c>
      <c r="C175" s="69" t="s">
        <v>119</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4">
      <c r="A176" s="46"/>
      <c r="B176" s="70" t="s">
        <v>126</v>
      </c>
      <c r="C176" s="69" t="s">
        <v>119</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4">
      <c r="A177" s="46"/>
      <c r="B177" s="70" t="s">
        <v>125</v>
      </c>
      <c r="C177" s="69" t="s">
        <v>119</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4">
      <c r="A178" s="46"/>
      <c r="B178" s="70" t="s">
        <v>124</v>
      </c>
      <c r="C178" s="69" t="s">
        <v>119</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4">
      <c r="A179" s="46"/>
      <c r="B179" s="70" t="s">
        <v>123</v>
      </c>
      <c r="C179" s="69" t="s">
        <v>119</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4">
      <c r="A180" s="46"/>
      <c r="B180" s="70" t="s">
        <v>122</v>
      </c>
      <c r="C180" s="69" t="s">
        <v>119</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4">
      <c r="A181" s="46"/>
      <c r="B181" s="70" t="s">
        <v>121</v>
      </c>
      <c r="C181" s="69" t="s">
        <v>119</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4">
      <c r="A182" s="46"/>
      <c r="B182" s="70" t="s">
        <v>120</v>
      </c>
      <c r="C182" s="69" t="s">
        <v>119</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4">
      <c r="A183" s="46"/>
      <c r="B183" s="70" t="s">
        <v>355</v>
      </c>
      <c r="C183" s="69" t="s">
        <v>119</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4">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4">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4">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4">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5">
      <c r="G188" s="50"/>
    </row>
    <row r="189" spans="1:65" ht="30" customHeight="1" x14ac:dyDescent="0.4">
      <c r="C189" s="49"/>
      <c r="F189" s="48"/>
    </row>
    <row r="190" spans="1:65" ht="30" customHeight="1" x14ac:dyDescent="0.35">
      <c r="C190" s="47"/>
    </row>
    <row r="191" spans="1:65" ht="30" customHeight="1" x14ac:dyDescent="0.35">
      <c r="G191" s="123" t="s">
        <v>359</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641" priority="4">
      <formula>AND(TODAY()&gt;=J$5,TODAY()&lt;K$5)</formula>
    </cfRule>
  </conditionalFormatting>
  <conditionalFormatting sqref="J7:BM187">
    <cfRule type="expression" dxfId="640" priority="2">
      <formula>AND(task_start&lt;=J$5,ROUNDDOWN((task_end-task_start+1)*task_progress,0)+task_start-1&gt;=J$5)</formula>
    </cfRule>
    <cfRule type="expression" dxfId="639"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C35" sqref="C35"/>
    </sheetView>
  </sheetViews>
  <sheetFormatPr defaultColWidth="9" defaultRowHeight="19.5" customHeight="1" x14ac:dyDescent="0.25"/>
  <cols>
    <col min="1" max="1" width="3.21875" style="124" customWidth="1"/>
    <col min="2" max="2" width="19.77734375" style="124" customWidth="1"/>
    <col min="3" max="3" width="63.88671875" style="124" customWidth="1"/>
    <col min="4" max="4" width="11.6640625" style="124" customWidth="1"/>
    <col min="5" max="5" width="10.77734375" style="124" hidden="1" customWidth="1"/>
    <col min="6" max="6" width="11" style="124" customWidth="1"/>
    <col min="7" max="7" width="9.88671875" style="124" customWidth="1"/>
    <col min="8" max="11" width="9" style="124"/>
    <col min="12" max="12" width="9.33203125" style="124" customWidth="1"/>
    <col min="13" max="13" width="9" style="124" customWidth="1"/>
    <col min="14" max="14" width="8" style="124" customWidth="1"/>
    <col min="15" max="16384" width="9" style="124"/>
  </cols>
  <sheetData>
    <row r="1" spans="1:14" ht="24.75" customHeight="1" x14ac:dyDescent="0.35">
      <c r="A1" s="140"/>
      <c r="B1" s="142" t="s">
        <v>455</v>
      </c>
      <c r="C1" s="140"/>
      <c r="D1" s="140"/>
      <c r="E1" s="140"/>
      <c r="F1" s="140"/>
      <c r="G1" s="140"/>
      <c r="H1" s="140"/>
      <c r="I1" s="140"/>
      <c r="J1" s="140"/>
      <c r="K1" s="140"/>
      <c r="L1" s="140"/>
      <c r="M1" s="140"/>
      <c r="N1" s="140"/>
    </row>
    <row r="2" spans="1:14" ht="28.5" customHeight="1" x14ac:dyDescent="0.25">
      <c r="A2" s="140"/>
      <c r="B2" s="141" t="s">
        <v>454</v>
      </c>
      <c r="C2" s="140"/>
      <c r="D2" s="140"/>
      <c r="E2" s="140"/>
      <c r="F2" s="140"/>
      <c r="G2" s="140"/>
      <c r="H2" s="140"/>
      <c r="I2" s="140"/>
      <c r="J2" s="140"/>
      <c r="K2" s="140"/>
      <c r="L2" s="140"/>
      <c r="M2" s="140"/>
      <c r="N2" s="140"/>
    </row>
    <row r="7" spans="1:14" ht="19.5" customHeight="1" x14ac:dyDescent="0.25">
      <c r="F7" s="134"/>
    </row>
    <row r="8" spans="1:14" ht="19.5" customHeight="1" x14ac:dyDescent="0.25">
      <c r="F8" s="134"/>
    </row>
    <row r="9" spans="1:14" ht="19.5" customHeight="1" x14ac:dyDescent="0.25">
      <c r="F9" s="134"/>
    </row>
    <row r="10" spans="1:14" ht="19.5" customHeight="1" x14ac:dyDescent="0.25">
      <c r="F10" s="134"/>
    </row>
    <row r="11" spans="1:14" ht="19.5" customHeight="1" x14ac:dyDescent="0.25">
      <c r="F11" s="134"/>
    </row>
    <row r="12" spans="1:14" ht="19.5" customHeight="1" x14ac:dyDescent="0.2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453</v>
      </c>
      <c r="C18" s="138"/>
      <c r="D18" s="137"/>
      <c r="I18" s="132"/>
      <c r="K18" s="132"/>
      <c r="M18" s="132"/>
      <c r="N18" s="131"/>
    </row>
    <row r="19" spans="2:14" ht="24" customHeight="1" x14ac:dyDescent="0.35">
      <c r="B19" s="136" t="s">
        <v>117</v>
      </c>
      <c r="C19" s="136" t="s">
        <v>360</v>
      </c>
      <c r="D19" s="135" t="s">
        <v>452</v>
      </c>
      <c r="E19" s="135" t="s">
        <v>451</v>
      </c>
      <c r="I19" s="132"/>
      <c r="K19" s="132"/>
      <c r="L19" s="134"/>
      <c r="M19" s="132"/>
      <c r="N19" s="131"/>
    </row>
    <row r="20" spans="2:14" ht="19.5" customHeight="1" x14ac:dyDescent="0.35">
      <c r="B20" s="128">
        <v>43647</v>
      </c>
      <c r="C20" s="127" t="s">
        <v>461</v>
      </c>
      <c r="D20" s="130">
        <v>30</v>
      </c>
      <c r="E20" s="133">
        <f>1</f>
        <v>1</v>
      </c>
      <c r="I20" s="132"/>
      <c r="K20" s="132"/>
      <c r="M20" s="132"/>
      <c r="N20" s="131"/>
    </row>
    <row r="21" spans="2:14" ht="19.5" customHeight="1" x14ac:dyDescent="0.35">
      <c r="B21" s="128">
        <v>43727</v>
      </c>
      <c r="C21" s="127" t="s">
        <v>462</v>
      </c>
      <c r="D21" s="130">
        <v>-25</v>
      </c>
      <c r="E21" s="133">
        <f>1</f>
        <v>1</v>
      </c>
      <c r="I21" s="132"/>
      <c r="K21" s="132"/>
      <c r="L21" s="134"/>
      <c r="M21" s="132"/>
      <c r="N21" s="131"/>
    </row>
    <row r="22" spans="2:14" ht="61.5" customHeight="1" x14ac:dyDescent="0.35">
      <c r="B22" s="128">
        <v>43767</v>
      </c>
      <c r="C22" s="143" t="s">
        <v>466</v>
      </c>
      <c r="D22" s="130">
        <v>5</v>
      </c>
      <c r="E22" s="133">
        <f>1</f>
        <v>1</v>
      </c>
      <c r="I22" s="132"/>
      <c r="K22" s="132"/>
      <c r="M22" s="132"/>
      <c r="N22" s="131"/>
    </row>
    <row r="23" spans="2:14" ht="19.5" customHeight="1" x14ac:dyDescent="0.35">
      <c r="B23" s="128">
        <v>43807</v>
      </c>
      <c r="C23" s="127" t="s">
        <v>456</v>
      </c>
      <c r="D23" s="130">
        <v>-15</v>
      </c>
      <c r="E23" s="133">
        <f>1</f>
        <v>1</v>
      </c>
      <c r="I23" s="132"/>
      <c r="K23" s="132"/>
      <c r="M23" s="132"/>
      <c r="N23" s="131"/>
    </row>
    <row r="24" spans="2:14" ht="19.5" customHeight="1" x14ac:dyDescent="0.35">
      <c r="B24" s="128">
        <v>43847</v>
      </c>
      <c r="C24" s="127" t="s">
        <v>457</v>
      </c>
      <c r="D24" s="130">
        <v>20</v>
      </c>
      <c r="E24" s="133">
        <f>1</f>
        <v>1</v>
      </c>
      <c r="I24" s="132"/>
      <c r="K24" s="132"/>
      <c r="M24" s="132"/>
      <c r="N24" s="131"/>
    </row>
    <row r="25" spans="2:14" ht="54" customHeight="1" x14ac:dyDescent="0.35">
      <c r="B25" s="128">
        <v>43907</v>
      </c>
      <c r="C25" s="143" t="s">
        <v>458</v>
      </c>
      <c r="D25" s="130">
        <v>-30</v>
      </c>
      <c r="E25" s="133">
        <f>1</f>
        <v>1</v>
      </c>
      <c r="I25" s="132"/>
      <c r="K25" s="132"/>
      <c r="M25" s="132"/>
      <c r="N25" s="131"/>
    </row>
    <row r="26" spans="2:14" ht="19.5" customHeight="1" x14ac:dyDescent="0.35">
      <c r="B26" s="128">
        <v>43922</v>
      </c>
      <c r="C26" s="127" t="s">
        <v>467</v>
      </c>
      <c r="D26" s="130">
        <v>10</v>
      </c>
      <c r="E26" s="127">
        <f>1</f>
        <v>1</v>
      </c>
      <c r="I26" s="132"/>
      <c r="K26" s="132"/>
      <c r="M26" s="132"/>
      <c r="N26" s="131"/>
    </row>
    <row r="27" spans="2:14" ht="19.5" customHeight="1" x14ac:dyDescent="0.25">
      <c r="B27" s="128">
        <v>43947</v>
      </c>
      <c r="C27" s="127" t="s">
        <v>459</v>
      </c>
      <c r="D27" s="130">
        <v>-15</v>
      </c>
      <c r="E27" s="133">
        <f>1</f>
        <v>1</v>
      </c>
    </row>
    <row r="28" spans="2:14" ht="19.5" customHeight="1" x14ac:dyDescent="0.25">
      <c r="B28" s="128">
        <v>43966</v>
      </c>
      <c r="C28" s="127" t="s">
        <v>460</v>
      </c>
      <c r="D28" s="130">
        <v>20</v>
      </c>
      <c r="E28" s="125">
        <f>1</f>
        <v>1</v>
      </c>
    </row>
    <row r="29" spans="2:14" ht="19.5" customHeight="1" x14ac:dyDescent="0.25">
      <c r="B29" s="128">
        <v>43995</v>
      </c>
      <c r="C29" s="127" t="s">
        <v>472</v>
      </c>
      <c r="D29" s="130">
        <v>-25</v>
      </c>
      <c r="E29" s="125">
        <f>1</f>
        <v>1</v>
      </c>
      <c r="H29" s="129"/>
    </row>
    <row r="30" spans="2:14" ht="19.5" customHeight="1" x14ac:dyDescent="0.25">
      <c r="B30" s="128">
        <v>44044</v>
      </c>
      <c r="C30" s="127" t="s">
        <v>465</v>
      </c>
      <c r="D30" s="130">
        <v>30</v>
      </c>
      <c r="E30" s="145">
        <f>1</f>
        <v>1</v>
      </c>
      <c r="H30" s="129"/>
    </row>
    <row r="31" spans="2:14" ht="89.25" customHeight="1" x14ac:dyDescent="0.25">
      <c r="B31" s="128">
        <v>44075</v>
      </c>
      <c r="C31" s="143" t="s">
        <v>476</v>
      </c>
      <c r="D31" s="130">
        <v>-25</v>
      </c>
      <c r="E31" s="125">
        <f>1</f>
        <v>1</v>
      </c>
    </row>
    <row r="32" spans="2:14" ht="19.5" customHeight="1" x14ac:dyDescent="0.25">
      <c r="B32" s="128">
        <v>44127</v>
      </c>
      <c r="C32" s="127" t="s">
        <v>463</v>
      </c>
      <c r="D32" s="126">
        <v>-10</v>
      </c>
      <c r="E32" s="125">
        <f>1</f>
        <v>1</v>
      </c>
    </row>
    <row r="33" spans="2:5" ht="73.5" customHeight="1" x14ac:dyDescent="0.25">
      <c r="B33" s="128">
        <v>44165</v>
      </c>
      <c r="C33" s="143" t="s">
        <v>477</v>
      </c>
      <c r="D33" s="126">
        <v>10</v>
      </c>
      <c r="E33" s="145">
        <f>1</f>
        <v>1</v>
      </c>
    </row>
    <row r="34" spans="2:5" ht="19.5" customHeight="1" x14ac:dyDescent="0.25">
      <c r="B34" s="128">
        <v>44196</v>
      </c>
      <c r="C34" s="127" t="s">
        <v>475</v>
      </c>
      <c r="D34" s="126">
        <v>-25</v>
      </c>
      <c r="E34" s="125">
        <f>1</f>
        <v>1</v>
      </c>
    </row>
    <row r="35" spans="2:5" ht="19.5" customHeight="1" x14ac:dyDescent="0.25">
      <c r="B35" s="128">
        <v>44226</v>
      </c>
      <c r="C35" s="127" t="s">
        <v>473</v>
      </c>
      <c r="D35" s="126">
        <v>30</v>
      </c>
      <c r="E35" s="145">
        <f>1</f>
        <v>1</v>
      </c>
    </row>
    <row r="36" spans="2:5" ht="19.5" customHeight="1" x14ac:dyDescent="0.25">
      <c r="B36" s="128" t="s">
        <v>468</v>
      </c>
      <c r="C36" s="127" t="s">
        <v>474</v>
      </c>
      <c r="D36" s="126">
        <v>-15</v>
      </c>
      <c r="E36" s="145">
        <f>1</f>
        <v>1</v>
      </c>
    </row>
    <row r="37" spans="2:5" ht="19.5" customHeight="1" x14ac:dyDescent="0.25">
      <c r="B37" s="128">
        <v>44285</v>
      </c>
      <c r="C37" s="127" t="s">
        <v>470</v>
      </c>
      <c r="D37" s="126">
        <v>5</v>
      </c>
      <c r="E37" s="145">
        <f>1</f>
        <v>1</v>
      </c>
    </row>
    <row r="38" spans="2:5" ht="19.5" customHeight="1" x14ac:dyDescent="0.25">
      <c r="B38" s="128">
        <v>44316</v>
      </c>
      <c r="C38" s="127" t="s">
        <v>471</v>
      </c>
      <c r="D38" s="126">
        <v>-25</v>
      </c>
      <c r="E38" s="145">
        <f>1</f>
        <v>1</v>
      </c>
    </row>
    <row r="39" spans="2:5" ht="19.5" customHeight="1" x14ac:dyDescent="0.25">
      <c r="B39" s="128">
        <v>44285</v>
      </c>
      <c r="C39" s="127" t="s">
        <v>469</v>
      </c>
      <c r="D39" s="126">
        <v>15</v>
      </c>
      <c r="E39" s="145">
        <f>1</f>
        <v>1</v>
      </c>
    </row>
    <row r="40" spans="2:5" ht="19.5" customHeight="1" x14ac:dyDescent="0.25">
      <c r="B40" s="128"/>
      <c r="C40" s="127"/>
      <c r="D40" s="144"/>
      <c r="E40" s="145">
        <f>1</f>
        <v>1</v>
      </c>
    </row>
    <row r="41" spans="2:5" ht="19.5" customHeight="1" x14ac:dyDescent="0.25">
      <c r="B41" s="128"/>
      <c r="C41" s="127"/>
      <c r="D41" s="144"/>
      <c r="E41" s="145">
        <f>1</f>
        <v>1</v>
      </c>
    </row>
    <row r="42" spans="2:5" ht="19.5" customHeight="1" x14ac:dyDescent="0.2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55" activePane="bottomLeft" state="frozen"/>
      <selection pane="bottomLeft" activeCell="J1" sqref="J1"/>
    </sheetView>
  </sheetViews>
  <sheetFormatPr defaultColWidth="9" defaultRowHeight="30" customHeight="1" x14ac:dyDescent="0.35"/>
  <cols>
    <col min="1" max="1" width="3.109375" style="46" customWidth="1"/>
    <col min="2" max="2" width="31.88671875" style="44" customWidth="1"/>
    <col min="3" max="3" width="9.88671875" style="44" customWidth="1"/>
    <col min="4" max="4" width="13" style="44" customWidth="1"/>
    <col min="5" max="5" width="11.6640625" style="45" customWidth="1"/>
    <col min="6" max="6" width="11.21875" style="44" customWidth="1"/>
    <col min="7" max="7" width="3.109375" style="44" customWidth="1"/>
    <col min="8" max="8" width="7.88671875" style="44" customWidth="1"/>
    <col min="9" max="9" width="39.6640625" style="44" customWidth="1"/>
    <col min="10" max="65" width="3" style="44" customWidth="1"/>
    <col min="66" max="16384" width="9" style="44"/>
  </cols>
  <sheetData>
    <row r="1" spans="1:65" ht="30" customHeight="1" x14ac:dyDescent="0.7">
      <c r="A1" s="59" t="s">
        <v>336</v>
      </c>
      <c r="B1" s="121" t="s">
        <v>437</v>
      </c>
      <c r="C1" s="120"/>
      <c r="D1" s="117"/>
      <c r="E1" s="119"/>
      <c r="F1" s="118"/>
      <c r="H1" s="117"/>
      <c r="I1" s="117"/>
      <c r="J1" s="49" t="s">
        <v>334</v>
      </c>
    </row>
    <row r="2" spans="1:65" ht="30" customHeight="1" x14ac:dyDescent="0.4">
      <c r="A2" s="46" t="s">
        <v>333</v>
      </c>
      <c r="B2" s="116" t="s">
        <v>332</v>
      </c>
      <c r="J2" s="115" t="s">
        <v>331</v>
      </c>
    </row>
    <row r="3" spans="1:65" ht="30" customHeight="1" x14ac:dyDescent="0.35">
      <c r="A3" s="46" t="s">
        <v>330</v>
      </c>
      <c r="B3" s="114" t="s">
        <v>329</v>
      </c>
      <c r="C3" s="210" t="s">
        <v>328</v>
      </c>
      <c r="D3" s="211"/>
      <c r="E3" s="209">
        <v>43922</v>
      </c>
      <c r="F3" s="209"/>
    </row>
    <row r="4" spans="1:65" ht="30" customHeight="1" x14ac:dyDescent="0.35">
      <c r="A4" s="59" t="s">
        <v>327</v>
      </c>
      <c r="C4" s="210" t="s">
        <v>326</v>
      </c>
      <c r="D4" s="211"/>
      <c r="E4" s="113">
        <v>1</v>
      </c>
      <c r="J4" s="206">
        <f>J5</f>
        <v>43919</v>
      </c>
      <c r="K4" s="207"/>
      <c r="L4" s="207"/>
      <c r="M4" s="207"/>
      <c r="N4" s="207"/>
      <c r="O4" s="207"/>
      <c r="P4" s="208"/>
      <c r="Q4" s="206">
        <f>Q5</f>
        <v>43926</v>
      </c>
      <c r="R4" s="207"/>
      <c r="S4" s="207"/>
      <c r="T4" s="207"/>
      <c r="U4" s="207"/>
      <c r="V4" s="207"/>
      <c r="W4" s="208"/>
      <c r="X4" s="206">
        <f>X5</f>
        <v>43933</v>
      </c>
      <c r="Y4" s="207"/>
      <c r="Z4" s="207"/>
      <c r="AA4" s="207"/>
      <c r="AB4" s="207"/>
      <c r="AC4" s="207"/>
      <c r="AD4" s="208"/>
      <c r="AE4" s="206">
        <f>AE5</f>
        <v>43940</v>
      </c>
      <c r="AF4" s="207"/>
      <c r="AG4" s="207"/>
      <c r="AH4" s="207"/>
      <c r="AI4" s="207"/>
      <c r="AJ4" s="207"/>
      <c r="AK4" s="208"/>
      <c r="AL4" s="206">
        <f>AL5</f>
        <v>43947</v>
      </c>
      <c r="AM4" s="207"/>
      <c r="AN4" s="207"/>
      <c r="AO4" s="207"/>
      <c r="AP4" s="207"/>
      <c r="AQ4" s="207"/>
      <c r="AR4" s="208"/>
      <c r="AS4" s="206">
        <f>AS5</f>
        <v>43954</v>
      </c>
      <c r="AT4" s="207"/>
      <c r="AU4" s="207"/>
      <c r="AV4" s="207"/>
      <c r="AW4" s="207"/>
      <c r="AX4" s="207"/>
      <c r="AY4" s="208"/>
      <c r="AZ4" s="206">
        <f>AZ5</f>
        <v>43961</v>
      </c>
      <c r="BA4" s="207"/>
      <c r="BB4" s="207"/>
      <c r="BC4" s="207"/>
      <c r="BD4" s="207"/>
      <c r="BE4" s="207"/>
      <c r="BF4" s="208"/>
      <c r="BG4" s="206">
        <f>BG5</f>
        <v>43968</v>
      </c>
      <c r="BH4" s="207"/>
      <c r="BI4" s="207"/>
      <c r="BJ4" s="207"/>
      <c r="BK4" s="207"/>
      <c r="BL4" s="207"/>
      <c r="BM4" s="208"/>
    </row>
    <row r="5" spans="1:65" ht="15" customHeight="1" x14ac:dyDescent="0.35">
      <c r="A5" s="59" t="s">
        <v>325</v>
      </c>
      <c r="B5" s="212"/>
      <c r="C5" s="212"/>
      <c r="D5" s="212"/>
      <c r="E5" s="212"/>
      <c r="F5" s="212"/>
      <c r="G5" s="212"/>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4">
      <c r="A6" s="59" t="s">
        <v>324</v>
      </c>
      <c r="B6" s="109" t="s">
        <v>323</v>
      </c>
      <c r="C6" s="108" t="s">
        <v>322</v>
      </c>
      <c r="D6" s="108" t="s">
        <v>321</v>
      </c>
      <c r="E6" s="108" t="s">
        <v>320</v>
      </c>
      <c r="F6" s="108" t="s">
        <v>319</v>
      </c>
      <c r="G6" s="108"/>
      <c r="H6" s="108" t="s">
        <v>318</v>
      </c>
      <c r="I6" s="107" t="s">
        <v>317</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4">
      <c r="A7" s="46" t="s">
        <v>316</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4">
      <c r="A8" s="59" t="s">
        <v>315</v>
      </c>
      <c r="B8" s="104" t="s">
        <v>413</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4">
      <c r="A9" s="59" t="s">
        <v>313</v>
      </c>
      <c r="B9" s="99" t="s">
        <v>408</v>
      </c>
      <c r="C9" s="98" t="s">
        <v>406</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4">
      <c r="A10" s="59"/>
      <c r="B10" s="99" t="s">
        <v>409</v>
      </c>
      <c r="C10" s="98" t="s">
        <v>407</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4">
      <c r="A11" s="59" t="s">
        <v>309</v>
      </c>
      <c r="B11" s="99" t="s">
        <v>410</v>
      </c>
      <c r="C11" s="98" t="s">
        <v>407</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4">
      <c r="A12" s="46"/>
      <c r="B12" s="99" t="s">
        <v>411</v>
      </c>
      <c r="C12" s="98" t="s">
        <v>407</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4">
      <c r="A13" s="46"/>
      <c r="B13" s="99" t="s">
        <v>412</v>
      </c>
      <c r="C13" s="98" t="s">
        <v>407</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4">
      <c r="A14" s="46"/>
      <c r="B14" s="99" t="s">
        <v>414</v>
      </c>
      <c r="C14" s="98" t="s">
        <v>407</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4">
      <c r="A15" s="46"/>
      <c r="B15" s="99" t="s">
        <v>415</v>
      </c>
      <c r="C15" s="98" t="s">
        <v>407</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4">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4">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4">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4">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4">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4">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4">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4">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4">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4">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4">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4">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4">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4">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4">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4">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4">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4">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4">
      <c r="A34" s="59" t="s">
        <v>273</v>
      </c>
      <c r="B34" s="95" t="s">
        <v>416</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4">
      <c r="A35" s="59"/>
      <c r="B35" s="88" t="s">
        <v>417</v>
      </c>
      <c r="C35" s="87" t="s">
        <v>198</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4">
      <c r="A36" s="59"/>
      <c r="B36" s="88" t="s">
        <v>418</v>
      </c>
      <c r="C36" s="87" t="s">
        <v>419</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4">
      <c r="A37" s="46"/>
      <c r="B37" s="88" t="s">
        <v>421</v>
      </c>
      <c r="C37" s="87" t="s">
        <v>119</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4">
      <c r="A38" s="46"/>
      <c r="B38" s="88" t="s">
        <v>420</v>
      </c>
      <c r="C38" s="87" t="s">
        <v>119</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4">
      <c r="A39" s="46"/>
      <c r="B39" s="88" t="s">
        <v>423</v>
      </c>
      <c r="C39" s="87" t="s">
        <v>119</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4">
      <c r="A40" s="46"/>
      <c r="B40" s="88" t="s">
        <v>422</v>
      </c>
      <c r="C40" s="87" t="s">
        <v>424</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4">
      <c r="A41" s="46"/>
      <c r="B41" s="88" t="s">
        <v>425</v>
      </c>
      <c r="C41" s="87" t="s">
        <v>119</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4">
      <c r="A42" s="46"/>
      <c r="B42" s="88" t="s">
        <v>426</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4">
      <c r="A43" s="46"/>
      <c r="B43" s="88" t="s">
        <v>428</v>
      </c>
      <c r="C43" s="87" t="s">
        <v>119</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4">
      <c r="A44" s="46"/>
      <c r="B44" s="88" t="s">
        <v>427</v>
      </c>
      <c r="C44" s="87" t="s">
        <v>119</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4">
      <c r="A45" s="46"/>
      <c r="B45" s="88" t="s">
        <v>429</v>
      </c>
      <c r="C45" s="87" t="s">
        <v>119</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4">
      <c r="A46" s="46"/>
      <c r="B46" s="88" t="s">
        <v>430</v>
      </c>
      <c r="C46" s="87" t="s">
        <v>119</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4">
      <c r="A47" s="46"/>
      <c r="B47" s="88" t="s">
        <v>431</v>
      </c>
      <c r="C47" s="87" t="s">
        <v>119</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4">
      <c r="A48" s="46"/>
      <c r="B48" s="88" t="s">
        <v>432</v>
      </c>
      <c r="C48" s="87" t="s">
        <v>119</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4">
      <c r="A49" s="46"/>
      <c r="B49" s="88" t="s">
        <v>433</v>
      </c>
      <c r="C49" s="87" t="s">
        <v>119</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4">
      <c r="A50" s="46"/>
      <c r="B50" s="88" t="s">
        <v>434</v>
      </c>
      <c r="C50" s="87" t="s">
        <v>119</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4">
      <c r="A51" s="46"/>
      <c r="B51" s="88" t="s">
        <v>435</v>
      </c>
      <c r="C51" s="87" t="s">
        <v>119</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4">
      <c r="A52" s="46"/>
      <c r="B52" s="88" t="s">
        <v>436</v>
      </c>
      <c r="C52" s="87" t="s">
        <v>119</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4">
      <c r="A53" s="46"/>
      <c r="B53" s="88" t="s">
        <v>464</v>
      </c>
      <c r="C53" s="87" t="s">
        <v>119</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4">
      <c r="A54" s="46"/>
      <c r="B54" s="88"/>
      <c r="C54" s="87" t="s">
        <v>119</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4">
      <c r="A55" s="46"/>
      <c r="B55" s="88"/>
      <c r="C55" s="87" t="s">
        <v>119</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4">
      <c r="A56" s="46"/>
      <c r="B56" s="88"/>
      <c r="C56" s="87" t="s">
        <v>119</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4">
      <c r="A57" s="46"/>
      <c r="B57" s="88"/>
      <c r="C57" s="87" t="s">
        <v>119</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4">
      <c r="A58" s="46"/>
      <c r="B58" s="88"/>
      <c r="C58" s="87" t="s">
        <v>119</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4">
      <c r="A59" s="46"/>
      <c r="B59" s="88"/>
      <c r="C59" s="87" t="s">
        <v>119</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4">
      <c r="A60" s="46"/>
      <c r="B60" s="88"/>
      <c r="C60" s="87" t="s">
        <v>119</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4">
      <c r="A61" s="46"/>
      <c r="B61" s="88"/>
      <c r="C61" s="87" t="s">
        <v>119</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4">
      <c r="A62" s="46"/>
      <c r="B62" s="88"/>
      <c r="C62" s="87" t="s">
        <v>119</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4">
      <c r="A63" s="46"/>
      <c r="B63" s="88"/>
      <c r="C63" s="87" t="s">
        <v>119</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4">
      <c r="A64" s="46"/>
      <c r="B64" s="88"/>
      <c r="C64" s="87" t="s">
        <v>119</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4">
      <c r="A65" s="46"/>
      <c r="B65" s="88"/>
      <c r="C65" s="87" t="s">
        <v>119</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4">
      <c r="A66" s="46"/>
      <c r="B66" s="88"/>
      <c r="C66" s="87" t="s">
        <v>119</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4">
      <c r="A67" s="46"/>
      <c r="B67" s="88"/>
      <c r="C67" s="87" t="s">
        <v>119</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4">
      <c r="A68" s="46"/>
      <c r="B68" s="88"/>
      <c r="C68" s="87" t="s">
        <v>119</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4">
      <c r="A69" s="46"/>
      <c r="B69" s="88"/>
      <c r="C69" s="87" t="s">
        <v>119</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4">
      <c r="A70" s="46"/>
      <c r="B70" s="88"/>
      <c r="C70" s="87" t="s">
        <v>119</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4">
      <c r="A71" s="46"/>
      <c r="B71" s="88"/>
      <c r="C71" s="87" t="s">
        <v>119</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4">
      <c r="A72" s="46"/>
      <c r="B72" s="88"/>
      <c r="C72" s="87" t="s">
        <v>119</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4">
      <c r="A73" s="46"/>
      <c r="B73" s="88"/>
      <c r="C73" s="87" t="s">
        <v>119</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4">
      <c r="A74" s="46"/>
      <c r="B74" s="88"/>
      <c r="C74" s="87" t="s">
        <v>119</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4">
      <c r="A75" s="46"/>
      <c r="B75" s="88"/>
      <c r="C75" s="87" t="s">
        <v>119</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4">
      <c r="A76" s="46"/>
      <c r="B76" s="88"/>
      <c r="C76" s="87" t="s">
        <v>119</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4">
      <c r="A77" s="46"/>
      <c r="B77" s="88"/>
      <c r="C77" s="87" t="s">
        <v>119</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4">
      <c r="A78" s="46"/>
      <c r="B78" s="88"/>
      <c r="C78" s="87" t="s">
        <v>119</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4">
      <c r="A79" s="46"/>
      <c r="B79" s="88"/>
      <c r="C79" s="87" t="s">
        <v>119</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4">
      <c r="A80" s="46"/>
      <c r="B80" s="88"/>
      <c r="C80" s="87" t="s">
        <v>119</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4">
      <c r="A81" s="46"/>
      <c r="B81" s="88"/>
      <c r="C81" s="87" t="s">
        <v>119</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4">
      <c r="A82" s="46"/>
      <c r="B82" s="88"/>
      <c r="C82" s="87" t="s">
        <v>119</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4">
      <c r="A83" s="46"/>
      <c r="B83" s="88"/>
      <c r="C83" s="87" t="s">
        <v>119</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4">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4">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4">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4">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4">
      <c r="A88" s="46" t="s">
        <v>184</v>
      </c>
      <c r="B88" s="85" t="s">
        <v>438</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4">
      <c r="A89" s="46"/>
      <c r="B89" s="80" t="s">
        <v>439</v>
      </c>
      <c r="C89" s="79" t="s">
        <v>119</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4">
      <c r="A90" s="46"/>
      <c r="B90" s="80" t="s">
        <v>440</v>
      </c>
      <c r="C90" s="79" t="s">
        <v>119</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4">
      <c r="A91" s="46"/>
      <c r="B91" s="80" t="s">
        <v>441</v>
      </c>
      <c r="C91" s="79" t="s">
        <v>119</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4">
      <c r="A92" s="46"/>
      <c r="B92" s="80" t="s">
        <v>442</v>
      </c>
      <c r="C92" s="79" t="s">
        <v>119</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4">
      <c r="A93" s="46"/>
      <c r="B93" s="80" t="s">
        <v>443</v>
      </c>
      <c r="C93" s="79" t="s">
        <v>119</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4">
      <c r="A94" s="46"/>
      <c r="B94" s="80" t="s">
        <v>444</v>
      </c>
      <c r="C94" s="79" t="s">
        <v>119</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4">
      <c r="A95" s="46"/>
      <c r="B95" s="80" t="s">
        <v>445</v>
      </c>
      <c r="C95" s="79" t="s">
        <v>119</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4">
      <c r="A96" s="46"/>
      <c r="B96" s="80" t="s">
        <v>446</v>
      </c>
      <c r="C96" s="79" t="s">
        <v>119</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4">
      <c r="A97" s="46"/>
      <c r="B97" s="80" t="s">
        <v>447</v>
      </c>
      <c r="C97" s="79" t="s">
        <v>119</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4">
      <c r="A98" s="46"/>
      <c r="B98" s="80" t="s">
        <v>448</v>
      </c>
      <c r="C98" s="79" t="s">
        <v>119</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4">
      <c r="A99" s="46"/>
      <c r="B99" s="80" t="s">
        <v>449</v>
      </c>
      <c r="C99" s="79" t="s">
        <v>119</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4">
      <c r="A100" s="46"/>
      <c r="B100" s="80" t="s">
        <v>450</v>
      </c>
      <c r="C100" s="79" t="s">
        <v>119</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4">
      <c r="A101" s="46"/>
      <c r="B101" s="80"/>
      <c r="C101" s="79" t="s">
        <v>198</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4">
      <c r="A102" s="46"/>
      <c r="B102" s="80"/>
      <c r="C102" s="79" t="s">
        <v>119</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4">
      <c r="A103" s="46"/>
      <c r="B103" s="80"/>
      <c r="C103" s="79" t="s">
        <v>119</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4">
      <c r="A104" s="46"/>
      <c r="B104" s="80"/>
      <c r="C104" s="79" t="s">
        <v>119</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4">
      <c r="A105" s="46"/>
      <c r="B105" s="80"/>
      <c r="C105" s="79" t="s">
        <v>119</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4">
      <c r="A106" s="46"/>
      <c r="B106" s="80"/>
      <c r="C106" s="79" t="s">
        <v>119</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4">
      <c r="A107" s="46"/>
      <c r="B107" s="80"/>
      <c r="C107" s="79" t="s">
        <v>119</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4">
      <c r="A108" s="46"/>
      <c r="B108" s="80"/>
      <c r="C108" s="79" t="s">
        <v>119</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4">
      <c r="A109" s="46"/>
      <c r="B109" s="80"/>
      <c r="C109" s="79" t="s">
        <v>119</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4">
      <c r="A110" s="46"/>
      <c r="B110" s="80"/>
      <c r="C110" s="79" t="s">
        <v>119</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4">
      <c r="A111" s="46"/>
      <c r="B111" s="80"/>
      <c r="C111" s="79" t="s">
        <v>119</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4">
      <c r="A112" s="46"/>
      <c r="B112" s="80"/>
      <c r="C112" s="79" t="s">
        <v>119</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4">
      <c r="A113" s="46"/>
      <c r="B113" s="80"/>
      <c r="C113" s="79" t="s">
        <v>119</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4">
      <c r="A114" s="46"/>
      <c r="B114" s="80"/>
      <c r="C114" s="79" t="s">
        <v>119</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4">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4">
      <c r="A116" s="46" t="s">
        <v>184</v>
      </c>
      <c r="B116" s="76" t="s">
        <v>183</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4">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4">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4">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4">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4">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4">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4">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4">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4">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4">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4">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4">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4">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4">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4">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4">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4">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4">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4">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4">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4">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4">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4">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4">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4">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4">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4">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4">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4">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4">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4">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4">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4">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4">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4">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4">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4">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4">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4">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4">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4">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4">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4">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4">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4">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4">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4">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4">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4">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4">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4">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4">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4">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4">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4">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4">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4">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4">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4">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4">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4">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4">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4">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4">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4">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4">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4">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4">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4">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4">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4">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5">
      <c r="G188" s="50"/>
    </row>
    <row r="189" spans="1:65" ht="30" customHeight="1" x14ac:dyDescent="0.4">
      <c r="C189" s="49"/>
      <c r="F189" s="48"/>
    </row>
    <row r="190" spans="1:65" ht="30" customHeight="1" x14ac:dyDescent="0.35">
      <c r="C190" s="47"/>
    </row>
    <row r="191" spans="1:65" ht="30" customHeight="1" x14ac:dyDescent="0.35">
      <c r="G191" s="123" t="s">
        <v>359</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638" priority="4">
      <formula>AND(TODAY()&gt;=J$5,TODAY()&lt;K$5)</formula>
    </cfRule>
  </conditionalFormatting>
  <conditionalFormatting sqref="J7:BM187">
    <cfRule type="expression" dxfId="637" priority="2">
      <formula>AND(task_start&lt;=J$5,ROUNDDOWN((task_end-task_start+1)*task_progress,0)+task_start-1&gt;=J$5)</formula>
    </cfRule>
    <cfRule type="expression" dxfId="636"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21"/>
  <sheetViews>
    <sheetView topLeftCell="C1" zoomScale="115" zoomScaleNormal="115" workbookViewId="0">
      <pane ySplit="3" topLeftCell="A16" activePane="bottomLeft" state="frozen"/>
      <selection pane="bottomLeft" activeCell="H20" sqref="H20"/>
    </sheetView>
  </sheetViews>
  <sheetFormatPr defaultColWidth="9" defaultRowHeight="13.8" x14ac:dyDescent="0.25"/>
  <cols>
    <col min="1" max="1" width="5.33203125" style="1" customWidth="1"/>
    <col min="2" max="2" width="4.21875" style="1" customWidth="1"/>
    <col min="3" max="3" width="33.664062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0</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2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-699</v>
      </c>
      <c r="L4" s="13">
        <f t="shared" ref="L4" ca="1" si="2">IF(J4="OVERDUE",1,0)</f>
        <v>0</v>
      </c>
      <c r="M4" s="13">
        <f t="shared" ref="M4" ca="1" si="3">IF(J4="IN TIME",1,0)</f>
        <v>0</v>
      </c>
      <c r="N4" s="13">
        <f t="shared" ref="N4" ca="1" si="4">IF(J4="DONE",1,0)</f>
        <v>1</v>
      </c>
      <c r="O4" s="13">
        <f t="shared" ref="O4" ca="1" si="5">IF(G4&gt;0,G4-$C$2,"")</f>
        <v>-707</v>
      </c>
      <c r="P4" s="41" t="s">
        <v>22</v>
      </c>
      <c r="Q4" s="27"/>
      <c r="R4" s="27"/>
      <c r="S4" s="27"/>
      <c r="T4" s="27"/>
      <c r="U4" s="27"/>
      <c r="V4" s="27"/>
      <c r="W4" s="27"/>
      <c r="X4" s="27"/>
      <c r="Y4" s="27"/>
      <c r="Z4" s="27"/>
      <c r="AA4" s="27"/>
      <c r="AB4" s="27"/>
      <c r="AC4" s="27"/>
      <c r="AD4" s="27"/>
    </row>
    <row r="5" spans="1:246" ht="82.5" customHeight="1" x14ac:dyDescent="0.2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-722</v>
      </c>
      <c r="L5" s="13">
        <f t="shared" ref="L5" ca="1" si="8">IF(J5="OVERDUE",1,0)</f>
        <v>0</v>
      </c>
      <c r="M5" s="13">
        <f t="shared" ref="M5" ca="1" si="9">IF(J5="IN TIME",1,0)</f>
        <v>0</v>
      </c>
      <c r="N5" s="13">
        <f t="shared" ref="N5" ca="1" si="10">IF(J5="DONE",1,0)</f>
        <v>1</v>
      </c>
      <c r="O5" s="13">
        <f t="shared" ref="O5" ca="1" si="11">IF(G5&gt;0,G5-$C$2,"")</f>
        <v>-729</v>
      </c>
      <c r="P5" s="41" t="s">
        <v>26</v>
      </c>
      <c r="Q5" s="27"/>
      <c r="R5" s="27"/>
      <c r="S5" s="27"/>
      <c r="T5" s="27"/>
      <c r="U5" s="27"/>
      <c r="V5" s="27"/>
      <c r="W5" s="27"/>
      <c r="X5" s="27"/>
      <c r="Y5" s="27"/>
      <c r="Z5" s="27"/>
      <c r="AA5" s="27"/>
      <c r="AB5" s="27"/>
      <c r="AC5" s="27"/>
      <c r="AD5" s="27"/>
    </row>
    <row r="6" spans="1:246" ht="50.25" customHeight="1" x14ac:dyDescent="0.2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-728</v>
      </c>
      <c r="L6" s="13">
        <f t="shared" ref="L6" ca="1" si="14">IF(J6="OVERDUE",1,0)</f>
        <v>0</v>
      </c>
      <c r="M6" s="13">
        <f t="shared" ref="M6" ca="1" si="15">IF(J6="IN TIME",1,0)</f>
        <v>0</v>
      </c>
      <c r="N6" s="13">
        <f t="shared" ref="N6" ca="1" si="16">IF(J6="DONE",1,0)</f>
        <v>1</v>
      </c>
      <c r="O6" s="13">
        <f t="shared" ref="O6" ca="1" si="17">IF(G6&gt;0,G6-$C$2,"")</f>
        <v>-735</v>
      </c>
      <c r="P6" s="41" t="s">
        <v>28</v>
      </c>
      <c r="Q6" s="27"/>
      <c r="R6" s="27"/>
      <c r="S6" s="27"/>
      <c r="T6" s="27"/>
      <c r="U6" s="27"/>
      <c r="V6" s="27"/>
      <c r="W6" s="27"/>
      <c r="X6" s="27"/>
      <c r="Y6" s="27"/>
      <c r="Z6" s="27"/>
      <c r="AA6" s="27"/>
      <c r="AB6" s="27"/>
      <c r="AC6" s="27"/>
      <c r="AD6" s="27"/>
    </row>
    <row r="7" spans="1:246" ht="74.25" customHeight="1" x14ac:dyDescent="0.2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-714</v>
      </c>
      <c r="L7" s="13">
        <f t="shared" ref="L7" ca="1" si="20">IF(J7="OVERDUE",1,0)</f>
        <v>0</v>
      </c>
      <c r="M7" s="13">
        <f t="shared" ref="M7" ca="1" si="21">IF(J7="IN TIME",1,0)</f>
        <v>0</v>
      </c>
      <c r="N7" s="13">
        <f t="shared" ref="N7" ca="1" si="22">IF(J7="DONE",1,0)</f>
        <v>1</v>
      </c>
      <c r="O7" s="13">
        <f t="shared" ref="O7" ca="1" si="23">IF(G7&gt;0,G7-$C$2,"")</f>
        <v>-727</v>
      </c>
      <c r="P7" s="41" t="s">
        <v>30</v>
      </c>
      <c r="Q7" s="27"/>
      <c r="R7" s="27"/>
      <c r="S7" s="27"/>
      <c r="T7" s="27"/>
      <c r="U7" s="27"/>
      <c r="V7" s="27"/>
      <c r="W7" s="27"/>
      <c r="X7" s="27"/>
      <c r="Y7" s="27"/>
      <c r="Z7" s="27"/>
      <c r="AA7" s="27"/>
      <c r="AB7" s="27"/>
      <c r="AC7" s="27"/>
      <c r="AD7" s="27"/>
    </row>
    <row r="8" spans="1:246" ht="189" customHeight="1" x14ac:dyDescent="0.2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-697</v>
      </c>
      <c r="L8" s="13">
        <f t="shared" ref="L8" ca="1" si="26">IF(J8="OVERDUE",1,0)</f>
        <v>0</v>
      </c>
      <c r="M8" s="13">
        <f t="shared" ref="M8" ca="1" si="27">IF(J8="IN TIME",1,0)</f>
        <v>0</v>
      </c>
      <c r="N8" s="13">
        <f t="shared" ref="N8" ca="1" si="28">IF(J8="DONE",1,0)</f>
        <v>1</v>
      </c>
      <c r="O8" s="13">
        <f t="shared" ref="O8" ca="1" si="29">IF(G8&gt;0,G8-$C$2,"")</f>
        <v>-728</v>
      </c>
      <c r="P8" s="41" t="s">
        <v>33</v>
      </c>
      <c r="Q8" s="27"/>
      <c r="R8" s="27"/>
      <c r="S8" s="27"/>
      <c r="T8" s="27"/>
      <c r="U8" s="27"/>
      <c r="V8" s="27"/>
      <c r="W8" s="27"/>
      <c r="X8" s="27"/>
      <c r="Y8" s="27"/>
      <c r="Z8" s="27"/>
      <c r="AA8" s="27"/>
      <c r="AB8" s="27"/>
      <c r="AC8" s="27"/>
      <c r="AD8" s="27"/>
    </row>
    <row r="9" spans="1:246" ht="90.75" customHeight="1" x14ac:dyDescent="0.2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-678</v>
      </c>
      <c r="L9" s="13">
        <f t="shared" ref="L9" ca="1" si="32">IF(J9="OVERDUE",1,0)</f>
        <v>0</v>
      </c>
      <c r="M9" s="13">
        <f t="shared" ref="M9" ca="1" si="33">IF(J9="IN TIME",1,0)</f>
        <v>0</v>
      </c>
      <c r="N9" s="13">
        <f t="shared" ref="N9" ca="1" si="34">IF(J9="DONE",1,0)</f>
        <v>1</v>
      </c>
      <c r="O9" s="13">
        <f t="shared" ref="O9" ca="1" si="35">IF(G9&gt;0,G9-$C$2,"")</f>
        <v>-697</v>
      </c>
      <c r="P9" s="41" t="s">
        <v>35</v>
      </c>
      <c r="Q9" s="27"/>
      <c r="R9" s="27"/>
      <c r="S9" s="27"/>
      <c r="T9" s="27"/>
      <c r="U9" s="27"/>
      <c r="V9" s="27"/>
      <c r="W9" s="27"/>
      <c r="X9" s="27"/>
      <c r="Y9" s="27"/>
      <c r="Z9" s="27"/>
      <c r="AA9" s="27"/>
      <c r="AB9" s="27"/>
      <c r="AC9" s="27"/>
      <c r="AD9" s="27"/>
    </row>
    <row r="10" spans="1:246" ht="93" customHeight="1" x14ac:dyDescent="0.2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-699</v>
      </c>
      <c r="L10" s="13">
        <f t="shared" ref="L10" ca="1" si="38">IF(J10="OVERDUE",1,0)</f>
        <v>0</v>
      </c>
      <c r="M10" s="13">
        <f t="shared" ref="M10" ca="1" si="39">IF(J10="IN TIME",1,0)</f>
        <v>0</v>
      </c>
      <c r="N10" s="13">
        <f t="shared" ref="N10" ca="1" si="40">IF(J10="DONE",1,0)</f>
        <v>1</v>
      </c>
      <c r="O10" s="13">
        <f t="shared" ref="O10" ca="1" si="41">IF(G10&gt;0,G10-$C$2,"")</f>
        <v>-714</v>
      </c>
      <c r="P10" s="41" t="s">
        <v>39</v>
      </c>
      <c r="Q10" s="27"/>
      <c r="R10" s="27"/>
      <c r="S10" s="27"/>
      <c r="T10" s="27"/>
      <c r="U10" s="27"/>
      <c r="V10" s="27"/>
      <c r="W10" s="27"/>
      <c r="X10" s="27"/>
      <c r="Y10" s="27"/>
      <c r="Z10" s="27"/>
      <c r="AA10" s="27"/>
      <c r="AB10" s="27"/>
      <c r="AC10" s="27"/>
      <c r="AD10" s="27"/>
    </row>
    <row r="11" spans="1:246" ht="68.25" customHeight="1" x14ac:dyDescent="0.2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-684</v>
      </c>
      <c r="L11" s="13">
        <f t="shared" ref="L11" ca="1" si="44">IF(J11="OVERDUE",1,0)</f>
        <v>0</v>
      </c>
      <c r="M11" s="13">
        <f t="shared" ref="M11" ca="1" si="45">IF(J11="IN TIME",1,0)</f>
        <v>0</v>
      </c>
      <c r="N11" s="13">
        <f t="shared" ref="N11" ca="1" si="46">IF(J11="DONE",1,0)</f>
        <v>1</v>
      </c>
      <c r="O11" s="13">
        <f t="shared" ref="O11" ca="1" si="47">IF(G11&gt;0,G11-$C$2,"")</f>
        <v>-691</v>
      </c>
      <c r="P11" s="20" t="s">
        <v>41</v>
      </c>
      <c r="Q11" s="27"/>
      <c r="R11" s="27"/>
      <c r="S11" s="27"/>
      <c r="T11" s="27"/>
      <c r="U11" s="27"/>
      <c r="V11" s="27"/>
      <c r="W11" s="27"/>
      <c r="X11" s="27"/>
      <c r="Y11" s="27"/>
      <c r="Z11" s="27"/>
      <c r="AA11" s="27"/>
      <c r="AB11" s="27"/>
      <c r="AC11" s="27"/>
      <c r="AD11" s="27"/>
    </row>
    <row r="12" spans="1:246" ht="60" customHeight="1" x14ac:dyDescent="0.2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-672</v>
      </c>
      <c r="L12" s="13">
        <f t="shared" ref="L12" ca="1" si="50">IF(J12="OVERDUE",1,0)</f>
        <v>0</v>
      </c>
      <c r="M12" s="13">
        <f t="shared" ref="M12" ca="1" si="51">IF(J12="IN TIME",1,0)</f>
        <v>0</v>
      </c>
      <c r="N12" s="13">
        <f t="shared" ref="N12" ca="1" si="52">IF(J12="DONE",1,0)</f>
        <v>1</v>
      </c>
      <c r="O12" s="13">
        <f t="shared" ref="O12" ca="1" si="53">IF(G12&gt;0,G12-$C$2,"")</f>
        <v>-679</v>
      </c>
      <c r="P12" s="41" t="s">
        <v>43</v>
      </c>
      <c r="Q12" s="27"/>
      <c r="R12" s="27"/>
      <c r="S12" s="27"/>
      <c r="T12" s="27"/>
      <c r="U12" s="27"/>
      <c r="V12" s="27"/>
      <c r="W12" s="27"/>
      <c r="X12" s="27"/>
      <c r="Y12" s="27"/>
      <c r="Z12" s="27"/>
      <c r="AA12" s="27"/>
      <c r="AB12" s="27"/>
      <c r="AC12" s="27"/>
      <c r="AD12" s="27"/>
    </row>
    <row r="13" spans="1:246" ht="24.6" customHeight="1" x14ac:dyDescent="0.2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-689</v>
      </c>
      <c r="L13" s="13">
        <f t="shared" ref="L13" ca="1" si="56">IF(J13="OVERDUE",1,0)</f>
        <v>0</v>
      </c>
      <c r="M13" s="13">
        <f t="shared" ref="M13" ca="1" si="57">IF(J13="IN TIME",1,0)</f>
        <v>0</v>
      </c>
      <c r="N13" s="13">
        <f t="shared" ref="N13" ca="1" si="58">IF(J13="DONE",1,0)</f>
        <v>1</v>
      </c>
      <c r="O13" s="13">
        <f t="shared" ref="O13" ca="1" si="59">IF(G13&gt;0,G13-$C$2,"")</f>
        <v>-692</v>
      </c>
      <c r="P13" s="20" t="s">
        <v>45</v>
      </c>
      <c r="Q13" s="27"/>
      <c r="R13" s="27"/>
      <c r="S13" s="27"/>
      <c r="T13" s="27"/>
      <c r="U13" s="27"/>
      <c r="V13" s="27"/>
      <c r="W13" s="27"/>
      <c r="X13" s="27"/>
      <c r="Y13" s="27"/>
      <c r="Z13" s="27"/>
      <c r="AA13" s="27"/>
      <c r="AB13" s="27"/>
      <c r="AC13" s="27"/>
      <c r="AD13" s="27"/>
    </row>
    <row r="14" spans="1:246" ht="102" customHeight="1" x14ac:dyDescent="0.2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-652</v>
      </c>
      <c r="P14" s="20" t="s">
        <v>48</v>
      </c>
      <c r="Q14" s="27"/>
      <c r="R14" s="27"/>
      <c r="S14" s="27"/>
      <c r="T14" s="27"/>
      <c r="U14" s="27"/>
      <c r="V14" s="27"/>
      <c r="W14" s="27"/>
      <c r="X14" s="27"/>
      <c r="Y14" s="27"/>
      <c r="Z14" s="27"/>
      <c r="AA14" s="27"/>
      <c r="AB14" s="27"/>
      <c r="AC14" s="27"/>
      <c r="AD14" s="27"/>
    </row>
    <row r="15" spans="1:246" ht="78.75" customHeight="1" x14ac:dyDescent="0.2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-583</v>
      </c>
      <c r="P15" s="20" t="s">
        <v>50</v>
      </c>
      <c r="Q15" s="27"/>
      <c r="R15" s="27"/>
      <c r="S15" s="27"/>
      <c r="T15" s="27"/>
      <c r="U15" s="27"/>
      <c r="V15" s="27"/>
      <c r="W15" s="27"/>
      <c r="X15" s="27"/>
      <c r="Y15" s="27"/>
      <c r="Z15" s="27"/>
      <c r="AA15" s="27"/>
      <c r="AB15" s="27"/>
      <c r="AC15" s="27"/>
      <c r="AD15" s="27"/>
    </row>
    <row r="16" spans="1:246" ht="45.75" customHeight="1" x14ac:dyDescent="0.2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-576</v>
      </c>
      <c r="P16" s="20" t="s">
        <v>52</v>
      </c>
      <c r="Q16" s="27"/>
      <c r="R16" s="27"/>
      <c r="S16" s="27"/>
      <c r="T16" s="27"/>
      <c r="U16" s="27"/>
      <c r="V16" s="27"/>
      <c r="W16" s="27"/>
      <c r="X16" s="27"/>
      <c r="Y16" s="27"/>
      <c r="Z16" s="27"/>
      <c r="AA16" s="27"/>
      <c r="AB16" s="27"/>
      <c r="AC16" s="27"/>
      <c r="AD16" s="27"/>
    </row>
    <row r="17" spans="1:30" ht="24.6" customHeight="1" x14ac:dyDescent="0.25">
      <c r="A17" s="15">
        <v>247</v>
      </c>
      <c r="B17" s="13"/>
      <c r="C17" s="12" t="s">
        <v>364</v>
      </c>
      <c r="D17" s="13" t="s">
        <v>24</v>
      </c>
      <c r="E17" s="13" t="s">
        <v>365</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-464</v>
      </c>
      <c r="P17" s="20" t="s">
        <v>514</v>
      </c>
      <c r="Q17" s="27"/>
      <c r="R17" s="27"/>
      <c r="S17" s="27"/>
      <c r="T17" s="27"/>
      <c r="U17" s="27"/>
      <c r="V17" s="27"/>
      <c r="W17" s="27"/>
      <c r="X17" s="27"/>
      <c r="Y17" s="27"/>
      <c r="Z17" s="27"/>
      <c r="AA17" s="27"/>
      <c r="AB17" s="27"/>
      <c r="AC17" s="27"/>
      <c r="AD17" s="27"/>
    </row>
    <row r="18" spans="1:30" ht="24.6" customHeight="1" x14ac:dyDescent="0.25">
      <c r="A18" s="15">
        <v>248</v>
      </c>
      <c r="B18" s="13"/>
      <c r="C18" s="12" t="s">
        <v>525</v>
      </c>
      <c r="D18" s="13" t="s">
        <v>24</v>
      </c>
      <c r="E18" s="13" t="s">
        <v>358</v>
      </c>
      <c r="F18" s="14">
        <v>44053</v>
      </c>
      <c r="G18" s="14">
        <v>44064</v>
      </c>
      <c r="H18" s="14"/>
      <c r="I18" s="14">
        <v>44067</v>
      </c>
      <c r="J18" s="13" t="str">
        <f t="shared" ref="J18" ca="1" si="84">IF(AND(I18&lt;=$C$2,I18&lt;&gt;0),"DONE",IF(K18&lt;0,"OVERDUE",IF(AND(K18="",O18&lt;0),"OVERDUE","IN TIME")))</f>
        <v>DONE</v>
      </c>
      <c r="K18" s="13" t="str">
        <f t="shared" ref="K18" si="85">IF(H18&gt;0,H18-$C$2,"")</f>
        <v/>
      </c>
      <c r="L18" s="13">
        <f t="shared" ref="L18" ca="1" si="86">IF(J18="OVERDUE",1,0)</f>
        <v>0</v>
      </c>
      <c r="M18" s="13">
        <f t="shared" ref="M18" ca="1" si="87">IF(J18="IN TIME",1,0)</f>
        <v>0</v>
      </c>
      <c r="N18" s="13">
        <f t="shared" ref="N18" ca="1" si="88">IF(J18="DONE",1,0)</f>
        <v>1</v>
      </c>
      <c r="O18" s="13">
        <f t="shared" ref="O18" ca="1" si="89">IF(G18&gt;0,G18-$C$2,"")</f>
        <v>-311</v>
      </c>
      <c r="P18" s="20" t="s">
        <v>527</v>
      </c>
      <c r="Q18" s="27"/>
      <c r="R18" s="27"/>
      <c r="S18" s="27"/>
      <c r="T18" s="27"/>
      <c r="U18" s="27"/>
      <c r="V18" s="27"/>
      <c r="W18" s="27"/>
      <c r="X18" s="27"/>
      <c r="Y18" s="27"/>
      <c r="Z18" s="27"/>
      <c r="AA18" s="27"/>
      <c r="AB18" s="27"/>
      <c r="AC18" s="27"/>
      <c r="AD18" s="27"/>
    </row>
    <row r="19" spans="1:30" ht="24.6" customHeight="1" x14ac:dyDescent="0.25">
      <c r="A19" s="15">
        <v>249</v>
      </c>
      <c r="B19" s="13"/>
      <c r="C19" s="12"/>
      <c r="D19" s="13"/>
      <c r="E19" s="13"/>
      <c r="F19" s="14"/>
      <c r="G19" s="14"/>
      <c r="H19" s="14"/>
      <c r="I19" s="14"/>
      <c r="J19" s="13" t="str">
        <f t="shared" ref="J19" ca="1" si="90">IF(AND(I19&lt;=$C$2,I19&lt;&gt;0),"DONE",IF(K19&lt;0,"OVERDUE",IF(AND(K19="",O19&lt;0),"OVERDUE","IN TIME")))</f>
        <v>IN TIME</v>
      </c>
      <c r="K19" s="13" t="str">
        <f t="shared" ref="K19" si="91">IF(H19&gt;0,H19-$C$2,"")</f>
        <v/>
      </c>
      <c r="L19" s="13">
        <f t="shared" ref="L19" ca="1" si="92">IF(J19="OVERDUE",1,0)</f>
        <v>0</v>
      </c>
      <c r="M19" s="13">
        <f t="shared" ref="M19" ca="1" si="93">IF(J19="IN TIME",1,0)</f>
        <v>1</v>
      </c>
      <c r="N19" s="13">
        <f t="shared" ref="N19" ca="1" si="94">IF(J19="DONE",1,0)</f>
        <v>0</v>
      </c>
      <c r="O19" s="13" t="str">
        <f t="shared" ref="O19" si="95">IF(G19&gt;0,G19-$C$2,"")</f>
        <v/>
      </c>
      <c r="P19" s="20"/>
      <c r="Q19" s="27"/>
      <c r="R19" s="27"/>
      <c r="S19" s="27"/>
      <c r="T19" s="27"/>
      <c r="U19" s="27"/>
      <c r="V19" s="27"/>
      <c r="W19" s="27"/>
      <c r="X19" s="27"/>
      <c r="Y19" s="27"/>
      <c r="Z19" s="27"/>
      <c r="AA19" s="27"/>
      <c r="AB19" s="27"/>
      <c r="AC19" s="27"/>
      <c r="AD19" s="27"/>
    </row>
    <row r="20" spans="1:30" ht="24.6" customHeight="1" x14ac:dyDescent="0.25">
      <c r="A20" s="15">
        <v>250</v>
      </c>
      <c r="B20" s="13"/>
      <c r="C20" s="12" t="s">
        <v>596</v>
      </c>
      <c r="D20" s="13" t="s">
        <v>24</v>
      </c>
      <c r="E20" s="13" t="s">
        <v>597</v>
      </c>
      <c r="F20" s="14">
        <v>44172</v>
      </c>
      <c r="G20" s="14">
        <v>44179</v>
      </c>
      <c r="H20" s="14"/>
      <c r="I20" s="14">
        <v>44179</v>
      </c>
      <c r="J20" s="13" t="str">
        <f t="shared" ref="J20" ca="1" si="96">IF(AND(I20&lt;=$C$2,I20&lt;&gt;0),"DONE",IF(K20&lt;0,"OVERDUE",IF(AND(K20="",O20&lt;0),"OVERDUE","IN TIME")))</f>
        <v>DONE</v>
      </c>
      <c r="K20" s="13" t="str">
        <f t="shared" ref="K20" si="97">IF(H20&gt;0,H20-$C$2,"")</f>
        <v/>
      </c>
      <c r="L20" s="13">
        <f t="shared" ref="L20" ca="1" si="98">IF(J20="OVERDUE",1,0)</f>
        <v>0</v>
      </c>
      <c r="M20" s="13">
        <f t="shared" ref="M20" ca="1" si="99">IF(J20="IN TIME",1,0)</f>
        <v>0</v>
      </c>
      <c r="N20" s="13">
        <f t="shared" ref="N20" ca="1" si="100">IF(J20="DONE",1,0)</f>
        <v>1</v>
      </c>
      <c r="O20" s="13">
        <f t="shared" ref="O20" ca="1" si="101">IF(G20&gt;0,G20-$C$2,"")</f>
        <v>-196</v>
      </c>
      <c r="P20" s="20" t="s">
        <v>598</v>
      </c>
      <c r="Q20" s="27"/>
      <c r="R20" s="27"/>
      <c r="S20" s="27"/>
      <c r="T20" s="27"/>
      <c r="U20" s="27"/>
      <c r="V20" s="27"/>
      <c r="W20" s="27"/>
      <c r="X20" s="27"/>
      <c r="Y20" s="27"/>
      <c r="Z20" s="27"/>
      <c r="AA20" s="27"/>
      <c r="AB20" s="27"/>
      <c r="AC20" s="27"/>
      <c r="AD20" s="27"/>
    </row>
    <row r="21" spans="1:30" ht="24.6" customHeight="1" x14ac:dyDescent="0.25">
      <c r="A21" s="15">
        <v>251</v>
      </c>
      <c r="B21" s="13"/>
      <c r="C21" s="12"/>
      <c r="D21" s="13"/>
      <c r="E21" s="13"/>
      <c r="F21" s="14"/>
      <c r="G21" s="14"/>
      <c r="H21" s="14"/>
      <c r="I21" s="14"/>
      <c r="J21" s="13" t="str">
        <f t="shared" ref="J21" ca="1" si="102">IF(AND(I21&lt;=$C$2,I21&lt;&gt;0),"DONE",IF(K21&lt;0,"OVERDUE",IF(AND(K21="",O21&lt;0),"OVERDUE","IN TIME")))</f>
        <v>IN TIME</v>
      </c>
      <c r="K21" s="13" t="str">
        <f t="shared" ref="K21" si="103">IF(H21&gt;0,H21-$C$2,"")</f>
        <v/>
      </c>
      <c r="L21" s="13">
        <f t="shared" ref="L21" ca="1" si="104">IF(J21="OVERDUE",1,0)</f>
        <v>0</v>
      </c>
      <c r="M21" s="13">
        <f t="shared" ref="M21" ca="1" si="105">IF(J21="IN TIME",1,0)</f>
        <v>1</v>
      </c>
      <c r="N21" s="13">
        <f t="shared" ref="N21" ca="1" si="106">IF(J21="DONE",1,0)</f>
        <v>0</v>
      </c>
      <c r="O21" s="13" t="str">
        <f t="shared" ref="O21" si="107">IF(G21&gt;0,G21-$C$2,"")</f>
        <v/>
      </c>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635" priority="52" operator="equal">
      <formula>"OVERDUE"</formula>
    </cfRule>
    <cfRule type="cellIs" dxfId="634" priority="53" operator="equal">
      <formula>"DONE"</formula>
    </cfRule>
    <cfRule type="cellIs" dxfId="633" priority="54" operator="equal">
      <formula>"DONE"</formula>
    </cfRule>
  </conditionalFormatting>
  <conditionalFormatting sqref="J5">
    <cfRule type="cellIs" dxfId="632" priority="49" operator="equal">
      <formula>"OVERDUE"</formula>
    </cfRule>
    <cfRule type="cellIs" dxfId="631" priority="50" operator="equal">
      <formula>"DONE"</formula>
    </cfRule>
    <cfRule type="cellIs" dxfId="630" priority="51" operator="equal">
      <formula>"DONE"</formula>
    </cfRule>
  </conditionalFormatting>
  <conditionalFormatting sqref="J6">
    <cfRule type="cellIs" dxfId="629" priority="46" operator="equal">
      <formula>"OVERDUE"</formula>
    </cfRule>
    <cfRule type="cellIs" dxfId="628" priority="47" operator="equal">
      <formula>"DONE"</formula>
    </cfRule>
    <cfRule type="cellIs" dxfId="627" priority="48" operator="equal">
      <formula>"DONE"</formula>
    </cfRule>
  </conditionalFormatting>
  <conditionalFormatting sqref="J7">
    <cfRule type="cellIs" dxfId="626" priority="43" operator="equal">
      <formula>"OVERDUE"</formula>
    </cfRule>
    <cfRule type="cellIs" dxfId="625" priority="44" operator="equal">
      <formula>"DONE"</formula>
    </cfRule>
    <cfRule type="cellIs" dxfId="624" priority="45" operator="equal">
      <formula>"DONE"</formula>
    </cfRule>
  </conditionalFormatting>
  <conditionalFormatting sqref="J8">
    <cfRule type="cellIs" dxfId="623" priority="40" operator="equal">
      <formula>"OVERDUE"</formula>
    </cfRule>
    <cfRule type="cellIs" dxfId="622" priority="41" operator="equal">
      <formula>"DONE"</formula>
    </cfRule>
    <cfRule type="cellIs" dxfId="621" priority="42" operator="equal">
      <formula>"DONE"</formula>
    </cfRule>
  </conditionalFormatting>
  <conditionalFormatting sqref="J9">
    <cfRule type="cellIs" dxfId="620" priority="37" operator="equal">
      <formula>"OVERDUE"</formula>
    </cfRule>
    <cfRule type="cellIs" dxfId="619" priority="38" operator="equal">
      <formula>"DONE"</formula>
    </cfRule>
    <cfRule type="cellIs" dxfId="618" priority="39" operator="equal">
      <formula>"DONE"</formula>
    </cfRule>
  </conditionalFormatting>
  <conditionalFormatting sqref="J10">
    <cfRule type="cellIs" dxfId="617" priority="34" operator="equal">
      <formula>"OVERDUE"</formula>
    </cfRule>
    <cfRule type="cellIs" dxfId="616" priority="35" operator="equal">
      <formula>"DONE"</formula>
    </cfRule>
    <cfRule type="cellIs" dxfId="615" priority="36" operator="equal">
      <formula>"DONE"</formula>
    </cfRule>
  </conditionalFormatting>
  <conditionalFormatting sqref="J11">
    <cfRule type="cellIs" dxfId="614" priority="31" operator="equal">
      <formula>"OVERDUE"</formula>
    </cfRule>
    <cfRule type="cellIs" dxfId="613" priority="32" operator="equal">
      <formula>"DONE"</formula>
    </cfRule>
    <cfRule type="cellIs" dxfId="612" priority="33" operator="equal">
      <formula>"DONE"</formula>
    </cfRule>
  </conditionalFormatting>
  <conditionalFormatting sqref="J12">
    <cfRule type="cellIs" dxfId="611" priority="28" operator="equal">
      <formula>"OVERDUE"</formula>
    </cfRule>
    <cfRule type="cellIs" dxfId="610" priority="29" operator="equal">
      <formula>"DONE"</formula>
    </cfRule>
    <cfRule type="cellIs" dxfId="609" priority="30" operator="equal">
      <formula>"DONE"</formula>
    </cfRule>
  </conditionalFormatting>
  <conditionalFormatting sqref="J13">
    <cfRule type="cellIs" dxfId="608" priority="25" operator="equal">
      <formula>"OVERDUE"</formula>
    </cfRule>
    <cfRule type="cellIs" dxfId="607" priority="26" operator="equal">
      <formula>"DONE"</formula>
    </cfRule>
    <cfRule type="cellIs" dxfId="606" priority="27" operator="equal">
      <formula>"DONE"</formula>
    </cfRule>
  </conditionalFormatting>
  <conditionalFormatting sqref="J14">
    <cfRule type="cellIs" dxfId="605" priority="22" operator="equal">
      <formula>"OVERDUE"</formula>
    </cfRule>
    <cfRule type="cellIs" dxfId="604" priority="23" operator="equal">
      <formula>"DONE"</formula>
    </cfRule>
    <cfRule type="cellIs" dxfId="603" priority="24" operator="equal">
      <formula>"DONE"</formula>
    </cfRule>
  </conditionalFormatting>
  <conditionalFormatting sqref="J15">
    <cfRule type="cellIs" dxfId="602" priority="19" operator="equal">
      <formula>"OVERDUE"</formula>
    </cfRule>
    <cfRule type="cellIs" dxfId="601" priority="20" operator="equal">
      <formula>"DONE"</formula>
    </cfRule>
    <cfRule type="cellIs" dxfId="600" priority="21" operator="equal">
      <formula>"DONE"</formula>
    </cfRule>
  </conditionalFormatting>
  <conditionalFormatting sqref="J16">
    <cfRule type="cellIs" dxfId="599" priority="16" operator="equal">
      <formula>"OVERDUE"</formula>
    </cfRule>
    <cfRule type="cellIs" dxfId="598" priority="17" operator="equal">
      <formula>"DONE"</formula>
    </cfRule>
    <cfRule type="cellIs" dxfId="597" priority="18" operator="equal">
      <formula>"DONE"</formula>
    </cfRule>
  </conditionalFormatting>
  <conditionalFormatting sqref="J17">
    <cfRule type="cellIs" dxfId="596" priority="13" operator="equal">
      <formula>"OVERDUE"</formula>
    </cfRule>
    <cfRule type="cellIs" dxfId="595" priority="14" operator="equal">
      <formula>"DONE"</formula>
    </cfRule>
    <cfRule type="cellIs" dxfId="594" priority="15" operator="equal">
      <formula>"DONE"</formula>
    </cfRule>
  </conditionalFormatting>
  <conditionalFormatting sqref="J18">
    <cfRule type="cellIs" dxfId="593" priority="10" operator="equal">
      <formula>"OVERDUE"</formula>
    </cfRule>
    <cfRule type="cellIs" dxfId="592" priority="11" operator="equal">
      <formula>"DONE"</formula>
    </cfRule>
    <cfRule type="cellIs" dxfId="591" priority="12" operator="equal">
      <formula>"DONE"</formula>
    </cfRule>
  </conditionalFormatting>
  <conditionalFormatting sqref="J2:J3 J22:J1048576">
    <cfRule type="cellIs" dxfId="590" priority="910" operator="equal">
      <formula>"OVERDUE"</formula>
    </cfRule>
    <cfRule type="cellIs" dxfId="589" priority="911" operator="equal">
      <formula>"DONE"</formula>
    </cfRule>
    <cfRule type="cellIs" dxfId="588" priority="912" operator="equal">
      <formula>"DONE"</formula>
    </cfRule>
  </conditionalFormatting>
  <conditionalFormatting sqref="J19">
    <cfRule type="cellIs" dxfId="587" priority="7" operator="equal">
      <formula>"OVERDUE"</formula>
    </cfRule>
    <cfRule type="cellIs" dxfId="586" priority="8" operator="equal">
      <formula>"DONE"</formula>
    </cfRule>
    <cfRule type="cellIs" dxfId="585" priority="9" operator="equal">
      <formula>"DONE"</formula>
    </cfRule>
  </conditionalFormatting>
  <conditionalFormatting sqref="J20">
    <cfRule type="cellIs" dxfId="584" priority="4" operator="equal">
      <formula>"OVERDUE"</formula>
    </cfRule>
    <cfRule type="cellIs" dxfId="583" priority="5" operator="equal">
      <formula>"DONE"</formula>
    </cfRule>
    <cfRule type="cellIs" dxfId="582" priority="6" operator="equal">
      <formula>"DONE"</formula>
    </cfRule>
  </conditionalFormatting>
  <conditionalFormatting sqref="J21">
    <cfRule type="cellIs" dxfId="581" priority="1" operator="equal">
      <formula>"OVERDUE"</formula>
    </cfRule>
    <cfRule type="cellIs" dxfId="580" priority="2" operator="equal">
      <formula>"DONE"</formula>
    </cfRule>
    <cfRule type="cellIs" dxfId="579"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106680</xdr:colOff>
                    <xdr:row>21</xdr:row>
                    <xdr:rowOff>83820</xdr:rowOff>
                  </from>
                  <to>
                    <xdr:col>2</xdr:col>
                    <xdr:colOff>693420</xdr:colOff>
                    <xdr:row>22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6" activePane="bottomLeft" state="frozen"/>
      <selection pane="bottomLeft" activeCell="C7" sqref="C7"/>
    </sheetView>
  </sheetViews>
  <sheetFormatPr defaultColWidth="9" defaultRowHeight="13.8" x14ac:dyDescent="0.25"/>
  <cols>
    <col min="1" max="1" width="5.33203125" style="1" customWidth="1"/>
    <col min="2" max="2" width="4.21875" style="1" customWidth="1"/>
    <col min="3" max="3" width="37.7773437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0</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2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-682</v>
      </c>
      <c r="P4" s="20" t="s">
        <v>54</v>
      </c>
      <c r="Q4" s="27"/>
      <c r="R4" s="27"/>
      <c r="S4" s="27"/>
      <c r="T4" s="27"/>
      <c r="U4" s="27"/>
      <c r="V4" s="27"/>
      <c r="W4" s="27"/>
      <c r="X4" s="27"/>
      <c r="Y4" s="27"/>
      <c r="Z4" s="27"/>
      <c r="AA4" s="27"/>
      <c r="AB4" s="27"/>
      <c r="AC4" s="27"/>
      <c r="AD4" s="27"/>
    </row>
    <row r="5" spans="1:246" ht="144.75" customHeight="1" x14ac:dyDescent="0.2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-668</v>
      </c>
      <c r="P5" s="20" t="s">
        <v>56</v>
      </c>
      <c r="Q5" s="27"/>
      <c r="R5" s="27"/>
      <c r="S5" s="27"/>
      <c r="T5" s="27"/>
      <c r="U5" s="27"/>
      <c r="V5" s="27"/>
      <c r="W5" s="27"/>
      <c r="X5" s="27"/>
      <c r="Y5" s="27"/>
      <c r="Z5" s="27"/>
      <c r="AA5" s="27"/>
      <c r="AB5" s="27"/>
      <c r="AC5" s="27"/>
      <c r="AD5" s="27"/>
    </row>
    <row r="6" spans="1:246" ht="78.75" customHeight="1" x14ac:dyDescent="0.2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-661</v>
      </c>
      <c r="P6" s="20" t="s">
        <v>58</v>
      </c>
      <c r="Q6" s="27"/>
      <c r="R6" s="27"/>
      <c r="S6" s="27"/>
      <c r="T6" s="27"/>
      <c r="U6" s="27"/>
      <c r="V6" s="27"/>
      <c r="W6" s="27"/>
      <c r="X6" s="27"/>
      <c r="Y6" s="27"/>
      <c r="Z6" s="27"/>
      <c r="AA6" s="27"/>
      <c r="AB6" s="27"/>
      <c r="AC6" s="27"/>
      <c r="AD6" s="27"/>
    </row>
    <row r="7" spans="1:246" ht="60" customHeight="1" x14ac:dyDescent="0.2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-654</v>
      </c>
      <c r="P7" s="20" t="s">
        <v>60</v>
      </c>
      <c r="Q7" s="27"/>
      <c r="R7" s="27"/>
      <c r="S7" s="27"/>
      <c r="T7" s="27"/>
      <c r="U7" s="27"/>
      <c r="V7" s="27"/>
      <c r="W7" s="27"/>
      <c r="X7" s="27"/>
      <c r="Y7" s="27"/>
      <c r="Z7" s="27"/>
      <c r="AA7" s="27"/>
      <c r="AB7" s="27"/>
      <c r="AC7" s="27"/>
      <c r="AD7" s="27"/>
    </row>
    <row r="8" spans="1:246" ht="24.6" customHeight="1" x14ac:dyDescent="0.2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-649</v>
      </c>
      <c r="P8" s="20"/>
      <c r="Q8" s="27"/>
      <c r="R8" s="27"/>
      <c r="S8" s="27"/>
      <c r="T8" s="27"/>
      <c r="U8" s="27"/>
      <c r="V8" s="27"/>
      <c r="W8" s="27"/>
      <c r="X8" s="27"/>
      <c r="Y8" s="27"/>
      <c r="Z8" s="27"/>
      <c r="AA8" s="27"/>
      <c r="AB8" s="27"/>
      <c r="AC8" s="27"/>
      <c r="AD8" s="27"/>
    </row>
    <row r="9" spans="1:246" ht="24.6" customHeight="1" x14ac:dyDescent="0.2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-640</v>
      </c>
      <c r="P9" s="20"/>
      <c r="Q9" s="27"/>
      <c r="R9" s="27"/>
      <c r="S9" s="27"/>
      <c r="T9" s="27"/>
      <c r="U9" s="27"/>
      <c r="V9" s="27"/>
      <c r="W9" s="27"/>
      <c r="X9" s="27"/>
      <c r="Y9" s="27"/>
      <c r="Z9" s="27"/>
      <c r="AA9" s="27"/>
      <c r="AB9" s="27"/>
      <c r="AC9" s="27"/>
      <c r="AD9" s="27"/>
    </row>
    <row r="10" spans="1:246" ht="60.75" customHeight="1" x14ac:dyDescent="0.2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-637</v>
      </c>
      <c r="P10" s="20"/>
      <c r="Q10" s="27"/>
      <c r="R10" s="27"/>
      <c r="S10" s="27"/>
      <c r="T10" s="27"/>
      <c r="U10" s="27"/>
      <c r="V10" s="27"/>
      <c r="W10" s="27"/>
      <c r="X10" s="27"/>
      <c r="Y10" s="27"/>
      <c r="Z10" s="27"/>
      <c r="AA10" s="27"/>
      <c r="AB10" s="27"/>
      <c r="AC10" s="27"/>
      <c r="AD10" s="27"/>
    </row>
    <row r="11" spans="1:246" ht="24.6" customHeight="1" x14ac:dyDescent="0.2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2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2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2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578" priority="31" operator="equal">
      <formula>"OVERDUE"</formula>
    </cfRule>
    <cfRule type="cellIs" dxfId="577" priority="32" operator="equal">
      <formula>"DONE"</formula>
    </cfRule>
    <cfRule type="cellIs" dxfId="576" priority="33" operator="equal">
      <formula>"DONE"</formula>
    </cfRule>
  </conditionalFormatting>
  <conditionalFormatting sqref="J5">
    <cfRule type="cellIs" dxfId="575" priority="28" operator="equal">
      <formula>"OVERDUE"</formula>
    </cfRule>
    <cfRule type="cellIs" dxfId="574" priority="29" operator="equal">
      <formula>"DONE"</formula>
    </cfRule>
    <cfRule type="cellIs" dxfId="573" priority="30" operator="equal">
      <formula>"DONE"</formula>
    </cfRule>
  </conditionalFormatting>
  <conditionalFormatting sqref="J6">
    <cfRule type="cellIs" dxfId="572" priority="25" operator="equal">
      <formula>"OVERDUE"</formula>
    </cfRule>
    <cfRule type="cellIs" dxfId="571" priority="26" operator="equal">
      <formula>"DONE"</formula>
    </cfRule>
    <cfRule type="cellIs" dxfId="570" priority="27" operator="equal">
      <formula>"DONE"</formula>
    </cfRule>
  </conditionalFormatting>
  <conditionalFormatting sqref="J7">
    <cfRule type="cellIs" dxfId="569" priority="22" operator="equal">
      <formula>"OVERDUE"</formula>
    </cfRule>
    <cfRule type="cellIs" dxfId="568" priority="23" operator="equal">
      <formula>"DONE"</formula>
    </cfRule>
    <cfRule type="cellIs" dxfId="567" priority="24" operator="equal">
      <formula>"DONE"</formula>
    </cfRule>
  </conditionalFormatting>
  <conditionalFormatting sqref="J8">
    <cfRule type="cellIs" dxfId="566" priority="19" operator="equal">
      <formula>"OVERDUE"</formula>
    </cfRule>
    <cfRule type="cellIs" dxfId="565" priority="20" operator="equal">
      <formula>"DONE"</formula>
    </cfRule>
    <cfRule type="cellIs" dxfId="564" priority="21" operator="equal">
      <formula>"DONE"</formula>
    </cfRule>
  </conditionalFormatting>
  <conditionalFormatting sqref="J9">
    <cfRule type="cellIs" dxfId="563" priority="16" operator="equal">
      <formula>"OVERDUE"</formula>
    </cfRule>
    <cfRule type="cellIs" dxfId="562" priority="17" operator="equal">
      <formula>"DONE"</formula>
    </cfRule>
    <cfRule type="cellIs" dxfId="561" priority="18" operator="equal">
      <formula>"DONE"</formula>
    </cfRule>
  </conditionalFormatting>
  <conditionalFormatting sqref="J10">
    <cfRule type="cellIs" dxfId="560" priority="13" operator="equal">
      <formula>"OVERDUE"</formula>
    </cfRule>
    <cfRule type="cellIs" dxfId="559" priority="14" operator="equal">
      <formula>"DONE"</formula>
    </cfRule>
    <cfRule type="cellIs" dxfId="558" priority="15" operator="equal">
      <formula>"DONE"</formula>
    </cfRule>
  </conditionalFormatting>
  <conditionalFormatting sqref="J11">
    <cfRule type="cellIs" dxfId="557" priority="10" operator="equal">
      <formula>"OVERDUE"</formula>
    </cfRule>
    <cfRule type="cellIs" dxfId="556" priority="11" operator="equal">
      <formula>"DONE"</formula>
    </cfRule>
    <cfRule type="cellIs" dxfId="555" priority="12" operator="equal">
      <formula>"DONE"</formula>
    </cfRule>
  </conditionalFormatting>
  <conditionalFormatting sqref="J12">
    <cfRule type="cellIs" dxfId="554" priority="7" operator="equal">
      <formula>"OVERDUE"</formula>
    </cfRule>
    <cfRule type="cellIs" dxfId="553" priority="8" operator="equal">
      <formula>"DONE"</formula>
    </cfRule>
    <cfRule type="cellIs" dxfId="552" priority="9" operator="equal">
      <formula>"DONE"</formula>
    </cfRule>
  </conditionalFormatting>
  <conditionalFormatting sqref="J13">
    <cfRule type="cellIs" dxfId="551" priority="4" operator="equal">
      <formula>"OVERDUE"</formula>
    </cfRule>
    <cfRule type="cellIs" dxfId="550" priority="5" operator="equal">
      <formula>"DONE"</formula>
    </cfRule>
    <cfRule type="cellIs" dxfId="549" priority="6" operator="equal">
      <formula>"DONE"</formula>
    </cfRule>
  </conditionalFormatting>
  <conditionalFormatting sqref="J14">
    <cfRule type="cellIs" dxfId="548" priority="1" operator="equal">
      <formula>"OVERDUE"</formula>
    </cfRule>
    <cfRule type="cellIs" dxfId="547" priority="2" operator="equal">
      <formula>"DONE"</formula>
    </cfRule>
    <cfRule type="cellIs" dxfId="546" priority="3" operator="equal">
      <formula>"DONE"</formula>
    </cfRule>
  </conditionalFormatting>
  <conditionalFormatting sqref="J2:J3 J15:J1048576">
    <cfRule type="cellIs" dxfId="545" priority="34" operator="equal">
      <formula>"OVERDUE"</formula>
    </cfRule>
    <cfRule type="cellIs" dxfId="544" priority="35" operator="equal">
      <formula>"DONE"</formula>
    </cfRule>
    <cfRule type="cellIs" dxfId="543"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106680</xdr:colOff>
                    <xdr:row>14</xdr:row>
                    <xdr:rowOff>83820</xdr:rowOff>
                  </from>
                  <to>
                    <xdr:col>2</xdr:col>
                    <xdr:colOff>693420</xdr:colOff>
                    <xdr:row>15</xdr:row>
                    <xdr:rowOff>160020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10" activePane="bottomLeft" state="frozen"/>
      <selection activeCell="C76" sqref="C76"/>
      <selection pane="bottomLeft" activeCell="C14" sqref="C14"/>
    </sheetView>
  </sheetViews>
  <sheetFormatPr defaultColWidth="9" defaultRowHeight="13.8" x14ac:dyDescent="0.25"/>
  <cols>
    <col min="1" max="1" width="5.33203125" style="1" customWidth="1"/>
    <col min="2" max="2" width="4.21875" style="1" customWidth="1"/>
    <col min="3" max="3" width="33.664062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0</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2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-672</v>
      </c>
      <c r="L4" s="13">
        <f t="shared" ref="L4:L13" ca="1" si="2">IF(J4="OVERDUE",1,0)</f>
        <v>0</v>
      </c>
      <c r="M4" s="13">
        <f t="shared" ref="M4:M13" ca="1" si="3">IF(J4="IN TIME",1,0)</f>
        <v>0</v>
      </c>
      <c r="N4" s="13">
        <f t="shared" ref="N4:N13" ca="1" si="4">IF(J4="DONE",1,0)</f>
        <v>1</v>
      </c>
      <c r="O4" s="13">
        <f t="shared" ref="O4:O13" ca="1" si="5">IF(G4&gt;0,G4-$C$2,"")</f>
        <v>-699</v>
      </c>
      <c r="P4" s="20" t="s">
        <v>65</v>
      </c>
      <c r="Q4" s="27"/>
      <c r="R4" s="27"/>
      <c r="S4" s="27"/>
      <c r="T4" s="27"/>
      <c r="U4" s="27"/>
      <c r="V4" s="27"/>
      <c r="W4" s="27"/>
      <c r="X4" s="27"/>
      <c r="Y4" s="27"/>
      <c r="Z4" s="27"/>
      <c r="AA4" s="27"/>
      <c r="AB4" s="27"/>
      <c r="AC4" s="27"/>
      <c r="AD4" s="27"/>
    </row>
    <row r="5" spans="1:246" ht="60.75" customHeight="1" x14ac:dyDescent="0.25">
      <c r="A5" s="32">
        <v>235</v>
      </c>
      <c r="B5" s="32"/>
      <c r="C5" s="33" t="s">
        <v>66</v>
      </c>
      <c r="D5" s="34" t="s">
        <v>37</v>
      </c>
      <c r="E5" s="35" t="s">
        <v>25</v>
      </c>
      <c r="F5" s="35">
        <v>43640</v>
      </c>
      <c r="G5" s="35">
        <v>43653</v>
      </c>
      <c r="H5" s="35">
        <v>43727</v>
      </c>
      <c r="I5" s="35">
        <v>44093</v>
      </c>
      <c r="J5" s="32" t="str">
        <f t="shared" ca="1" si="0"/>
        <v>DONE</v>
      </c>
      <c r="K5" s="32">
        <f t="shared" ca="1" si="1"/>
        <v>-648</v>
      </c>
      <c r="L5" s="32">
        <f t="shared" ca="1" si="2"/>
        <v>0</v>
      </c>
      <c r="M5" s="32">
        <f t="shared" ca="1" si="3"/>
        <v>0</v>
      </c>
      <c r="N5" s="32">
        <f t="shared" ca="1" si="4"/>
        <v>1</v>
      </c>
      <c r="O5" s="32">
        <f t="shared" ca="1" si="5"/>
        <v>-722</v>
      </c>
      <c r="P5" s="36" t="s">
        <v>67</v>
      </c>
      <c r="Q5" s="27"/>
      <c r="R5" s="27"/>
      <c r="S5" s="27"/>
      <c r="T5" s="27"/>
      <c r="U5" s="27"/>
      <c r="V5" s="27"/>
      <c r="W5" s="27"/>
      <c r="X5" s="27"/>
      <c r="Y5" s="27"/>
      <c r="Z5" s="27"/>
      <c r="AA5" s="27"/>
      <c r="AB5" s="27"/>
      <c r="AC5" s="27"/>
      <c r="AD5" s="27"/>
    </row>
    <row r="6" spans="1:246" ht="152.25" customHeight="1" x14ac:dyDescent="0.2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-668</v>
      </c>
      <c r="P6" s="20" t="s">
        <v>69</v>
      </c>
      <c r="Q6" s="27"/>
      <c r="R6" s="27"/>
      <c r="S6" s="27"/>
      <c r="T6" s="27"/>
      <c r="U6" s="27"/>
      <c r="V6" s="27"/>
      <c r="W6" s="27"/>
      <c r="X6" s="27"/>
      <c r="Y6" s="27"/>
      <c r="Z6" s="27"/>
      <c r="AA6" s="27"/>
      <c r="AB6" s="27"/>
      <c r="AC6" s="27"/>
      <c r="AD6" s="27"/>
    </row>
    <row r="7" spans="1:246" ht="63.75" customHeight="1" x14ac:dyDescent="0.2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-599</v>
      </c>
      <c r="P7" s="20" t="s">
        <v>71</v>
      </c>
      <c r="Q7" s="27"/>
      <c r="R7" s="27"/>
      <c r="S7" s="27"/>
      <c r="T7" s="27"/>
      <c r="U7" s="27"/>
      <c r="V7" s="27"/>
      <c r="W7" s="27"/>
      <c r="X7" s="27"/>
      <c r="Y7" s="27"/>
      <c r="Z7" s="27"/>
      <c r="AA7" s="27"/>
      <c r="AB7" s="27"/>
      <c r="AC7" s="27"/>
      <c r="AD7" s="27"/>
    </row>
    <row r="8" spans="1:246" ht="63.75" customHeight="1" x14ac:dyDescent="0.2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-599</v>
      </c>
      <c r="P8" s="20" t="s">
        <v>73</v>
      </c>
      <c r="Q8" s="27"/>
      <c r="R8" s="27"/>
      <c r="S8" s="27"/>
      <c r="T8" s="27"/>
      <c r="U8" s="27"/>
      <c r="V8" s="27"/>
      <c r="W8" s="27"/>
      <c r="X8" s="27"/>
      <c r="Y8" s="27"/>
      <c r="Z8" s="27"/>
      <c r="AA8" s="27"/>
      <c r="AB8" s="27"/>
      <c r="AC8" s="27"/>
      <c r="AD8" s="27"/>
    </row>
    <row r="9" spans="1:246" ht="78.75" customHeight="1" x14ac:dyDescent="0.2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-599</v>
      </c>
      <c r="P9" s="20" t="s">
        <v>75</v>
      </c>
      <c r="Q9" s="27"/>
      <c r="R9" s="27"/>
      <c r="S9" s="27"/>
      <c r="T9" s="27"/>
      <c r="U9" s="27"/>
      <c r="V9" s="27"/>
      <c r="W9" s="27"/>
      <c r="X9" s="27"/>
      <c r="Y9" s="27"/>
      <c r="Z9" s="27"/>
      <c r="AA9" s="27"/>
      <c r="AB9" s="27"/>
      <c r="AC9" s="27"/>
      <c r="AD9" s="27"/>
    </row>
    <row r="10" spans="1:246" ht="102" customHeight="1" x14ac:dyDescent="0.2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-599</v>
      </c>
      <c r="P10" s="20" t="s">
        <v>78</v>
      </c>
      <c r="Q10" s="27"/>
      <c r="R10" s="27"/>
      <c r="S10" s="27"/>
      <c r="T10" s="27"/>
      <c r="U10" s="27"/>
      <c r="V10" s="27"/>
      <c r="W10" s="27"/>
      <c r="X10" s="27"/>
      <c r="Y10" s="27"/>
      <c r="Z10" s="27"/>
      <c r="AA10" s="27"/>
      <c r="AB10" s="27"/>
      <c r="AC10" s="27"/>
      <c r="AD10" s="27"/>
    </row>
    <row r="11" spans="1:246" ht="85.5" customHeight="1" x14ac:dyDescent="0.2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s="162" customFormat="1" ht="51" customHeight="1" x14ac:dyDescent="0.25">
      <c r="A12" s="156">
        <v>242</v>
      </c>
      <c r="B12" s="157"/>
      <c r="C12" s="158" t="s">
        <v>523</v>
      </c>
      <c r="D12" s="157" t="s">
        <v>24</v>
      </c>
      <c r="E12" s="157" t="s">
        <v>47</v>
      </c>
      <c r="F12" s="159">
        <v>43781</v>
      </c>
      <c r="G12" s="159"/>
      <c r="H12" s="159"/>
      <c r="I12" s="159"/>
      <c r="J12" s="157" t="str">
        <f t="shared" ca="1" si="0"/>
        <v>IN TIME</v>
      </c>
      <c r="K12" s="157" t="str">
        <f t="shared" si="1"/>
        <v/>
      </c>
      <c r="L12" s="157">
        <f t="shared" ca="1" si="2"/>
        <v>0</v>
      </c>
      <c r="M12" s="157">
        <f t="shared" ca="1" si="3"/>
        <v>1</v>
      </c>
      <c r="N12" s="157">
        <f t="shared" ca="1" si="4"/>
        <v>0</v>
      </c>
      <c r="O12" s="157" t="str">
        <f t="shared" si="5"/>
        <v/>
      </c>
      <c r="P12" s="160" t="s">
        <v>524</v>
      </c>
      <c r="Q12" s="161"/>
      <c r="R12" s="161"/>
      <c r="S12" s="161"/>
      <c r="T12" s="161"/>
      <c r="U12" s="161"/>
      <c r="V12" s="161"/>
      <c r="W12" s="161"/>
      <c r="X12" s="161"/>
      <c r="Y12" s="161"/>
      <c r="Z12" s="161"/>
      <c r="AA12" s="161"/>
      <c r="AB12" s="161"/>
      <c r="AC12" s="161"/>
      <c r="AD12" s="161"/>
    </row>
    <row r="13" spans="1:246" ht="24.6" customHeight="1" x14ac:dyDescent="0.25">
      <c r="A13" s="15">
        <v>243</v>
      </c>
      <c r="B13" s="13"/>
      <c r="C13" s="12" t="s">
        <v>636</v>
      </c>
      <c r="D13" s="13"/>
      <c r="E13" s="13" t="s">
        <v>635</v>
      </c>
      <c r="F13" s="14"/>
      <c r="G13" s="14"/>
      <c r="H13" s="14"/>
      <c r="I13" s="14">
        <v>43869</v>
      </c>
      <c r="J13" s="13" t="str">
        <f t="shared" ca="1" si="0"/>
        <v>DONE</v>
      </c>
      <c r="K13" s="13" t="str">
        <f t="shared" si="1"/>
        <v/>
      </c>
      <c r="L13" s="13">
        <f t="shared" ca="1" si="2"/>
        <v>0</v>
      </c>
      <c r="M13" s="13">
        <f t="shared" ca="1" si="3"/>
        <v>0</v>
      </c>
      <c r="N13" s="13">
        <f t="shared" ca="1" si="4"/>
        <v>1</v>
      </c>
      <c r="O13" s="13" t="str">
        <f t="shared" si="5"/>
        <v/>
      </c>
      <c r="P13" s="20" t="s">
        <v>638</v>
      </c>
      <c r="Q13" s="27"/>
      <c r="R13" s="27"/>
      <c r="S13" s="27"/>
      <c r="T13" s="27"/>
      <c r="U13" s="27"/>
      <c r="V13" s="27"/>
      <c r="W13" s="27"/>
      <c r="X13" s="27"/>
      <c r="Y13" s="27"/>
      <c r="Z13" s="27"/>
      <c r="AA13" s="27"/>
      <c r="AB13" s="27"/>
      <c r="AC13" s="27"/>
      <c r="AD13" s="27"/>
    </row>
    <row r="14" spans="1:246" ht="24.6" customHeight="1" x14ac:dyDescent="0.2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2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542" priority="34" operator="equal">
      <formula>"OVERDUE"</formula>
    </cfRule>
    <cfRule type="cellIs" dxfId="541" priority="35" operator="equal">
      <formula>"DONE"</formula>
    </cfRule>
    <cfRule type="cellIs" dxfId="540" priority="36" operator="equal">
      <formula>"DONE"</formula>
    </cfRule>
  </conditionalFormatting>
  <conditionalFormatting sqref="J5">
    <cfRule type="cellIs" dxfId="539" priority="31" operator="equal">
      <formula>"OVERDUE"</formula>
    </cfRule>
    <cfRule type="cellIs" dxfId="538" priority="32" operator="equal">
      <formula>"DONE"</formula>
    </cfRule>
    <cfRule type="cellIs" dxfId="537" priority="33" operator="equal">
      <formula>"DONE"</formula>
    </cfRule>
  </conditionalFormatting>
  <conditionalFormatting sqref="J6">
    <cfRule type="cellIs" dxfId="536" priority="28" operator="equal">
      <formula>"OVERDUE"</formula>
    </cfRule>
    <cfRule type="cellIs" dxfId="535" priority="29" operator="equal">
      <formula>"DONE"</formula>
    </cfRule>
    <cfRule type="cellIs" dxfId="534" priority="30" operator="equal">
      <formula>"DONE"</formula>
    </cfRule>
  </conditionalFormatting>
  <conditionalFormatting sqref="J7">
    <cfRule type="cellIs" dxfId="533" priority="25" operator="equal">
      <formula>"OVERDUE"</formula>
    </cfRule>
    <cfRule type="cellIs" dxfId="532" priority="26" operator="equal">
      <formula>"DONE"</formula>
    </cfRule>
    <cfRule type="cellIs" dxfId="531" priority="27" operator="equal">
      <formula>"DONE"</formula>
    </cfRule>
  </conditionalFormatting>
  <conditionalFormatting sqref="J8">
    <cfRule type="cellIs" dxfId="530" priority="22" operator="equal">
      <formula>"OVERDUE"</formula>
    </cfRule>
    <cfRule type="cellIs" dxfId="529" priority="23" operator="equal">
      <formula>"DONE"</formula>
    </cfRule>
    <cfRule type="cellIs" dxfId="528" priority="24" operator="equal">
      <formula>"DONE"</formula>
    </cfRule>
  </conditionalFormatting>
  <conditionalFormatting sqref="J9">
    <cfRule type="cellIs" dxfId="527" priority="19" operator="equal">
      <formula>"OVERDUE"</formula>
    </cfRule>
    <cfRule type="cellIs" dxfId="526" priority="20" operator="equal">
      <formula>"DONE"</formula>
    </cfRule>
    <cfRule type="cellIs" dxfId="525" priority="21" operator="equal">
      <formula>"DONE"</formula>
    </cfRule>
  </conditionalFormatting>
  <conditionalFormatting sqref="J10">
    <cfRule type="cellIs" dxfId="524" priority="16" operator="equal">
      <formula>"OVERDUE"</formula>
    </cfRule>
    <cfRule type="cellIs" dxfId="523" priority="17" operator="equal">
      <formula>"DONE"</formula>
    </cfRule>
    <cfRule type="cellIs" dxfId="522" priority="18" operator="equal">
      <formula>"DONE"</formula>
    </cfRule>
  </conditionalFormatting>
  <conditionalFormatting sqref="J11">
    <cfRule type="cellIs" dxfId="521" priority="13" operator="equal">
      <formula>"OVERDUE"</formula>
    </cfRule>
    <cfRule type="cellIs" dxfId="520" priority="14" operator="equal">
      <formula>"DONE"</formula>
    </cfRule>
    <cfRule type="cellIs" dxfId="519" priority="15" operator="equal">
      <formula>"DONE"</formula>
    </cfRule>
  </conditionalFormatting>
  <conditionalFormatting sqref="J12">
    <cfRule type="cellIs" dxfId="518" priority="10" operator="equal">
      <formula>"OVERDUE"</formula>
    </cfRule>
    <cfRule type="cellIs" dxfId="517" priority="11" operator="equal">
      <formula>"DONE"</formula>
    </cfRule>
    <cfRule type="cellIs" dxfId="516" priority="12" operator="equal">
      <formula>"DONE"</formula>
    </cfRule>
  </conditionalFormatting>
  <conditionalFormatting sqref="J13">
    <cfRule type="cellIs" dxfId="515" priority="7" operator="equal">
      <formula>"OVERDUE"</formula>
    </cfRule>
    <cfRule type="cellIs" dxfId="514" priority="8" operator="equal">
      <formula>"DONE"</formula>
    </cfRule>
    <cfRule type="cellIs" dxfId="513" priority="9" operator="equal">
      <formula>"DONE"</formula>
    </cfRule>
  </conditionalFormatting>
  <conditionalFormatting sqref="J14">
    <cfRule type="cellIs" dxfId="512" priority="4" operator="equal">
      <formula>"OVERDUE"</formula>
    </cfRule>
    <cfRule type="cellIs" dxfId="511" priority="5" operator="equal">
      <formula>"DONE"</formula>
    </cfRule>
    <cfRule type="cellIs" dxfId="510" priority="6" operator="equal">
      <formula>"DONE"</formula>
    </cfRule>
  </conditionalFormatting>
  <conditionalFormatting sqref="J15">
    <cfRule type="cellIs" dxfId="509" priority="1" operator="equal">
      <formula>"OVERDUE"</formula>
    </cfRule>
    <cfRule type="cellIs" dxfId="508" priority="2" operator="equal">
      <formula>"DONE"</formula>
    </cfRule>
    <cfRule type="cellIs" dxfId="507" priority="3" operator="equal">
      <formula>"DONE"</formula>
    </cfRule>
  </conditionalFormatting>
  <conditionalFormatting sqref="J2:J3 J16:J1048576">
    <cfRule type="cellIs" dxfId="506" priority="37" operator="equal">
      <formula>"OVERDUE"</formula>
    </cfRule>
    <cfRule type="cellIs" dxfId="505" priority="38" operator="equal">
      <formula>"DONE"</formula>
    </cfRule>
    <cfRule type="cellIs" dxfId="504"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106680</xdr:colOff>
                    <xdr:row>15</xdr:row>
                    <xdr:rowOff>83820</xdr:rowOff>
                  </from>
                  <to>
                    <xdr:col>2</xdr:col>
                    <xdr:colOff>693420</xdr:colOff>
                    <xdr:row>16</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88"/>
  <sheetViews>
    <sheetView tabSelected="1" workbookViewId="0">
      <pane ySplit="3" topLeftCell="A79" activePane="bottomLeft" state="frozen"/>
      <selection pane="bottomLeft" activeCell="P85" sqref="P85"/>
    </sheetView>
  </sheetViews>
  <sheetFormatPr defaultColWidth="9" defaultRowHeight="13.8" x14ac:dyDescent="0.25"/>
  <cols>
    <col min="1" max="1" width="8.21875" style="1" customWidth="1"/>
    <col min="2" max="2" width="14.88671875" style="1" customWidth="1"/>
    <col min="3" max="3" width="33.664062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356</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631</v>
      </c>
      <c r="D3" s="9" t="s">
        <v>6</v>
      </c>
      <c r="E3" s="9" t="s">
        <v>7</v>
      </c>
      <c r="F3" s="9" t="s">
        <v>8</v>
      </c>
      <c r="G3" s="9" t="s">
        <v>9</v>
      </c>
      <c r="H3" s="9" t="s">
        <v>10</v>
      </c>
      <c r="I3" s="9" t="s">
        <v>11</v>
      </c>
      <c r="J3" s="9" t="s">
        <v>12</v>
      </c>
      <c r="K3" s="9" t="s">
        <v>13</v>
      </c>
      <c r="L3" s="9" t="s">
        <v>14</v>
      </c>
      <c r="M3" s="9" t="s">
        <v>15</v>
      </c>
      <c r="N3" s="9" t="s">
        <v>16</v>
      </c>
      <c r="O3" s="9" t="s">
        <v>17</v>
      </c>
      <c r="P3" s="19" t="s">
        <v>18</v>
      </c>
      <c r="Q3" s="215"/>
      <c r="R3" s="216"/>
      <c r="S3" s="216"/>
      <c r="T3" s="216"/>
      <c r="U3" s="216"/>
      <c r="V3" s="216"/>
      <c r="W3" s="216"/>
      <c r="X3" s="216"/>
      <c r="Y3" s="216"/>
      <c r="Z3" s="216"/>
      <c r="AA3" s="216"/>
      <c r="AB3" s="21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25">
      <c r="A4" s="10" t="s">
        <v>81</v>
      </c>
      <c r="B4" s="11" t="s">
        <v>82</v>
      </c>
      <c r="C4" s="12" t="s">
        <v>83</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-525</v>
      </c>
      <c r="P4" s="20" t="s">
        <v>84</v>
      </c>
      <c r="Q4" s="215"/>
      <c r="R4" s="216"/>
      <c r="S4" s="216"/>
      <c r="T4" s="216"/>
      <c r="U4" s="216"/>
      <c r="V4" s="216"/>
      <c r="W4" s="216"/>
      <c r="X4" s="216"/>
      <c r="Y4" s="216"/>
      <c r="Z4" s="216"/>
      <c r="AA4" s="216"/>
      <c r="AB4" s="216"/>
      <c r="AC4" s="27"/>
      <c r="AD4" s="27"/>
    </row>
    <row r="5" spans="1:246" ht="57.75" customHeight="1" x14ac:dyDescent="0.25">
      <c r="A5" s="15">
        <v>241</v>
      </c>
      <c r="B5" s="11" t="s">
        <v>85</v>
      </c>
      <c r="C5" s="16" t="s">
        <v>86</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-485</v>
      </c>
      <c r="P5" s="20" t="s">
        <v>363</v>
      </c>
      <c r="Q5" s="215"/>
      <c r="R5" s="216"/>
      <c r="S5" s="216"/>
      <c r="T5" s="216"/>
      <c r="U5" s="216"/>
      <c r="V5" s="216"/>
      <c r="W5" s="216"/>
      <c r="X5" s="216"/>
      <c r="Y5" s="216"/>
      <c r="Z5" s="216"/>
      <c r="AA5" s="216"/>
      <c r="AB5" s="216"/>
      <c r="AC5" s="27"/>
      <c r="AD5" s="27"/>
    </row>
    <row r="6" spans="1:246" ht="24.6" customHeight="1" x14ac:dyDescent="0.25">
      <c r="A6" s="15">
        <v>242</v>
      </c>
      <c r="B6" s="11" t="s">
        <v>87</v>
      </c>
      <c r="C6" s="12" t="s">
        <v>88</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-535</v>
      </c>
      <c r="P6" s="20" t="s">
        <v>89</v>
      </c>
      <c r="Q6" s="215"/>
      <c r="R6" s="216"/>
      <c r="S6" s="216"/>
      <c r="T6" s="216"/>
      <c r="U6" s="216"/>
      <c r="V6" s="216"/>
      <c r="W6" s="216"/>
      <c r="X6" s="216"/>
      <c r="Y6" s="216"/>
      <c r="Z6" s="216"/>
      <c r="AA6" s="216"/>
      <c r="AB6" s="216"/>
      <c r="AC6" s="27"/>
      <c r="AD6" s="27"/>
    </row>
    <row r="7" spans="1:246" ht="45" customHeight="1" x14ac:dyDescent="0.25">
      <c r="A7" s="15">
        <v>243</v>
      </c>
      <c r="B7" s="13" t="s">
        <v>90</v>
      </c>
      <c r="C7" s="12" t="s">
        <v>91</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-535</v>
      </c>
      <c r="P7" s="20" t="s">
        <v>92</v>
      </c>
      <c r="Q7" s="215"/>
      <c r="R7" s="216"/>
      <c r="S7" s="216"/>
      <c r="T7" s="216"/>
      <c r="U7" s="216"/>
      <c r="V7" s="216"/>
      <c r="W7" s="216"/>
      <c r="X7" s="216"/>
      <c r="Y7" s="216"/>
      <c r="Z7" s="216"/>
      <c r="AA7" s="216"/>
      <c r="AB7" s="216"/>
      <c r="AC7" s="27"/>
      <c r="AD7" s="27"/>
    </row>
    <row r="8" spans="1:246" ht="24.6" customHeight="1" x14ac:dyDescent="0.25">
      <c r="A8" s="10" t="s">
        <v>93</v>
      </c>
      <c r="B8" s="11" t="s">
        <v>94</v>
      </c>
      <c r="C8" s="16" t="s">
        <v>95</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-525</v>
      </c>
      <c r="P8" s="20" t="s">
        <v>96</v>
      </c>
      <c r="Q8" s="215"/>
      <c r="R8" s="216"/>
      <c r="S8" s="216"/>
      <c r="T8" s="216"/>
      <c r="U8" s="216"/>
      <c r="V8" s="216"/>
      <c r="W8" s="216"/>
      <c r="X8" s="216"/>
      <c r="Y8" s="216"/>
      <c r="Z8" s="216"/>
      <c r="AA8" s="216"/>
      <c r="AB8" s="216"/>
      <c r="AC8" s="27"/>
      <c r="AD8" s="27"/>
    </row>
    <row r="9" spans="1:246" ht="24.6" customHeight="1" x14ac:dyDescent="0.25">
      <c r="A9" s="10" t="s">
        <v>97</v>
      </c>
      <c r="B9" s="11" t="s">
        <v>98</v>
      </c>
      <c r="C9" s="16" t="s">
        <v>99</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-485</v>
      </c>
      <c r="P9" s="20" t="s">
        <v>100</v>
      </c>
      <c r="Q9" s="215"/>
      <c r="R9" s="216"/>
      <c r="S9" s="216"/>
      <c r="T9" s="216"/>
      <c r="U9" s="216"/>
      <c r="V9" s="216"/>
      <c r="W9" s="216"/>
      <c r="X9" s="216"/>
      <c r="Y9" s="216"/>
      <c r="Z9" s="216"/>
      <c r="AA9" s="216"/>
      <c r="AB9" s="216"/>
      <c r="AC9" s="27"/>
      <c r="AD9" s="27"/>
    </row>
    <row r="10" spans="1:246" ht="24.6" customHeight="1" x14ac:dyDescent="0.25">
      <c r="A10" s="15">
        <v>246</v>
      </c>
      <c r="B10" s="11" t="s">
        <v>98</v>
      </c>
      <c r="C10" s="16" t="s">
        <v>101</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-485</v>
      </c>
      <c r="P10" s="20" t="s">
        <v>102</v>
      </c>
      <c r="Q10" s="215"/>
      <c r="R10" s="216"/>
      <c r="S10" s="216"/>
      <c r="T10" s="216"/>
      <c r="U10" s="216"/>
      <c r="V10" s="216"/>
      <c r="W10" s="216"/>
      <c r="X10" s="216"/>
      <c r="Y10" s="216"/>
      <c r="Z10" s="216"/>
      <c r="AA10" s="216"/>
      <c r="AB10" s="216"/>
      <c r="AC10" s="27"/>
      <c r="AD10" s="27"/>
    </row>
    <row r="11" spans="1:246" ht="24.6" customHeight="1" x14ac:dyDescent="0.25">
      <c r="A11" s="15">
        <v>247</v>
      </c>
      <c r="B11" s="11" t="s">
        <v>98</v>
      </c>
      <c r="C11" s="16" t="s">
        <v>103</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-485</v>
      </c>
      <c r="P11" s="20" t="s">
        <v>104</v>
      </c>
      <c r="Q11" s="215"/>
      <c r="R11" s="216"/>
      <c r="S11" s="216"/>
      <c r="T11" s="216"/>
      <c r="U11" s="216"/>
      <c r="V11" s="216"/>
      <c r="W11" s="216"/>
      <c r="X11" s="216"/>
      <c r="Y11" s="216"/>
      <c r="Z11" s="216"/>
      <c r="AA11" s="216"/>
      <c r="AB11" s="216"/>
      <c r="AC11" s="27"/>
      <c r="AD11" s="27"/>
    </row>
    <row r="12" spans="1:246" ht="39" customHeight="1" x14ac:dyDescent="0.25">
      <c r="A12" s="15">
        <v>248</v>
      </c>
      <c r="B12" s="11" t="s">
        <v>105</v>
      </c>
      <c r="C12" s="12" t="s">
        <v>390</v>
      </c>
      <c r="D12" s="13" t="s">
        <v>24</v>
      </c>
      <c r="E12" s="13" t="s">
        <v>106</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-485</v>
      </c>
      <c r="P12" s="20" t="s">
        <v>391</v>
      </c>
      <c r="Q12" s="215"/>
      <c r="R12" s="216"/>
      <c r="S12" s="216"/>
      <c r="T12" s="216"/>
      <c r="U12" s="216"/>
      <c r="V12" s="216"/>
      <c r="W12" s="216"/>
      <c r="X12" s="216"/>
      <c r="Y12" s="216"/>
      <c r="Z12" s="216"/>
      <c r="AA12" s="216"/>
      <c r="AB12" s="216"/>
      <c r="AC12" s="27"/>
      <c r="AD12" s="27"/>
    </row>
    <row r="13" spans="1:246" ht="24.6" customHeight="1" x14ac:dyDescent="0.2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215"/>
      <c r="R13" s="216"/>
      <c r="S13" s="216"/>
      <c r="T13" s="216"/>
      <c r="U13" s="216"/>
      <c r="V13" s="216"/>
      <c r="W13" s="216"/>
      <c r="X13" s="216"/>
      <c r="Y13" s="216"/>
      <c r="Z13" s="216"/>
      <c r="AA13" s="216"/>
      <c r="AB13" s="216"/>
      <c r="AC13" s="27"/>
      <c r="AD13" s="27"/>
    </row>
    <row r="14" spans="1:246" ht="24.6" customHeight="1" x14ac:dyDescent="0.25">
      <c r="A14" s="15"/>
      <c r="B14" s="11" t="s">
        <v>107</v>
      </c>
      <c r="C14" s="16" t="s">
        <v>108</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-493</v>
      </c>
      <c r="P14" s="20" t="s">
        <v>109</v>
      </c>
      <c r="Q14" s="215"/>
      <c r="R14" s="216"/>
      <c r="S14" s="216"/>
      <c r="T14" s="216"/>
      <c r="U14" s="216"/>
      <c r="V14" s="216"/>
      <c r="W14" s="216"/>
      <c r="X14" s="216"/>
      <c r="Y14" s="216"/>
      <c r="Z14" s="216"/>
      <c r="AA14" s="216"/>
      <c r="AB14" s="216"/>
      <c r="AC14" s="27"/>
      <c r="AD14" s="27"/>
    </row>
    <row r="15" spans="1:246" ht="24.6" customHeight="1" x14ac:dyDescent="0.25">
      <c r="A15" s="15">
        <v>251</v>
      </c>
      <c r="B15" s="11" t="s">
        <v>110</v>
      </c>
      <c r="C15" s="16" t="s">
        <v>111</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-485</v>
      </c>
      <c r="P15" s="20" t="s">
        <v>362</v>
      </c>
      <c r="Q15" s="25"/>
      <c r="R15" s="26"/>
      <c r="S15" s="26"/>
      <c r="T15" s="26"/>
      <c r="U15" s="26"/>
      <c r="V15" s="26"/>
      <c r="W15" s="26"/>
      <c r="X15" s="26"/>
      <c r="Y15" s="26"/>
      <c r="Z15" s="26"/>
      <c r="AA15" s="26"/>
      <c r="AB15" s="26"/>
      <c r="AC15" s="27"/>
      <c r="AD15" s="27"/>
    </row>
    <row r="16" spans="1:246" ht="93" customHeight="1" x14ac:dyDescent="0.25">
      <c r="A16" s="15">
        <v>252</v>
      </c>
      <c r="B16" s="11" t="s">
        <v>112</v>
      </c>
      <c r="C16" s="16" t="s">
        <v>113</v>
      </c>
      <c r="D16" s="13" t="s">
        <v>24</v>
      </c>
      <c r="E16" s="13" t="s">
        <v>368</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-476</v>
      </c>
      <c r="P16" s="20" t="s">
        <v>361</v>
      </c>
      <c r="Q16" s="25"/>
      <c r="R16" s="26"/>
      <c r="S16" s="26"/>
      <c r="T16" s="26"/>
      <c r="U16" s="26"/>
      <c r="V16" s="26"/>
      <c r="W16" s="26"/>
      <c r="X16" s="26"/>
      <c r="Y16" s="26"/>
      <c r="Z16" s="26"/>
      <c r="AA16" s="26"/>
      <c r="AB16" s="26"/>
      <c r="AC16" s="27"/>
      <c r="AD16" s="27"/>
    </row>
    <row r="17" spans="1:30" ht="24.6" customHeight="1" x14ac:dyDescent="0.25">
      <c r="A17" s="15">
        <v>253</v>
      </c>
      <c r="B17" s="11" t="s">
        <v>366</v>
      </c>
      <c r="C17" s="16" t="s">
        <v>367</v>
      </c>
      <c r="D17" s="13" t="s">
        <v>24</v>
      </c>
      <c r="E17" s="13" t="s">
        <v>369</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-444</v>
      </c>
      <c r="P17" s="20" t="s">
        <v>392</v>
      </c>
      <c r="Q17" s="25"/>
      <c r="R17" s="26"/>
      <c r="S17" s="26"/>
      <c r="T17" s="26"/>
      <c r="U17" s="26"/>
      <c r="V17" s="26"/>
      <c r="W17" s="26"/>
      <c r="X17" s="26"/>
      <c r="Y17" s="26"/>
      <c r="Z17" s="26"/>
      <c r="AA17" s="26"/>
      <c r="AB17" s="26"/>
      <c r="AC17" s="27"/>
      <c r="AD17" s="27"/>
    </row>
    <row r="18" spans="1:30" ht="24.6" customHeight="1" x14ac:dyDescent="0.25">
      <c r="A18" s="15"/>
      <c r="B18" s="11" t="s">
        <v>370</v>
      </c>
      <c r="C18" s="16" t="s">
        <v>389</v>
      </c>
      <c r="D18" s="13" t="s">
        <v>24</v>
      </c>
      <c r="E18" s="13" t="s">
        <v>373</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-444</v>
      </c>
      <c r="P18" s="20" t="s">
        <v>394</v>
      </c>
      <c r="Q18" s="25"/>
      <c r="R18" s="26"/>
      <c r="S18" s="26"/>
      <c r="T18" s="26"/>
      <c r="U18" s="26"/>
      <c r="V18" s="26"/>
      <c r="W18" s="26"/>
      <c r="X18" s="26"/>
      <c r="Y18" s="26"/>
      <c r="Z18" s="26"/>
      <c r="AA18" s="26"/>
      <c r="AB18" s="26"/>
      <c r="AC18" s="27"/>
      <c r="AD18" s="27"/>
    </row>
    <row r="19" spans="1:30" ht="24.6" customHeight="1" x14ac:dyDescent="0.25">
      <c r="A19" s="15">
        <v>255</v>
      </c>
      <c r="B19" s="11" t="s">
        <v>372</v>
      </c>
      <c r="C19" s="12" t="s">
        <v>371</v>
      </c>
      <c r="D19" s="13" t="s">
        <v>24</v>
      </c>
      <c r="E19" s="13" t="s">
        <v>374</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-444</v>
      </c>
      <c r="P19" s="20" t="s">
        <v>393</v>
      </c>
      <c r="Q19" s="25"/>
      <c r="R19" s="26"/>
      <c r="S19" s="26"/>
      <c r="T19" s="26"/>
      <c r="U19" s="26"/>
      <c r="V19" s="26"/>
      <c r="W19" s="26"/>
      <c r="X19" s="26"/>
      <c r="Y19" s="26"/>
      <c r="Z19" s="26"/>
      <c r="AA19" s="26"/>
      <c r="AB19" s="26"/>
      <c r="AC19" s="27"/>
      <c r="AD19" s="27"/>
    </row>
    <row r="20" spans="1:30" ht="24.6" customHeight="1" x14ac:dyDescent="0.25">
      <c r="A20" s="15" t="s">
        <v>375</v>
      </c>
      <c r="B20" s="11" t="s">
        <v>376</v>
      </c>
      <c r="C20" s="12" t="s">
        <v>379</v>
      </c>
      <c r="D20" s="13" t="s">
        <v>24</v>
      </c>
      <c r="E20" s="13" t="s">
        <v>377</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-444</v>
      </c>
      <c r="P20" s="20" t="s">
        <v>386</v>
      </c>
      <c r="Q20" s="25"/>
      <c r="R20" s="26"/>
      <c r="S20" s="26"/>
      <c r="T20" s="26"/>
      <c r="U20" s="26"/>
      <c r="V20" s="26"/>
      <c r="W20" s="26"/>
      <c r="X20" s="26"/>
      <c r="Y20" s="26"/>
      <c r="Z20" s="26"/>
      <c r="AA20" s="26"/>
      <c r="AB20" s="26"/>
      <c r="AC20" s="27"/>
      <c r="AD20" s="27"/>
    </row>
    <row r="21" spans="1:30" ht="24.6" customHeight="1" x14ac:dyDescent="0.25">
      <c r="A21" s="15">
        <v>257</v>
      </c>
      <c r="B21" s="11" t="s">
        <v>378</v>
      </c>
      <c r="C21" s="12" t="s">
        <v>380</v>
      </c>
      <c r="D21" s="13" t="s">
        <v>24</v>
      </c>
      <c r="E21" s="13" t="s">
        <v>377</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-444</v>
      </c>
      <c r="P21" s="20" t="s">
        <v>387</v>
      </c>
      <c r="Q21" s="25"/>
      <c r="R21" s="26"/>
      <c r="S21" s="26"/>
      <c r="T21" s="26"/>
      <c r="U21" s="26"/>
      <c r="V21" s="26"/>
      <c r="W21" s="26"/>
      <c r="X21" s="26"/>
      <c r="Y21" s="26"/>
      <c r="Z21" s="26"/>
      <c r="AA21" s="26"/>
      <c r="AB21" s="26"/>
      <c r="AC21" s="27"/>
      <c r="AD21" s="27"/>
    </row>
    <row r="22" spans="1:30" ht="24.6" customHeight="1" x14ac:dyDescent="0.25">
      <c r="A22" s="15">
        <v>258</v>
      </c>
      <c r="B22" s="11" t="s">
        <v>381</v>
      </c>
      <c r="C22" s="16" t="s">
        <v>382</v>
      </c>
      <c r="D22" s="13" t="s">
        <v>24</v>
      </c>
      <c r="E22" s="13" t="s">
        <v>485</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-444</v>
      </c>
      <c r="P22" s="20" t="s">
        <v>388</v>
      </c>
      <c r="Q22" s="25"/>
      <c r="R22" s="26"/>
      <c r="S22" s="26"/>
      <c r="T22" s="26"/>
      <c r="U22" s="26"/>
      <c r="V22" s="26"/>
      <c r="W22" s="26"/>
      <c r="X22" s="26"/>
      <c r="Y22" s="26"/>
      <c r="Z22" s="26"/>
      <c r="AA22" s="26"/>
      <c r="AB22" s="26"/>
      <c r="AC22" s="27"/>
      <c r="AD22" s="27"/>
    </row>
    <row r="23" spans="1:30" ht="24.6" customHeight="1" x14ac:dyDescent="0.25">
      <c r="A23" s="15">
        <v>259</v>
      </c>
      <c r="B23" s="11" t="s">
        <v>383</v>
      </c>
      <c r="C23" s="12" t="s">
        <v>384</v>
      </c>
      <c r="D23" s="13" t="s">
        <v>24</v>
      </c>
      <c r="E23" s="13" t="s">
        <v>385</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-444</v>
      </c>
      <c r="P23" s="20" t="s">
        <v>493</v>
      </c>
      <c r="Q23" s="25"/>
      <c r="R23" s="26"/>
      <c r="S23" s="26"/>
      <c r="T23" s="26"/>
      <c r="U23" s="26"/>
      <c r="V23" s="26"/>
      <c r="W23" s="26"/>
      <c r="X23" s="26"/>
      <c r="Y23" s="26"/>
      <c r="Z23" s="26"/>
      <c r="AA23" s="26"/>
      <c r="AB23" s="26"/>
      <c r="AC23" s="27"/>
      <c r="AD23" s="27"/>
    </row>
    <row r="24" spans="1:30" ht="24" customHeight="1" x14ac:dyDescent="0.25">
      <c r="A24" s="15">
        <v>260</v>
      </c>
      <c r="B24" s="13"/>
      <c r="C24" s="12" t="s">
        <v>403</v>
      </c>
      <c r="D24" s="13" t="s">
        <v>24</v>
      </c>
      <c r="E24" s="13" t="s">
        <v>385</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-424</v>
      </c>
      <c r="P24" s="20" t="s">
        <v>492</v>
      </c>
      <c r="Q24" s="25"/>
      <c r="R24" s="26"/>
      <c r="S24" s="26"/>
      <c r="T24" s="26"/>
      <c r="U24" s="26"/>
      <c r="V24" s="26"/>
      <c r="W24" s="26"/>
      <c r="X24" s="26"/>
      <c r="Y24" s="26"/>
      <c r="Z24" s="26"/>
      <c r="AA24" s="26"/>
      <c r="AB24" s="26"/>
      <c r="AC24" s="27"/>
      <c r="AD24" s="27"/>
    </row>
    <row r="25" spans="1:30" ht="24.6" customHeight="1" x14ac:dyDescent="0.25">
      <c r="A25" s="15">
        <v>261</v>
      </c>
      <c r="B25" s="13"/>
      <c r="C25" s="16" t="s">
        <v>404</v>
      </c>
      <c r="D25" s="13" t="s">
        <v>24</v>
      </c>
      <c r="E25" s="13" t="s">
        <v>358</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-423</v>
      </c>
      <c r="P25" s="20" t="s">
        <v>496</v>
      </c>
      <c r="Q25" s="25"/>
      <c r="R25" s="26"/>
      <c r="S25" s="26"/>
      <c r="T25" s="26"/>
      <c r="U25" s="26"/>
      <c r="V25" s="26"/>
      <c r="W25" s="26"/>
      <c r="X25" s="26"/>
      <c r="Y25" s="26"/>
      <c r="Z25" s="26"/>
      <c r="AA25" s="26"/>
      <c r="AB25" s="26"/>
      <c r="AC25" s="27"/>
      <c r="AD25" s="27"/>
    </row>
    <row r="26" spans="1:30" ht="24.6" customHeight="1" x14ac:dyDescent="0.25">
      <c r="A26" s="15">
        <v>262</v>
      </c>
      <c r="B26" s="13"/>
      <c r="C26" s="12" t="s">
        <v>405</v>
      </c>
      <c r="D26" s="13" t="s">
        <v>24</v>
      </c>
      <c r="E26" s="13" t="s">
        <v>358</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-422</v>
      </c>
      <c r="P26" s="20" t="s">
        <v>491</v>
      </c>
      <c r="Q26" s="25"/>
      <c r="R26" s="26"/>
      <c r="S26" s="26"/>
      <c r="T26" s="26"/>
      <c r="U26" s="26"/>
      <c r="V26" s="26"/>
      <c r="W26" s="26"/>
      <c r="X26" s="26"/>
      <c r="Y26" s="26"/>
      <c r="Z26" s="26"/>
      <c r="AA26" s="26"/>
      <c r="AB26" s="26"/>
      <c r="AC26" s="27"/>
      <c r="AD26" s="27"/>
    </row>
    <row r="27" spans="1:30" ht="24.6" customHeight="1" x14ac:dyDescent="0.25">
      <c r="A27" s="15" t="s">
        <v>490</v>
      </c>
      <c r="B27" s="11" t="s">
        <v>489</v>
      </c>
      <c r="C27" s="148" t="s">
        <v>488</v>
      </c>
      <c r="D27" s="13" t="s">
        <v>24</v>
      </c>
      <c r="E27" s="13" t="s">
        <v>478</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-430</v>
      </c>
      <c r="P27" s="20" t="s">
        <v>500</v>
      </c>
      <c r="Q27" s="25"/>
      <c r="R27" s="26"/>
      <c r="S27" s="26"/>
      <c r="T27" s="26"/>
      <c r="U27" s="26"/>
      <c r="V27" s="26"/>
      <c r="W27" s="26"/>
      <c r="X27" s="26"/>
      <c r="Y27" s="26"/>
      <c r="Z27" s="26"/>
      <c r="AA27" s="26"/>
      <c r="AB27" s="26"/>
      <c r="AC27" s="27"/>
      <c r="AD27" s="27"/>
    </row>
    <row r="28" spans="1:30" ht="24.6" customHeight="1" x14ac:dyDescent="0.25">
      <c r="A28" s="15">
        <v>264</v>
      </c>
      <c r="B28" s="11" t="s">
        <v>479</v>
      </c>
      <c r="C28" s="16" t="s">
        <v>480</v>
      </c>
      <c r="D28" s="13" t="s">
        <v>24</v>
      </c>
      <c r="E28" s="13" t="s">
        <v>478</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-430</v>
      </c>
      <c r="P28" s="20" t="s">
        <v>499</v>
      </c>
      <c r="Q28" s="25"/>
      <c r="R28" s="26"/>
      <c r="S28" s="26"/>
      <c r="T28" s="26"/>
      <c r="U28" s="26"/>
      <c r="V28" s="26"/>
      <c r="W28" s="26"/>
      <c r="X28" s="26"/>
      <c r="Y28" s="26"/>
      <c r="Z28" s="26"/>
      <c r="AA28" s="26"/>
      <c r="AB28" s="26"/>
      <c r="AC28" s="27"/>
      <c r="AD28" s="27"/>
    </row>
    <row r="29" spans="1:30" ht="24.6" customHeight="1" x14ac:dyDescent="0.25">
      <c r="A29" s="15">
        <v>265</v>
      </c>
      <c r="B29" s="11" t="s">
        <v>481</v>
      </c>
      <c r="C29" s="16" t="s">
        <v>482</v>
      </c>
      <c r="D29" s="13" t="s">
        <v>24</v>
      </c>
      <c r="E29" s="13" t="s">
        <v>478</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-419</v>
      </c>
      <c r="P29" s="20" t="s">
        <v>499</v>
      </c>
      <c r="Q29" s="25"/>
      <c r="R29" s="26"/>
      <c r="S29" s="26"/>
      <c r="T29" s="26"/>
      <c r="U29" s="26"/>
      <c r="V29" s="26"/>
      <c r="W29" s="26"/>
      <c r="X29" s="26"/>
      <c r="Y29" s="26"/>
      <c r="Z29" s="26"/>
      <c r="AA29" s="26"/>
      <c r="AB29" s="26"/>
      <c r="AC29" s="27"/>
      <c r="AD29" s="27"/>
    </row>
    <row r="30" spans="1:30" ht="129.75" customHeight="1" x14ac:dyDescent="0.25">
      <c r="A30" s="15">
        <v>266</v>
      </c>
      <c r="B30" s="11" t="s">
        <v>483</v>
      </c>
      <c r="C30" s="16" t="s">
        <v>484</v>
      </c>
      <c r="D30" s="13" t="s">
        <v>24</v>
      </c>
      <c r="E30" s="13" t="s">
        <v>478</v>
      </c>
      <c r="F30" s="14">
        <v>43957</v>
      </c>
      <c r="G30" s="14">
        <v>43971</v>
      </c>
      <c r="H30" s="14"/>
      <c r="I30" s="14">
        <v>44039</v>
      </c>
      <c r="J30" s="13" t="str">
        <f t="shared" ref="J30" ca="1" si="138">IF(AND(I30&lt;=$C$2,I30&lt;&gt;0),"DONE",IF(K30&lt;0,"OVERDUE",IF(AND(K30="",O30&lt;0),"OVERDUE","IN TIME")))</f>
        <v>DONE</v>
      </c>
      <c r="K30" s="13" t="str">
        <f t="shared" ref="K30" si="139">IF(H30&gt;0,H30-$C$2,"")</f>
        <v/>
      </c>
      <c r="L30" s="13">
        <f t="shared" ref="L30" ca="1" si="140">IF(J30="OVERDUE",1,0)</f>
        <v>0</v>
      </c>
      <c r="M30" s="13">
        <f t="shared" ref="M30" ca="1" si="141">IF(J30="IN TIME",1,0)</f>
        <v>0</v>
      </c>
      <c r="N30" s="13">
        <f t="shared" ref="N30" ca="1" si="142">IF(J30="DONE",1,0)</f>
        <v>1</v>
      </c>
      <c r="O30" s="13">
        <f t="shared" ref="O30" ca="1" si="143">IF(G30&gt;0,G30-$C$2,"")</f>
        <v>-404</v>
      </c>
      <c r="P30" s="20" t="s">
        <v>519</v>
      </c>
      <c r="Q30" s="25"/>
      <c r="R30" s="26"/>
      <c r="S30" s="26"/>
      <c r="T30" s="26"/>
      <c r="U30" s="26"/>
      <c r="V30" s="26"/>
      <c r="W30" s="26"/>
      <c r="X30" s="26"/>
      <c r="Y30" s="26"/>
      <c r="Z30" s="26"/>
      <c r="AA30" s="26"/>
      <c r="AB30" s="26"/>
      <c r="AC30" s="27"/>
      <c r="AD30" s="27"/>
    </row>
    <row r="31" spans="1:30" ht="43.5" customHeight="1" x14ac:dyDescent="0.25">
      <c r="A31" s="156">
        <v>266</v>
      </c>
      <c r="B31" s="157" t="s">
        <v>486</v>
      </c>
      <c r="C31" s="158" t="s">
        <v>487</v>
      </c>
      <c r="D31" s="157" t="s">
        <v>24</v>
      </c>
      <c r="E31" s="157" t="s">
        <v>478</v>
      </c>
      <c r="F31" s="159">
        <v>43972</v>
      </c>
      <c r="G31" s="159">
        <v>43973</v>
      </c>
      <c r="H31" s="159"/>
      <c r="I31" s="159"/>
      <c r="J31" s="157" t="str">
        <f t="shared" ref="J31" ca="1" si="144">IF(AND(I31&lt;=$C$2,I31&lt;&gt;0),"DONE",IF(K31&lt;0,"OVERDUE",IF(AND(K31="",O31&lt;0),"OVERDUE","IN TIME")))</f>
        <v>OVERDUE</v>
      </c>
      <c r="K31" s="157" t="str">
        <f t="shared" ref="K31" si="145">IF(H31&gt;0,H31-$C$2,"")</f>
        <v/>
      </c>
      <c r="L31" s="157">
        <f t="shared" ref="L31" ca="1" si="146">IF(J31="OVERDUE",1,0)</f>
        <v>1</v>
      </c>
      <c r="M31" s="157">
        <f t="shared" ref="M31" ca="1" si="147">IF(J31="IN TIME",1,0)</f>
        <v>0</v>
      </c>
      <c r="N31" s="157">
        <f t="shared" ref="N31" ca="1" si="148">IF(J31="DONE",1,0)</f>
        <v>0</v>
      </c>
      <c r="O31" s="157">
        <f t="shared" ref="O31" ca="1" si="149">IF(G31&gt;0,G31-$C$2,"")</f>
        <v>-402</v>
      </c>
      <c r="P31" s="160" t="s">
        <v>621</v>
      </c>
      <c r="Q31" s="146"/>
      <c r="R31" s="147"/>
      <c r="S31" s="147"/>
      <c r="T31" s="147"/>
      <c r="U31" s="147"/>
      <c r="V31" s="147"/>
      <c r="W31" s="147"/>
      <c r="X31" s="147"/>
      <c r="Y31" s="147"/>
      <c r="Z31" s="147"/>
      <c r="AA31" s="147"/>
      <c r="AB31" s="147"/>
      <c r="AC31" s="27"/>
      <c r="AD31" s="27"/>
    </row>
    <row r="32" spans="1:30" ht="45" customHeight="1" x14ac:dyDescent="0.25">
      <c r="A32" s="15">
        <v>267</v>
      </c>
      <c r="B32" s="11"/>
      <c r="C32" s="16" t="s">
        <v>498</v>
      </c>
      <c r="D32" s="13"/>
      <c r="E32" s="13" t="s">
        <v>478</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511</v>
      </c>
      <c r="Q32" s="149"/>
      <c r="R32" s="150"/>
      <c r="S32" s="150"/>
      <c r="T32" s="150"/>
      <c r="U32" s="150"/>
      <c r="V32" s="150"/>
      <c r="W32" s="150"/>
      <c r="X32" s="150"/>
      <c r="Y32" s="150"/>
      <c r="Z32" s="150"/>
      <c r="AA32" s="150"/>
      <c r="AB32" s="150"/>
      <c r="AC32" s="27"/>
      <c r="AD32" s="27"/>
    </row>
    <row r="33" spans="1:30" ht="24.6" customHeight="1" x14ac:dyDescent="0.25">
      <c r="A33" s="15">
        <v>268</v>
      </c>
      <c r="B33" s="11"/>
      <c r="C33" s="16" t="s">
        <v>515</v>
      </c>
      <c r="D33" s="13" t="s">
        <v>24</v>
      </c>
      <c r="E33" s="13" t="s">
        <v>513</v>
      </c>
      <c r="F33" s="14">
        <v>44025</v>
      </c>
      <c r="G33" s="14">
        <v>44037</v>
      </c>
      <c r="H33" s="14"/>
      <c r="I33" s="14">
        <v>44067</v>
      </c>
      <c r="J33" s="13" t="str">
        <f t="shared" ref="J33" ca="1" si="156">IF(AND(I33&lt;=$C$2,I33&lt;&gt;0),"DONE",IF(K33&lt;0,"OVERDUE",IF(AND(K33="",O33&lt;0),"OVERDUE","IN TIME")))</f>
        <v>DONE</v>
      </c>
      <c r="K33" s="13" t="str">
        <f t="shared" ref="K33" si="157">IF(H33&gt;0,H33-$C$2,"")</f>
        <v/>
      </c>
      <c r="L33" s="13">
        <f t="shared" ref="L33" ca="1" si="158">IF(J33="OVERDUE",1,0)</f>
        <v>0</v>
      </c>
      <c r="M33" s="13">
        <f t="shared" ref="M33" ca="1" si="159">IF(J33="IN TIME",1,0)</f>
        <v>0</v>
      </c>
      <c r="N33" s="13">
        <f t="shared" ref="N33" ca="1" si="160">IF(J33="DONE",1,0)</f>
        <v>1</v>
      </c>
      <c r="O33" s="13">
        <f t="shared" ref="O33" ca="1" si="161">IF(G33&gt;0,G33-$C$2,"")</f>
        <v>-338</v>
      </c>
      <c r="P33" s="20" t="s">
        <v>528</v>
      </c>
      <c r="Q33" s="149"/>
      <c r="R33" s="150"/>
      <c r="S33" s="150"/>
      <c r="T33" s="150"/>
      <c r="U33" s="150"/>
      <c r="V33" s="150"/>
      <c r="W33" s="150"/>
      <c r="X33" s="150"/>
      <c r="Y33" s="150"/>
      <c r="Z33" s="150"/>
      <c r="AA33" s="150"/>
      <c r="AB33" s="150"/>
      <c r="AC33" s="27"/>
      <c r="AD33" s="27"/>
    </row>
    <row r="34" spans="1:30" ht="24.6" customHeight="1" x14ac:dyDescent="0.25">
      <c r="A34" s="15">
        <v>269</v>
      </c>
      <c r="B34" s="11"/>
      <c r="C34" s="16" t="s">
        <v>516</v>
      </c>
      <c r="D34" s="13" t="s">
        <v>24</v>
      </c>
      <c r="E34" s="13" t="s">
        <v>517</v>
      </c>
      <c r="F34" s="14">
        <v>44032</v>
      </c>
      <c r="G34" s="14">
        <v>44052</v>
      </c>
      <c r="H34" s="14"/>
      <c r="I34" s="14">
        <v>44046</v>
      </c>
      <c r="J34" s="13" t="str">
        <f t="shared" ref="J34" ca="1" si="162">IF(AND(I34&lt;=$C$2,I34&lt;&gt;0),"DONE",IF(K34&lt;0,"OVERDUE",IF(AND(K34="",O34&lt;0),"OVERDUE","IN TIME")))</f>
        <v>DONE</v>
      </c>
      <c r="K34" s="13" t="str">
        <f t="shared" ref="K34" si="163">IF(H34&gt;0,H34-$C$2,"")</f>
        <v/>
      </c>
      <c r="L34" s="13">
        <f t="shared" ref="L34" ca="1" si="164">IF(J34="OVERDUE",1,0)</f>
        <v>0</v>
      </c>
      <c r="M34" s="13">
        <f t="shared" ref="M34" ca="1" si="165">IF(J34="IN TIME",1,0)</f>
        <v>0</v>
      </c>
      <c r="N34" s="13">
        <f t="shared" ref="N34" ca="1" si="166">IF(J34="DONE",1,0)</f>
        <v>1</v>
      </c>
      <c r="O34" s="13">
        <f t="shared" ref="O34" ca="1" si="167">IF(G34&gt;0,G34-$C$2,"")</f>
        <v>-323</v>
      </c>
      <c r="P34" s="20" t="s">
        <v>521</v>
      </c>
      <c r="Q34" s="149"/>
      <c r="R34" s="150"/>
      <c r="S34" s="150"/>
      <c r="T34" s="150"/>
      <c r="U34" s="150"/>
      <c r="V34" s="150"/>
      <c r="W34" s="150"/>
      <c r="X34" s="150"/>
      <c r="Y34" s="150"/>
      <c r="Z34" s="150"/>
      <c r="AA34" s="150"/>
      <c r="AB34" s="150"/>
      <c r="AC34" s="27"/>
      <c r="AD34" s="27"/>
    </row>
    <row r="35" spans="1:30" ht="24.6" customHeight="1" x14ac:dyDescent="0.25">
      <c r="A35" s="15">
        <v>270</v>
      </c>
      <c r="B35" s="11"/>
      <c r="C35" s="16" t="s">
        <v>518</v>
      </c>
      <c r="D35" s="13" t="s">
        <v>24</v>
      </c>
      <c r="E35" s="13" t="s">
        <v>358</v>
      </c>
      <c r="F35" s="14">
        <v>44032</v>
      </c>
      <c r="G35" s="14"/>
      <c r="H35" s="14"/>
      <c r="I35" s="14">
        <v>44039</v>
      </c>
      <c r="J35" s="13" t="str">
        <f t="shared" ref="J35:J43" ca="1" si="168">IF(AND(I35&lt;=$C$2,I35&lt;&gt;0),"DONE",IF(K35&lt;0,"OVERDUE",IF(AND(K35="",O35&lt;0),"OVERDUE","IN TIME")))</f>
        <v>DONE</v>
      </c>
      <c r="K35" s="13" t="str">
        <f t="shared" ref="K35" si="169">IF(H35&gt;0,H35-$C$2,"")</f>
        <v/>
      </c>
      <c r="L35" s="13">
        <f t="shared" ref="L35" ca="1" si="170">IF(J35="OVERDUE",1,0)</f>
        <v>0</v>
      </c>
      <c r="M35" s="13">
        <f t="shared" ref="M35" ca="1" si="171">IF(J35="IN TIME",1,0)</f>
        <v>0</v>
      </c>
      <c r="N35" s="13">
        <f t="shared" ref="N35" ca="1" si="172">IF(J35="DONE",1,0)</f>
        <v>1</v>
      </c>
      <c r="O35" s="13" t="str">
        <f t="shared" ref="O35" si="173">IF(G35&gt;0,G35-$C$2,"")</f>
        <v/>
      </c>
      <c r="P35" s="20" t="s">
        <v>520</v>
      </c>
      <c r="Q35" s="154"/>
      <c r="R35" s="155"/>
      <c r="S35" s="155"/>
      <c r="T35" s="155"/>
      <c r="U35" s="155"/>
      <c r="V35" s="155"/>
      <c r="W35" s="155"/>
      <c r="X35" s="155"/>
      <c r="Y35" s="155"/>
      <c r="Z35" s="155"/>
      <c r="AA35" s="155"/>
      <c r="AB35" s="155"/>
      <c r="AC35" s="27"/>
      <c r="AD35" s="27"/>
    </row>
    <row r="36" spans="1:30" ht="42.75" customHeight="1" x14ac:dyDescent="0.25">
      <c r="A36" s="15">
        <v>271</v>
      </c>
      <c r="B36" s="11"/>
      <c r="C36" s="16" t="s">
        <v>526</v>
      </c>
      <c r="D36" s="13" t="s">
        <v>37</v>
      </c>
      <c r="E36" s="13" t="s">
        <v>365</v>
      </c>
      <c r="F36" s="14">
        <v>44053</v>
      </c>
      <c r="G36" s="14">
        <v>44073</v>
      </c>
      <c r="H36" s="14"/>
      <c r="I36" s="14">
        <v>44073</v>
      </c>
      <c r="J36" s="13" t="str">
        <f t="shared" ca="1" si="168"/>
        <v>DONE</v>
      </c>
      <c r="K36" s="13"/>
      <c r="L36" s="13"/>
      <c r="M36" s="13"/>
      <c r="N36" s="13"/>
      <c r="O36" s="13"/>
      <c r="P36" s="20" t="s">
        <v>535</v>
      </c>
      <c r="Q36" s="154"/>
      <c r="R36" s="155"/>
      <c r="S36" s="155"/>
      <c r="T36" s="155"/>
      <c r="U36" s="155"/>
      <c r="V36" s="155"/>
      <c r="W36" s="155"/>
      <c r="X36" s="155"/>
      <c r="Y36" s="155"/>
      <c r="Z36" s="155"/>
      <c r="AA36" s="155"/>
      <c r="AB36" s="155"/>
      <c r="AC36" s="27"/>
      <c r="AD36" s="27"/>
    </row>
    <row r="37" spans="1:30" ht="24.6" customHeight="1" x14ac:dyDescent="0.25">
      <c r="A37" s="15">
        <v>272</v>
      </c>
      <c r="B37" s="11"/>
      <c r="C37" s="16" t="s">
        <v>529</v>
      </c>
      <c r="D37" s="13" t="s">
        <v>24</v>
      </c>
      <c r="E37" s="13" t="s">
        <v>530</v>
      </c>
      <c r="F37" s="14">
        <v>44067</v>
      </c>
      <c r="G37" s="14">
        <v>44074</v>
      </c>
      <c r="H37" s="14"/>
      <c r="I37" s="14">
        <v>44073</v>
      </c>
      <c r="J37" s="13" t="str">
        <f t="shared" ca="1" si="168"/>
        <v>DONE</v>
      </c>
      <c r="K37" s="13"/>
      <c r="L37" s="13"/>
      <c r="M37" s="13"/>
      <c r="N37" s="13"/>
      <c r="O37" s="13"/>
      <c r="P37" s="20" t="s">
        <v>536</v>
      </c>
      <c r="Q37" s="154"/>
      <c r="R37" s="155"/>
      <c r="S37" s="155"/>
      <c r="T37" s="155"/>
      <c r="U37" s="155"/>
      <c r="V37" s="155"/>
      <c r="W37" s="155"/>
      <c r="X37" s="155"/>
      <c r="Y37" s="155"/>
      <c r="Z37" s="155"/>
      <c r="AA37" s="155"/>
      <c r="AB37" s="155"/>
      <c r="AC37" s="27"/>
      <c r="AD37" s="27"/>
    </row>
    <row r="38" spans="1:30" ht="24.6" customHeight="1" x14ac:dyDescent="0.25">
      <c r="A38" s="15">
        <v>273</v>
      </c>
      <c r="B38" s="11"/>
      <c r="C38" s="16" t="s">
        <v>531</v>
      </c>
      <c r="D38" s="13" t="s">
        <v>24</v>
      </c>
      <c r="E38" s="13" t="s">
        <v>358</v>
      </c>
      <c r="F38" s="14">
        <v>44067</v>
      </c>
      <c r="G38" s="14">
        <v>44074</v>
      </c>
      <c r="H38" s="14"/>
      <c r="I38" s="14">
        <v>44073</v>
      </c>
      <c r="J38" s="13" t="str">
        <f t="shared" ca="1" si="168"/>
        <v>DONE</v>
      </c>
      <c r="K38" s="13"/>
      <c r="L38" s="13"/>
      <c r="M38" s="13"/>
      <c r="N38" s="13"/>
      <c r="O38" s="13"/>
      <c r="P38" s="20" t="s">
        <v>536</v>
      </c>
      <c r="Q38" s="154"/>
      <c r="R38" s="155"/>
      <c r="S38" s="155"/>
      <c r="T38" s="155"/>
      <c r="U38" s="155"/>
      <c r="V38" s="155"/>
      <c r="W38" s="155"/>
      <c r="X38" s="155"/>
      <c r="Y38" s="155"/>
      <c r="Z38" s="155"/>
      <c r="AA38" s="155"/>
      <c r="AB38" s="155"/>
      <c r="AC38" s="27"/>
      <c r="AD38" s="27"/>
    </row>
    <row r="39" spans="1:30" ht="24.6" customHeight="1" x14ac:dyDescent="0.25">
      <c r="A39" s="15">
        <v>274</v>
      </c>
      <c r="B39" s="11"/>
      <c r="C39" s="16" t="s">
        <v>537</v>
      </c>
      <c r="D39" s="13" t="s">
        <v>24</v>
      </c>
      <c r="E39" s="13" t="s">
        <v>538</v>
      </c>
      <c r="F39" s="14">
        <v>44074</v>
      </c>
      <c r="G39" s="14">
        <v>44081</v>
      </c>
      <c r="H39" s="14"/>
      <c r="I39" s="14">
        <v>44081</v>
      </c>
      <c r="J39" s="13" t="str">
        <f t="shared" ca="1" si="168"/>
        <v>DONE</v>
      </c>
      <c r="K39" s="13"/>
      <c r="L39" s="13"/>
      <c r="M39" s="13"/>
      <c r="N39" s="13"/>
      <c r="O39" s="13"/>
      <c r="P39" s="20" t="s">
        <v>541</v>
      </c>
      <c r="Q39" s="163"/>
      <c r="R39" s="164"/>
      <c r="S39" s="164"/>
      <c r="T39" s="164"/>
      <c r="U39" s="164"/>
      <c r="V39" s="164"/>
      <c r="W39" s="164"/>
      <c r="X39" s="164"/>
      <c r="Y39" s="164"/>
      <c r="Z39" s="164"/>
      <c r="AA39" s="164"/>
      <c r="AB39" s="164"/>
      <c r="AC39" s="27"/>
      <c r="AD39" s="27"/>
    </row>
    <row r="40" spans="1:30" ht="24.6" customHeight="1" x14ac:dyDescent="0.25">
      <c r="A40" s="15">
        <v>275</v>
      </c>
      <c r="B40" s="11"/>
      <c r="C40" s="16" t="s">
        <v>539</v>
      </c>
      <c r="D40" s="13" t="s">
        <v>24</v>
      </c>
      <c r="E40" s="13" t="s">
        <v>538</v>
      </c>
      <c r="F40" s="14">
        <v>44074</v>
      </c>
      <c r="G40" s="14">
        <v>44088</v>
      </c>
      <c r="H40" s="14"/>
      <c r="I40" s="14">
        <v>44095</v>
      </c>
      <c r="J40" s="13" t="str">
        <f t="shared" ca="1" si="168"/>
        <v>DONE</v>
      </c>
      <c r="K40" s="13"/>
      <c r="L40" s="13"/>
      <c r="M40" s="13"/>
      <c r="N40" s="13"/>
      <c r="O40" s="13"/>
      <c r="P40" s="20" t="s">
        <v>552</v>
      </c>
      <c r="Q40" s="163"/>
      <c r="R40" s="164"/>
      <c r="S40" s="164"/>
      <c r="T40" s="164"/>
      <c r="U40" s="164"/>
      <c r="V40" s="164"/>
      <c r="W40" s="164"/>
      <c r="X40" s="164"/>
      <c r="Y40" s="164"/>
      <c r="Z40" s="164"/>
      <c r="AA40" s="164"/>
      <c r="AB40" s="164"/>
      <c r="AC40" s="27"/>
      <c r="AD40" s="27"/>
    </row>
    <row r="41" spans="1:30" ht="24.6" customHeight="1" x14ac:dyDescent="0.25">
      <c r="A41" s="15">
        <v>276</v>
      </c>
      <c r="B41" s="11"/>
      <c r="C41" s="16" t="s">
        <v>540</v>
      </c>
      <c r="D41" s="13" t="s">
        <v>24</v>
      </c>
      <c r="E41" s="13" t="s">
        <v>538</v>
      </c>
      <c r="F41" s="14">
        <v>44073</v>
      </c>
      <c r="G41" s="14"/>
      <c r="H41" s="14"/>
      <c r="I41" s="14">
        <v>44081</v>
      </c>
      <c r="J41" s="13" t="str">
        <f t="shared" ca="1" si="168"/>
        <v>DONE</v>
      </c>
      <c r="K41" s="13"/>
      <c r="L41" s="13"/>
      <c r="M41" s="13"/>
      <c r="N41" s="13"/>
      <c r="O41" s="13"/>
      <c r="P41" s="20" t="s">
        <v>545</v>
      </c>
      <c r="Q41" s="163"/>
      <c r="R41" s="164"/>
      <c r="S41" s="164"/>
      <c r="T41" s="164"/>
      <c r="U41" s="164"/>
      <c r="V41" s="164"/>
      <c r="W41" s="164"/>
      <c r="X41" s="164"/>
      <c r="Y41" s="164"/>
      <c r="Z41" s="164"/>
      <c r="AA41" s="164"/>
      <c r="AB41" s="164"/>
      <c r="AC41" s="27"/>
      <c r="AD41" s="27"/>
    </row>
    <row r="42" spans="1:30" ht="24.6" customHeight="1" x14ac:dyDescent="0.25">
      <c r="A42" s="15">
        <v>277</v>
      </c>
      <c r="B42" s="11"/>
      <c r="C42" s="16" t="s">
        <v>543</v>
      </c>
      <c r="D42" s="13" t="s">
        <v>24</v>
      </c>
      <c r="E42" s="13" t="s">
        <v>544</v>
      </c>
      <c r="F42" s="14">
        <v>44081</v>
      </c>
      <c r="G42" s="14">
        <v>44094</v>
      </c>
      <c r="H42" s="14"/>
      <c r="I42" s="14">
        <v>44095</v>
      </c>
      <c r="J42" s="13" t="str">
        <f t="shared" ca="1" si="168"/>
        <v>DONE</v>
      </c>
      <c r="K42" s="13"/>
      <c r="L42" s="13"/>
      <c r="M42" s="13"/>
      <c r="N42" s="13"/>
      <c r="O42" s="13"/>
      <c r="P42" s="20" t="s">
        <v>549</v>
      </c>
      <c r="Q42" s="165"/>
      <c r="R42" s="166"/>
      <c r="S42" s="166"/>
      <c r="T42" s="166"/>
      <c r="U42" s="166"/>
      <c r="V42" s="166"/>
      <c r="W42" s="166"/>
      <c r="X42" s="166"/>
      <c r="Y42" s="166"/>
      <c r="Z42" s="166"/>
      <c r="AA42" s="166"/>
      <c r="AB42" s="166"/>
      <c r="AC42" s="27"/>
      <c r="AD42" s="27"/>
    </row>
    <row r="43" spans="1:30" ht="24.6" customHeight="1" x14ac:dyDescent="0.25">
      <c r="A43" s="15">
        <v>278</v>
      </c>
      <c r="B43" s="11"/>
      <c r="C43" s="16" t="s">
        <v>548</v>
      </c>
      <c r="D43" s="13" t="s">
        <v>24</v>
      </c>
      <c r="E43" s="13" t="s">
        <v>544</v>
      </c>
      <c r="F43" s="14">
        <v>44081</v>
      </c>
      <c r="G43" s="14">
        <v>44094</v>
      </c>
      <c r="H43" s="14"/>
      <c r="I43" s="14">
        <v>44095</v>
      </c>
      <c r="J43" s="13" t="str">
        <f t="shared" ca="1" si="168"/>
        <v>DONE</v>
      </c>
      <c r="K43" s="13"/>
      <c r="L43" s="13"/>
      <c r="M43" s="13"/>
      <c r="N43" s="13"/>
      <c r="O43" s="13"/>
      <c r="P43" s="20" t="s">
        <v>550</v>
      </c>
      <c r="Q43" s="167"/>
      <c r="R43" s="168"/>
      <c r="S43" s="168"/>
      <c r="T43" s="168"/>
      <c r="U43" s="168"/>
      <c r="V43" s="168"/>
      <c r="W43" s="168"/>
      <c r="X43" s="168"/>
      <c r="Y43" s="168"/>
      <c r="Z43" s="168"/>
      <c r="AA43" s="168"/>
      <c r="AB43" s="168"/>
      <c r="AC43" s="27"/>
      <c r="AD43" s="27"/>
    </row>
    <row r="44" spans="1:30" ht="24.6" customHeight="1" x14ac:dyDescent="0.25">
      <c r="A44" s="15">
        <v>279</v>
      </c>
      <c r="B44" s="11"/>
      <c r="C44" s="16" t="s">
        <v>546</v>
      </c>
      <c r="D44" s="13" t="s">
        <v>37</v>
      </c>
      <c r="E44" s="13" t="s">
        <v>547</v>
      </c>
      <c r="F44" s="14">
        <v>44081</v>
      </c>
      <c r="G44" s="14">
        <v>44094</v>
      </c>
      <c r="H44" s="14"/>
      <c r="I44" s="14">
        <v>44088</v>
      </c>
      <c r="J44" s="13" t="str">
        <f t="shared" ref="J44:J47" ca="1" si="174">IF(AND(I44&lt;=$C$2,I44&lt;&gt;0),"DONE",IF(K44&lt;0,"OVERDUE",IF(AND(K44="",O44&lt;0),"OVERDUE","IN TIME")))</f>
        <v>DONE</v>
      </c>
      <c r="K44" s="13"/>
      <c r="L44" s="13"/>
      <c r="M44" s="13"/>
      <c r="N44" s="13"/>
      <c r="O44" s="13"/>
      <c r="P44" s="20" t="s">
        <v>551</v>
      </c>
      <c r="Q44" s="167"/>
      <c r="R44" s="168"/>
      <c r="S44" s="168"/>
      <c r="T44" s="168"/>
      <c r="U44" s="168"/>
      <c r="V44" s="168"/>
      <c r="W44" s="168"/>
      <c r="X44" s="168"/>
      <c r="Y44" s="168"/>
      <c r="Z44" s="168"/>
      <c r="AA44" s="168"/>
      <c r="AB44" s="168"/>
      <c r="AC44" s="27"/>
      <c r="AD44" s="27"/>
    </row>
    <row r="45" spans="1:30" ht="77.25" customHeight="1" x14ac:dyDescent="0.25">
      <c r="A45" s="15">
        <v>280</v>
      </c>
      <c r="B45" s="11"/>
      <c r="C45" s="16" t="s">
        <v>542</v>
      </c>
      <c r="D45" s="13" t="s">
        <v>37</v>
      </c>
      <c r="E45" s="13" t="s">
        <v>365</v>
      </c>
      <c r="F45" s="14">
        <v>44073</v>
      </c>
      <c r="G45" s="14">
        <v>44081</v>
      </c>
      <c r="H45" s="14"/>
      <c r="I45" s="14">
        <v>44102</v>
      </c>
      <c r="J45" s="13" t="str">
        <f t="shared" ca="1" si="174"/>
        <v>DONE</v>
      </c>
      <c r="K45" s="13"/>
      <c r="L45" s="13"/>
      <c r="M45" s="13"/>
      <c r="N45" s="13"/>
      <c r="O45" s="13"/>
      <c r="P45" s="20" t="s">
        <v>553</v>
      </c>
      <c r="Q45" s="167"/>
      <c r="R45" s="168"/>
      <c r="S45" s="168"/>
      <c r="T45" s="168"/>
      <c r="U45" s="168"/>
      <c r="V45" s="168"/>
      <c r="W45" s="168"/>
      <c r="X45" s="168"/>
      <c r="Y45" s="168"/>
      <c r="Z45" s="168"/>
      <c r="AA45" s="168"/>
      <c r="AB45" s="168"/>
      <c r="AC45" s="27"/>
      <c r="AD45" s="27"/>
    </row>
    <row r="46" spans="1:30" ht="24.6" customHeight="1" x14ac:dyDescent="0.25">
      <c r="A46" s="15">
        <v>281</v>
      </c>
      <c r="B46" s="11"/>
      <c r="C46" s="16" t="s">
        <v>532</v>
      </c>
      <c r="D46" s="13" t="s">
        <v>37</v>
      </c>
      <c r="E46" s="13" t="s">
        <v>533</v>
      </c>
      <c r="F46" s="14">
        <v>44112</v>
      </c>
      <c r="G46" s="14">
        <v>44130</v>
      </c>
      <c r="H46" s="14"/>
      <c r="I46" s="14">
        <v>44130</v>
      </c>
      <c r="J46" s="13" t="str">
        <f t="shared" ca="1" si="174"/>
        <v>DONE</v>
      </c>
      <c r="K46" s="13"/>
      <c r="L46" s="13"/>
      <c r="M46" s="13"/>
      <c r="N46" s="13"/>
      <c r="O46" s="13"/>
      <c r="P46" s="20" t="s">
        <v>563</v>
      </c>
      <c r="Q46" s="167"/>
      <c r="R46" s="168"/>
      <c r="S46" s="168"/>
      <c r="T46" s="168"/>
      <c r="U46" s="168"/>
      <c r="V46" s="168"/>
      <c r="W46" s="168"/>
      <c r="X46" s="168"/>
      <c r="Y46" s="168"/>
      <c r="Z46" s="168"/>
      <c r="AA46" s="168"/>
      <c r="AB46" s="168"/>
      <c r="AC46" s="27"/>
      <c r="AD46" s="27"/>
    </row>
    <row r="47" spans="1:30" ht="24.6" customHeight="1" x14ac:dyDescent="0.25">
      <c r="A47" s="15">
        <v>282</v>
      </c>
      <c r="B47" s="11"/>
      <c r="C47" s="16" t="s">
        <v>561</v>
      </c>
      <c r="D47" s="13" t="s">
        <v>37</v>
      </c>
      <c r="E47" s="13" t="s">
        <v>534</v>
      </c>
      <c r="F47" s="14">
        <v>44112</v>
      </c>
      <c r="G47" s="14">
        <v>44130</v>
      </c>
      <c r="H47" s="14"/>
      <c r="I47" s="14">
        <v>44130</v>
      </c>
      <c r="J47" s="13" t="str">
        <f t="shared" ca="1" si="174"/>
        <v>DONE</v>
      </c>
      <c r="K47" s="13"/>
      <c r="L47" s="13"/>
      <c r="M47" s="13"/>
      <c r="N47" s="13"/>
      <c r="O47" s="13"/>
      <c r="P47" s="20" t="s">
        <v>564</v>
      </c>
      <c r="Q47" s="167"/>
      <c r="R47" s="168"/>
      <c r="S47" s="168"/>
      <c r="T47" s="168"/>
      <c r="U47" s="168"/>
      <c r="V47" s="168"/>
      <c r="W47" s="168"/>
      <c r="X47" s="168"/>
      <c r="Y47" s="168"/>
      <c r="Z47" s="168"/>
      <c r="AA47" s="168"/>
      <c r="AB47" s="168"/>
      <c r="AC47" s="27"/>
      <c r="AD47" s="27"/>
    </row>
    <row r="48" spans="1:30" ht="24.6" customHeight="1" x14ac:dyDescent="0.25">
      <c r="A48" s="15">
        <v>283</v>
      </c>
      <c r="B48" s="11"/>
      <c r="C48" s="16" t="s">
        <v>554</v>
      </c>
      <c r="D48" s="13" t="s">
        <v>37</v>
      </c>
      <c r="E48" s="13" t="s">
        <v>555</v>
      </c>
      <c r="F48" s="14">
        <v>44095</v>
      </c>
      <c r="G48" s="14">
        <v>44104</v>
      </c>
      <c r="H48" s="14"/>
      <c r="I48" s="14">
        <v>44102</v>
      </c>
      <c r="J48" s="13" t="str">
        <f t="shared" ref="J48:J56" ca="1" si="175">IF(AND(I48&lt;=$C$2,I48&lt;&gt;0),"DONE",IF(K48&lt;0,"OVERDUE",IF(AND(K48="",O48&lt;0),"OVERDUE","IN TIME")))</f>
        <v>DONE</v>
      </c>
      <c r="K48" s="13"/>
      <c r="L48" s="13"/>
      <c r="M48" s="13"/>
      <c r="N48" s="13"/>
      <c r="O48" s="13"/>
      <c r="P48" s="20" t="s">
        <v>558</v>
      </c>
      <c r="Q48" s="169"/>
      <c r="R48" s="170"/>
      <c r="S48" s="170"/>
      <c r="T48" s="170"/>
      <c r="U48" s="170"/>
      <c r="V48" s="170"/>
      <c r="W48" s="170"/>
      <c r="X48" s="170"/>
      <c r="Y48" s="170"/>
      <c r="Z48" s="170"/>
      <c r="AA48" s="170"/>
      <c r="AB48" s="170"/>
      <c r="AC48" s="27"/>
      <c r="AD48" s="27"/>
    </row>
    <row r="49" spans="1:30" ht="24.6" customHeight="1" x14ac:dyDescent="0.25">
      <c r="A49" s="15">
        <v>284</v>
      </c>
      <c r="B49" s="11"/>
      <c r="C49" s="16" t="s">
        <v>556</v>
      </c>
      <c r="D49" s="13" t="s">
        <v>24</v>
      </c>
      <c r="E49" s="13" t="s">
        <v>557</v>
      </c>
      <c r="F49" s="14">
        <v>44095</v>
      </c>
      <c r="G49" s="14">
        <v>44104</v>
      </c>
      <c r="H49" s="14"/>
      <c r="I49" s="14">
        <v>44116</v>
      </c>
      <c r="J49" s="13" t="str">
        <f t="shared" ca="1" si="175"/>
        <v>DONE</v>
      </c>
      <c r="K49" s="13"/>
      <c r="L49" s="13"/>
      <c r="M49" s="13"/>
      <c r="N49" s="13"/>
      <c r="O49" s="13"/>
      <c r="P49" s="20" t="s">
        <v>562</v>
      </c>
      <c r="Q49" s="169"/>
      <c r="R49" s="170"/>
      <c r="S49" s="170"/>
      <c r="T49" s="170"/>
      <c r="U49" s="170"/>
      <c r="V49" s="170"/>
      <c r="W49" s="170"/>
      <c r="X49" s="170"/>
      <c r="Y49" s="170"/>
      <c r="Z49" s="170"/>
      <c r="AA49" s="170"/>
      <c r="AB49" s="170"/>
      <c r="AC49" s="27"/>
      <c r="AD49" s="27"/>
    </row>
    <row r="50" spans="1:30" ht="24.6" customHeight="1" x14ac:dyDescent="0.25">
      <c r="A50" s="15">
        <v>285</v>
      </c>
      <c r="B50" s="11"/>
      <c r="C50" s="16" t="s">
        <v>559</v>
      </c>
      <c r="D50" s="13" t="s">
        <v>37</v>
      </c>
      <c r="E50" s="13" t="s">
        <v>555</v>
      </c>
      <c r="F50" s="14">
        <v>44130</v>
      </c>
      <c r="G50" s="14">
        <v>44135</v>
      </c>
      <c r="H50" s="14"/>
      <c r="I50" s="14">
        <v>44137</v>
      </c>
      <c r="J50" s="13" t="str">
        <f t="shared" ca="1" si="175"/>
        <v>DONE</v>
      </c>
      <c r="K50" s="13"/>
      <c r="L50" s="13"/>
      <c r="M50" s="13"/>
      <c r="N50" s="13"/>
      <c r="O50" s="13"/>
      <c r="P50" s="20" t="s">
        <v>568</v>
      </c>
      <c r="Q50" s="169"/>
      <c r="R50" s="170"/>
      <c r="S50" s="170"/>
      <c r="T50" s="170"/>
      <c r="U50" s="170"/>
      <c r="V50" s="170"/>
      <c r="W50" s="170"/>
      <c r="X50" s="170"/>
      <c r="Y50" s="170"/>
      <c r="Z50" s="170"/>
      <c r="AA50" s="170"/>
      <c r="AB50" s="170"/>
      <c r="AC50" s="27"/>
      <c r="AD50" s="27"/>
    </row>
    <row r="51" spans="1:30" ht="24.6" customHeight="1" x14ac:dyDescent="0.25">
      <c r="A51" s="15">
        <v>286</v>
      </c>
      <c r="B51" s="11"/>
      <c r="C51" s="16" t="s">
        <v>566</v>
      </c>
      <c r="D51" s="13" t="s">
        <v>24</v>
      </c>
      <c r="E51" s="13" t="s">
        <v>358</v>
      </c>
      <c r="F51" s="14">
        <v>44130</v>
      </c>
      <c r="G51" s="14">
        <v>44135</v>
      </c>
      <c r="H51" s="14"/>
      <c r="I51" s="14">
        <v>44137</v>
      </c>
      <c r="J51" s="13" t="str">
        <f t="shared" ca="1" si="175"/>
        <v>DONE</v>
      </c>
      <c r="K51" s="13"/>
      <c r="L51" s="13"/>
      <c r="M51" s="13"/>
      <c r="N51" s="13"/>
      <c r="O51" s="13"/>
      <c r="P51" s="20" t="s">
        <v>569</v>
      </c>
      <c r="Q51" s="169"/>
      <c r="R51" s="170"/>
      <c r="S51" s="170"/>
      <c r="T51" s="170"/>
      <c r="U51" s="170"/>
      <c r="V51" s="170"/>
      <c r="W51" s="170"/>
      <c r="X51" s="170"/>
      <c r="Y51" s="170"/>
      <c r="Z51" s="170"/>
      <c r="AA51" s="170"/>
      <c r="AB51" s="170"/>
      <c r="AC51" s="27"/>
      <c r="AD51" s="27"/>
    </row>
    <row r="52" spans="1:30" ht="24.6" customHeight="1" x14ac:dyDescent="0.25">
      <c r="A52" s="15">
        <v>287</v>
      </c>
      <c r="B52" s="11"/>
      <c r="C52" s="16" t="s">
        <v>565</v>
      </c>
      <c r="D52" s="13" t="s">
        <v>24</v>
      </c>
      <c r="E52" s="13" t="s">
        <v>358</v>
      </c>
      <c r="F52" s="14">
        <v>44130</v>
      </c>
      <c r="G52" s="14">
        <v>44135</v>
      </c>
      <c r="H52" s="14"/>
      <c r="I52" s="14">
        <v>44144</v>
      </c>
      <c r="J52" s="13" t="str">
        <f t="shared" ca="1" si="175"/>
        <v>DONE</v>
      </c>
      <c r="K52" s="13"/>
      <c r="L52" s="13"/>
      <c r="M52" s="13"/>
      <c r="N52" s="13"/>
      <c r="O52" s="13"/>
      <c r="P52" s="20" t="s">
        <v>570</v>
      </c>
      <c r="Q52" s="169"/>
      <c r="R52" s="170"/>
      <c r="S52" s="170"/>
      <c r="T52" s="170"/>
      <c r="U52" s="170"/>
      <c r="V52" s="170"/>
      <c r="W52" s="170"/>
      <c r="X52" s="170"/>
      <c r="Y52" s="170"/>
      <c r="Z52" s="170"/>
      <c r="AA52" s="170"/>
      <c r="AB52" s="170"/>
      <c r="AC52" s="27"/>
      <c r="AD52" s="27"/>
    </row>
    <row r="53" spans="1:30" ht="24.6" customHeight="1" x14ac:dyDescent="0.25">
      <c r="A53" s="15">
        <v>288</v>
      </c>
      <c r="B53" s="11"/>
      <c r="C53" s="16" t="s">
        <v>567</v>
      </c>
      <c r="D53" s="13" t="s">
        <v>24</v>
      </c>
      <c r="E53" s="13" t="s">
        <v>555</v>
      </c>
      <c r="F53" s="14">
        <v>44146</v>
      </c>
      <c r="G53" s="14">
        <v>44155</v>
      </c>
      <c r="H53" s="14"/>
      <c r="I53" s="14">
        <v>44193</v>
      </c>
      <c r="J53" s="13" t="str">
        <f t="shared" ca="1" si="175"/>
        <v>DONE</v>
      </c>
      <c r="K53" s="13"/>
      <c r="L53" s="13"/>
      <c r="M53" s="13"/>
      <c r="N53" s="13"/>
      <c r="O53" s="13"/>
      <c r="P53" s="20" t="s">
        <v>606</v>
      </c>
      <c r="Q53" s="171"/>
      <c r="R53" s="172"/>
      <c r="S53" s="172"/>
      <c r="T53" s="172"/>
      <c r="U53" s="172"/>
      <c r="V53" s="172"/>
      <c r="W53" s="172"/>
      <c r="X53" s="172"/>
      <c r="Y53" s="172"/>
      <c r="Z53" s="172"/>
      <c r="AA53" s="172"/>
      <c r="AB53" s="172"/>
      <c r="AC53" s="27"/>
      <c r="AD53" s="27"/>
    </row>
    <row r="54" spans="1:30" ht="24.6" customHeight="1" x14ac:dyDescent="0.25">
      <c r="A54" s="15">
        <v>289</v>
      </c>
      <c r="B54" s="11"/>
      <c r="C54" s="16" t="s">
        <v>571</v>
      </c>
      <c r="D54" s="13" t="s">
        <v>24</v>
      </c>
      <c r="E54" s="13" t="s">
        <v>572</v>
      </c>
      <c r="F54" s="14">
        <v>44144</v>
      </c>
      <c r="G54" s="14">
        <v>44144</v>
      </c>
      <c r="H54" s="14"/>
      <c r="I54" s="14">
        <v>44151</v>
      </c>
      <c r="J54" s="13" t="str">
        <f t="shared" ca="1" si="175"/>
        <v>DONE</v>
      </c>
      <c r="K54" s="13"/>
      <c r="L54" s="13"/>
      <c r="M54" s="13"/>
      <c r="N54" s="13"/>
      <c r="O54" s="13"/>
      <c r="P54" s="20" t="s">
        <v>573</v>
      </c>
      <c r="Q54" s="171"/>
      <c r="R54" s="172"/>
      <c r="S54" s="172"/>
      <c r="T54" s="172"/>
      <c r="U54" s="172"/>
      <c r="V54" s="172"/>
      <c r="W54" s="172"/>
      <c r="X54" s="172"/>
      <c r="Y54" s="172"/>
      <c r="Z54" s="172"/>
      <c r="AA54" s="172"/>
      <c r="AB54" s="172"/>
      <c r="AC54" s="27"/>
      <c r="AD54" s="27"/>
    </row>
    <row r="55" spans="1:30" ht="24.6" customHeight="1" x14ac:dyDescent="0.25">
      <c r="A55" s="15">
        <v>290</v>
      </c>
      <c r="B55" s="11"/>
      <c r="C55" s="16" t="s">
        <v>574</v>
      </c>
      <c r="D55" s="13" t="s">
        <v>24</v>
      </c>
      <c r="E55" s="13" t="s">
        <v>575</v>
      </c>
      <c r="F55" s="14">
        <v>44151</v>
      </c>
      <c r="G55" s="14">
        <v>44157</v>
      </c>
      <c r="H55" s="14"/>
      <c r="I55" s="14">
        <v>44155</v>
      </c>
      <c r="J55" s="13" t="str">
        <f t="shared" ca="1" si="175"/>
        <v>DONE</v>
      </c>
      <c r="K55" s="13"/>
      <c r="L55" s="13"/>
      <c r="M55" s="13"/>
      <c r="N55" s="13"/>
      <c r="O55" s="13"/>
      <c r="P55" s="20" t="s">
        <v>578</v>
      </c>
      <c r="Q55" s="171"/>
      <c r="R55" s="172"/>
      <c r="S55" s="172"/>
      <c r="T55" s="172"/>
      <c r="U55" s="172"/>
      <c r="V55" s="172"/>
      <c r="W55" s="172"/>
      <c r="X55" s="172"/>
      <c r="Y55" s="172"/>
      <c r="Z55" s="172"/>
      <c r="AA55" s="172"/>
      <c r="AB55" s="172"/>
      <c r="AC55" s="27"/>
      <c r="AD55" s="27"/>
    </row>
    <row r="56" spans="1:30" ht="24.6" customHeight="1" x14ac:dyDescent="0.25">
      <c r="A56" s="15">
        <v>291</v>
      </c>
      <c r="B56" s="11"/>
      <c r="C56" s="16" t="s">
        <v>579</v>
      </c>
      <c r="D56" s="13" t="s">
        <v>37</v>
      </c>
      <c r="E56" s="13" t="s">
        <v>580</v>
      </c>
      <c r="F56" s="14">
        <v>44155</v>
      </c>
      <c r="G56" s="14">
        <v>44178</v>
      </c>
      <c r="H56" s="14"/>
      <c r="I56" s="14"/>
      <c r="J56" s="13" t="str">
        <f t="shared" ca="1" si="175"/>
        <v>IN TIME</v>
      </c>
      <c r="K56" s="13"/>
      <c r="L56" s="13"/>
      <c r="M56" s="13"/>
      <c r="N56" s="13"/>
      <c r="O56" s="13"/>
      <c r="P56" s="20" t="s">
        <v>587</v>
      </c>
      <c r="Q56" s="171"/>
      <c r="R56" s="172"/>
      <c r="S56" s="172"/>
      <c r="T56" s="172"/>
      <c r="U56" s="172"/>
      <c r="V56" s="172"/>
      <c r="W56" s="172"/>
      <c r="X56" s="172"/>
      <c r="Y56" s="172"/>
      <c r="Z56" s="172"/>
      <c r="AA56" s="172"/>
      <c r="AB56" s="172"/>
      <c r="AC56" s="27"/>
      <c r="AD56" s="27"/>
    </row>
    <row r="57" spans="1:30" ht="97.5" customHeight="1" x14ac:dyDescent="0.25">
      <c r="A57" s="15">
        <v>292</v>
      </c>
      <c r="B57" s="11"/>
      <c r="C57" s="16" t="s">
        <v>583</v>
      </c>
      <c r="D57" s="13" t="s">
        <v>37</v>
      </c>
      <c r="E57" s="13" t="s">
        <v>586</v>
      </c>
      <c r="F57" s="14"/>
      <c r="G57" s="14"/>
      <c r="H57" s="14"/>
      <c r="I57" s="14">
        <v>44179</v>
      </c>
      <c r="J57" s="13" t="str">
        <f t="shared" ref="J57" ca="1" si="176">IF(AND(I57&lt;=$C$2,I57&lt;&gt;0),"DONE",IF(K57&lt;0,"OVERDUE",IF(AND(K57="",O57&lt;0),"OVERDUE","IN TIME")))</f>
        <v>DONE</v>
      </c>
      <c r="K57" s="13"/>
      <c r="L57" s="13"/>
      <c r="M57" s="13"/>
      <c r="N57" s="13"/>
      <c r="O57" s="13"/>
      <c r="P57" s="20" t="s">
        <v>595</v>
      </c>
      <c r="Q57" s="173"/>
      <c r="R57" s="174"/>
      <c r="S57" s="174"/>
      <c r="T57" s="174"/>
      <c r="U57" s="174"/>
      <c r="V57" s="174"/>
      <c r="W57" s="174"/>
      <c r="X57" s="174"/>
      <c r="Y57" s="174"/>
      <c r="Z57" s="174"/>
      <c r="AA57" s="174"/>
      <c r="AB57" s="174"/>
      <c r="AC57" s="27"/>
      <c r="AD57" s="27"/>
    </row>
    <row r="58" spans="1:30" ht="24.6" customHeight="1" x14ac:dyDescent="0.25">
      <c r="A58" s="15">
        <v>293</v>
      </c>
      <c r="B58" s="11"/>
      <c r="C58" s="16" t="s">
        <v>584</v>
      </c>
      <c r="D58" s="13" t="s">
        <v>24</v>
      </c>
      <c r="E58" s="13" t="s">
        <v>586</v>
      </c>
      <c r="F58" s="14"/>
      <c r="G58" s="14"/>
      <c r="H58" s="14"/>
      <c r="I58" s="14">
        <v>44179</v>
      </c>
      <c r="J58" s="13" t="str">
        <f t="shared" ref="J58" ca="1" si="177">IF(AND(I58&lt;=$C$2,I58&lt;&gt;0),"DONE",IF(K58&lt;0,"OVERDUE",IF(AND(K58="",O58&lt;0),"OVERDUE","IN TIME")))</f>
        <v>DONE</v>
      </c>
      <c r="K58" s="13"/>
      <c r="L58" s="13"/>
      <c r="M58" s="13"/>
      <c r="N58" s="13"/>
      <c r="O58" s="13"/>
      <c r="P58" s="20" t="s">
        <v>588</v>
      </c>
      <c r="Q58" s="173"/>
      <c r="R58" s="174"/>
      <c r="S58" s="174"/>
      <c r="T58" s="174"/>
      <c r="U58" s="174"/>
      <c r="V58" s="174"/>
      <c r="W58" s="174"/>
      <c r="X58" s="174"/>
      <c r="Y58" s="174"/>
      <c r="Z58" s="174"/>
      <c r="AA58" s="174"/>
      <c r="AB58" s="174"/>
      <c r="AC58" s="27"/>
      <c r="AD58" s="27"/>
    </row>
    <row r="59" spans="1:30" ht="24.6" customHeight="1" x14ac:dyDescent="0.25">
      <c r="A59" s="15">
        <v>294</v>
      </c>
      <c r="B59" s="11"/>
      <c r="C59" s="16" t="s">
        <v>585</v>
      </c>
      <c r="D59" s="13" t="s">
        <v>37</v>
      </c>
      <c r="E59" s="13" t="s">
        <v>586</v>
      </c>
      <c r="F59" s="14">
        <v>44179</v>
      </c>
      <c r="G59" s="14">
        <v>44190</v>
      </c>
      <c r="H59" s="14"/>
      <c r="I59" s="14">
        <v>44186</v>
      </c>
      <c r="J59" s="13" t="str">
        <f t="shared" ref="J59" ca="1" si="178">IF(AND(I59&lt;=$C$2,I59&lt;&gt;0),"DONE",IF(K59&lt;0,"OVERDUE",IF(AND(K59="",O59&lt;0),"OVERDUE","IN TIME")))</f>
        <v>DONE</v>
      </c>
      <c r="K59" s="13"/>
      <c r="L59" s="13"/>
      <c r="M59" s="13"/>
      <c r="N59" s="13"/>
      <c r="O59" s="13"/>
      <c r="P59" s="20" t="s">
        <v>599</v>
      </c>
      <c r="Q59" s="173"/>
      <c r="R59" s="174"/>
      <c r="S59" s="174"/>
      <c r="T59" s="174"/>
      <c r="U59" s="174"/>
      <c r="V59" s="174"/>
      <c r="W59" s="174"/>
      <c r="X59" s="174"/>
      <c r="Y59" s="174"/>
      <c r="Z59" s="174"/>
      <c r="AA59" s="174"/>
      <c r="AB59" s="174"/>
      <c r="AC59" s="27"/>
      <c r="AD59" s="27"/>
    </row>
    <row r="60" spans="1:30" ht="24.6" customHeight="1" x14ac:dyDescent="0.25">
      <c r="A60" s="15">
        <v>295</v>
      </c>
      <c r="B60" s="11"/>
      <c r="C60" s="16" t="s">
        <v>601</v>
      </c>
      <c r="D60" s="13"/>
      <c r="E60" s="13"/>
      <c r="F60" s="14"/>
      <c r="G60" s="14"/>
      <c r="H60" s="14"/>
      <c r="I60" s="14"/>
      <c r="J60" s="13" t="str">
        <f t="shared" ref="J60" ca="1" si="179">IF(AND(I60&lt;=$C$2,I60&lt;&gt;0),"DONE",IF(K60&lt;0,"OVERDUE",IF(AND(K60="",O60&lt;0),"OVERDUE","IN TIME")))</f>
        <v>IN TIME</v>
      </c>
      <c r="K60" s="13"/>
      <c r="L60" s="13"/>
      <c r="M60" s="13"/>
      <c r="N60" s="13"/>
      <c r="O60" s="13"/>
      <c r="P60" s="20"/>
      <c r="Q60" s="173"/>
      <c r="R60" s="174"/>
      <c r="S60" s="174"/>
      <c r="T60" s="174"/>
      <c r="U60" s="174"/>
      <c r="V60" s="174"/>
      <c r="W60" s="174"/>
      <c r="X60" s="174"/>
      <c r="Y60" s="174"/>
      <c r="Z60" s="174"/>
      <c r="AA60" s="174"/>
      <c r="AB60" s="174"/>
      <c r="AC60" s="27"/>
      <c r="AD60" s="27"/>
    </row>
    <row r="61" spans="1:30" ht="24.6" customHeight="1" x14ac:dyDescent="0.25">
      <c r="A61" s="15">
        <v>296</v>
      </c>
      <c r="B61" s="11"/>
      <c r="C61" s="16" t="s">
        <v>589</v>
      </c>
      <c r="D61" s="13" t="s">
        <v>37</v>
      </c>
      <c r="E61" s="13" t="s">
        <v>374</v>
      </c>
      <c r="F61" s="14"/>
      <c r="G61" s="14"/>
      <c r="H61" s="14"/>
      <c r="I61" s="14">
        <v>44186</v>
      </c>
      <c r="J61" s="13" t="str">
        <f t="shared" ref="J61:J66" ca="1" si="180">IF(AND(I61&lt;=$C$2,I61&lt;&gt;0),"DONE",IF(K61&lt;0,"OVERDUE",IF(AND(K61="",O61&lt;0),"OVERDUE","IN TIME")))</f>
        <v>DONE</v>
      </c>
      <c r="K61" s="13"/>
      <c r="L61" s="13"/>
      <c r="M61" s="13"/>
      <c r="N61" s="13"/>
      <c r="O61" s="13"/>
      <c r="P61" s="20" t="s">
        <v>600</v>
      </c>
      <c r="Q61" s="175"/>
      <c r="R61" s="176"/>
      <c r="S61" s="176"/>
      <c r="T61" s="176"/>
      <c r="U61" s="176"/>
      <c r="V61" s="176"/>
      <c r="W61" s="176"/>
      <c r="X61" s="176"/>
      <c r="Y61" s="176"/>
      <c r="Z61" s="176"/>
      <c r="AA61" s="176"/>
      <c r="AB61" s="176"/>
      <c r="AC61" s="27"/>
      <c r="AD61" s="27"/>
    </row>
    <row r="62" spans="1:30" ht="61.5" customHeight="1" x14ac:dyDescent="0.25">
      <c r="A62" s="15">
        <v>297</v>
      </c>
      <c r="B62" s="11"/>
      <c r="C62" s="16" t="s">
        <v>593</v>
      </c>
      <c r="D62" s="13" t="s">
        <v>37</v>
      </c>
      <c r="E62" s="13" t="s">
        <v>590</v>
      </c>
      <c r="F62" s="14">
        <v>44172</v>
      </c>
      <c r="G62" s="14"/>
      <c r="H62" s="14"/>
      <c r="I62" s="14"/>
      <c r="J62" s="13" t="str">
        <f t="shared" ca="1" si="180"/>
        <v>IN TIME</v>
      </c>
      <c r="K62" s="13"/>
      <c r="L62" s="13"/>
      <c r="M62" s="13"/>
      <c r="N62" s="13"/>
      <c r="O62" s="13"/>
      <c r="P62" s="20" t="s">
        <v>591</v>
      </c>
      <c r="Q62" s="175"/>
      <c r="R62" s="176"/>
      <c r="S62" s="176"/>
      <c r="T62" s="176"/>
      <c r="U62" s="176"/>
      <c r="V62" s="176"/>
      <c r="W62" s="176"/>
      <c r="X62" s="176"/>
      <c r="Y62" s="176"/>
      <c r="Z62" s="176"/>
      <c r="AA62" s="176"/>
      <c r="AB62" s="176"/>
      <c r="AC62" s="27"/>
      <c r="AD62" s="27"/>
    </row>
    <row r="63" spans="1:30" ht="67.5" customHeight="1" x14ac:dyDescent="0.25">
      <c r="A63" s="15">
        <v>298</v>
      </c>
      <c r="B63" s="11"/>
      <c r="C63" s="16" t="s">
        <v>594</v>
      </c>
      <c r="D63" s="13" t="s">
        <v>37</v>
      </c>
      <c r="E63" s="13" t="s">
        <v>590</v>
      </c>
      <c r="F63" s="14">
        <v>44172</v>
      </c>
      <c r="G63" s="14"/>
      <c r="H63" s="14"/>
      <c r="I63" s="14"/>
      <c r="J63" s="13" t="str">
        <f t="shared" ca="1" si="180"/>
        <v>IN TIME</v>
      </c>
      <c r="K63" s="13"/>
      <c r="L63" s="13"/>
      <c r="M63" s="13"/>
      <c r="N63" s="13"/>
      <c r="O63" s="13"/>
      <c r="P63" s="20" t="s">
        <v>592</v>
      </c>
      <c r="Q63" s="177"/>
      <c r="R63" s="178"/>
      <c r="S63" s="178"/>
      <c r="T63" s="178"/>
      <c r="U63" s="178"/>
      <c r="V63" s="178"/>
      <c r="W63" s="178"/>
      <c r="X63" s="178"/>
      <c r="Y63" s="178"/>
      <c r="Z63" s="178"/>
      <c r="AA63" s="178"/>
      <c r="AB63" s="178"/>
      <c r="AC63" s="27"/>
      <c r="AD63" s="27"/>
    </row>
    <row r="64" spans="1:30" ht="73.5" customHeight="1" x14ac:dyDescent="0.25">
      <c r="A64" s="15" t="s">
        <v>603</v>
      </c>
      <c r="B64" s="11"/>
      <c r="C64" s="16" t="s">
        <v>604</v>
      </c>
      <c r="D64" s="13" t="s">
        <v>24</v>
      </c>
      <c r="E64" s="13" t="s">
        <v>605</v>
      </c>
      <c r="F64" s="14">
        <v>44196</v>
      </c>
      <c r="G64" s="14"/>
      <c r="H64" s="14"/>
      <c r="I64" s="14">
        <v>44214</v>
      </c>
      <c r="J64" s="13" t="str">
        <f t="shared" ca="1" si="180"/>
        <v>DONE</v>
      </c>
      <c r="K64" s="13"/>
      <c r="L64" s="13"/>
      <c r="M64" s="13"/>
      <c r="N64" s="13"/>
      <c r="O64" s="13"/>
      <c r="P64" s="20" t="s">
        <v>624</v>
      </c>
      <c r="Q64" s="179"/>
      <c r="R64" s="180"/>
      <c r="S64" s="180"/>
      <c r="T64" s="180"/>
      <c r="U64" s="180"/>
      <c r="V64" s="180"/>
      <c r="W64" s="180"/>
      <c r="X64" s="180"/>
      <c r="Y64" s="180"/>
      <c r="Z64" s="180"/>
      <c r="AA64" s="180"/>
      <c r="AB64" s="180"/>
      <c r="AC64" s="27"/>
      <c r="AD64" s="27"/>
    </row>
    <row r="65" spans="1:30" ht="24.6" customHeight="1" x14ac:dyDescent="0.25">
      <c r="A65" s="15">
        <v>300</v>
      </c>
      <c r="B65" s="11"/>
      <c r="C65" s="16" t="s">
        <v>607</v>
      </c>
      <c r="D65" s="13" t="s">
        <v>37</v>
      </c>
      <c r="E65" s="13" t="s">
        <v>615</v>
      </c>
      <c r="F65" s="14">
        <v>44193</v>
      </c>
      <c r="G65" s="14">
        <v>44196</v>
      </c>
      <c r="H65" s="14">
        <v>44196</v>
      </c>
      <c r="I65" s="14">
        <v>44196</v>
      </c>
      <c r="J65" s="13" t="str">
        <f t="shared" ca="1" si="180"/>
        <v>DONE</v>
      </c>
      <c r="K65" s="13"/>
      <c r="L65" s="13"/>
      <c r="M65" s="13"/>
      <c r="N65" s="13"/>
      <c r="O65" s="13"/>
      <c r="P65" s="20" t="s">
        <v>616</v>
      </c>
      <c r="Q65" s="181"/>
      <c r="R65" s="182"/>
      <c r="S65" s="182"/>
      <c r="T65" s="182"/>
      <c r="U65" s="182"/>
      <c r="V65" s="182"/>
      <c r="W65" s="182"/>
      <c r="X65" s="182"/>
      <c r="Y65" s="182"/>
      <c r="Z65" s="182"/>
      <c r="AA65" s="182"/>
      <c r="AB65" s="182"/>
      <c r="AC65" s="27"/>
      <c r="AD65" s="27"/>
    </row>
    <row r="66" spans="1:30" ht="24.6" customHeight="1" x14ac:dyDescent="0.25">
      <c r="A66" s="15">
        <v>301</v>
      </c>
      <c r="B66" s="11"/>
      <c r="C66" s="16" t="s">
        <v>608</v>
      </c>
      <c r="D66" s="13" t="s">
        <v>37</v>
      </c>
      <c r="E66" s="13" t="s">
        <v>615</v>
      </c>
      <c r="F66" s="14">
        <v>44193</v>
      </c>
      <c r="G66" s="14">
        <v>44196</v>
      </c>
      <c r="H66" s="14">
        <v>44196</v>
      </c>
      <c r="I66" s="14">
        <v>44196</v>
      </c>
      <c r="J66" s="13" t="str">
        <f t="shared" ca="1" si="180"/>
        <v>DONE</v>
      </c>
      <c r="K66" s="13"/>
      <c r="L66" s="13"/>
      <c r="M66" s="13"/>
      <c r="N66" s="13"/>
      <c r="O66" s="13"/>
      <c r="P66" s="20" t="s">
        <v>616</v>
      </c>
      <c r="Q66" s="181"/>
      <c r="R66" s="182"/>
      <c r="S66" s="182"/>
      <c r="T66" s="182"/>
      <c r="U66" s="182"/>
      <c r="V66" s="182"/>
      <c r="W66" s="182"/>
      <c r="X66" s="182"/>
      <c r="Y66" s="182"/>
      <c r="Z66" s="182"/>
      <c r="AA66" s="182"/>
      <c r="AB66" s="182"/>
      <c r="AC66" s="27"/>
      <c r="AD66" s="27"/>
    </row>
    <row r="67" spans="1:30" ht="24.6" customHeight="1" x14ac:dyDescent="0.25">
      <c r="A67" s="15">
        <v>302</v>
      </c>
      <c r="B67" s="11"/>
      <c r="C67" s="16" t="s">
        <v>609</v>
      </c>
      <c r="D67" s="13"/>
      <c r="E67" s="13"/>
      <c r="F67" s="14"/>
      <c r="G67" s="14"/>
      <c r="H67" s="14"/>
      <c r="I67" s="14"/>
      <c r="J67" s="13" t="str">
        <f t="shared" ref="J67" ca="1" si="181">IF(AND(I67&lt;=$C$2,I67&lt;&gt;0),"DONE",IF(K67&lt;0,"OVERDUE",IF(AND(K67="",O67&lt;0),"OVERDUE","IN TIME")))</f>
        <v>IN TIME</v>
      </c>
      <c r="K67" s="13"/>
      <c r="L67" s="13"/>
      <c r="M67" s="13"/>
      <c r="N67" s="13"/>
      <c r="O67" s="13"/>
      <c r="P67" s="20"/>
      <c r="Q67" s="183"/>
      <c r="R67" s="184"/>
      <c r="S67" s="184"/>
      <c r="T67" s="184"/>
      <c r="U67" s="184"/>
      <c r="V67" s="184"/>
      <c r="W67" s="184"/>
      <c r="X67" s="184"/>
      <c r="Y67" s="184"/>
      <c r="Z67" s="184"/>
      <c r="AA67" s="184"/>
      <c r="AB67" s="184"/>
      <c r="AC67" s="27"/>
      <c r="AD67" s="27"/>
    </row>
    <row r="68" spans="1:30" ht="24.6" customHeight="1" x14ac:dyDescent="0.25">
      <c r="A68" s="15">
        <v>303</v>
      </c>
      <c r="B68" s="11"/>
      <c r="C68" s="16" t="s">
        <v>610</v>
      </c>
      <c r="D68" s="13" t="s">
        <v>37</v>
      </c>
      <c r="E68" s="13" t="s">
        <v>622</v>
      </c>
      <c r="F68" s="14"/>
      <c r="G68" s="14"/>
      <c r="H68" s="14"/>
      <c r="I68" s="14">
        <v>44214</v>
      </c>
      <c r="J68" s="13" t="str">
        <f t="shared" ref="J68" ca="1" si="182">IF(AND(I68&lt;=$C$2,I68&lt;&gt;0),"DONE",IF(K68&lt;0,"OVERDUE",IF(AND(K68="",O68&lt;0),"OVERDUE","IN TIME")))</f>
        <v>DONE</v>
      </c>
      <c r="K68" s="13"/>
      <c r="L68" s="13"/>
      <c r="M68" s="13"/>
      <c r="N68" s="13"/>
      <c r="O68" s="13"/>
      <c r="P68" s="20" t="s">
        <v>625</v>
      </c>
      <c r="Q68" s="183"/>
      <c r="R68" s="184"/>
      <c r="S68" s="184"/>
      <c r="T68" s="184"/>
      <c r="U68" s="184"/>
      <c r="V68" s="184"/>
      <c r="W68" s="184"/>
      <c r="X68" s="184"/>
      <c r="Y68" s="184"/>
      <c r="Z68" s="184"/>
      <c r="AA68" s="184"/>
      <c r="AB68" s="184"/>
      <c r="AC68" s="27"/>
      <c r="AD68" s="27"/>
    </row>
    <row r="69" spans="1:30" ht="24.6" customHeight="1" x14ac:dyDescent="0.25">
      <c r="A69" s="15">
        <v>304</v>
      </c>
      <c r="B69" s="11"/>
      <c r="C69" s="16" t="s">
        <v>611</v>
      </c>
      <c r="D69" s="13" t="s">
        <v>37</v>
      </c>
      <c r="E69" s="13" t="s">
        <v>615</v>
      </c>
      <c r="F69" s="14"/>
      <c r="G69" s="14"/>
      <c r="H69" s="14"/>
      <c r="I69" s="14">
        <v>44196</v>
      </c>
      <c r="J69" s="13" t="str">
        <f t="shared" ref="J69" ca="1" si="183">IF(AND(I69&lt;=$C$2,I69&lt;&gt;0),"DONE",IF(K69&lt;0,"OVERDUE",IF(AND(K69="",O69&lt;0),"OVERDUE","IN TIME")))</f>
        <v>DONE</v>
      </c>
      <c r="K69" s="13"/>
      <c r="L69" s="13"/>
      <c r="M69" s="13"/>
      <c r="N69" s="13"/>
      <c r="O69" s="13"/>
      <c r="P69" s="20" t="s">
        <v>617</v>
      </c>
      <c r="Q69" s="183"/>
      <c r="R69" s="184"/>
      <c r="S69" s="184"/>
      <c r="T69" s="184"/>
      <c r="U69" s="184"/>
      <c r="V69" s="184"/>
      <c r="W69" s="184"/>
      <c r="X69" s="184"/>
      <c r="Y69" s="184"/>
      <c r="Z69" s="184"/>
      <c r="AA69" s="184"/>
      <c r="AB69" s="184"/>
      <c r="AC69" s="27"/>
      <c r="AD69" s="27"/>
    </row>
    <row r="70" spans="1:30" ht="24.6" customHeight="1" x14ac:dyDescent="0.25">
      <c r="A70" s="15">
        <v>305</v>
      </c>
      <c r="B70" s="11"/>
      <c r="C70" s="16" t="s">
        <v>612</v>
      </c>
      <c r="D70" s="13"/>
      <c r="E70" s="13" t="s">
        <v>630</v>
      </c>
      <c r="F70" s="14"/>
      <c r="G70" s="14"/>
      <c r="H70" s="14"/>
      <c r="I70" s="14"/>
      <c r="J70" s="13" t="str">
        <f t="shared" ref="J70" ca="1" si="184">IF(AND(I70&lt;=$C$2,I70&lt;&gt;0),"DONE",IF(K70&lt;0,"OVERDUE",IF(AND(K70="",O70&lt;0),"OVERDUE","IN TIME")))</f>
        <v>IN TIME</v>
      </c>
      <c r="K70" s="13"/>
      <c r="L70" s="13"/>
      <c r="M70" s="13"/>
      <c r="N70" s="13"/>
      <c r="O70" s="13"/>
      <c r="P70" s="20"/>
      <c r="Q70" s="183"/>
      <c r="R70" s="184"/>
      <c r="S70" s="184"/>
      <c r="T70" s="184"/>
      <c r="U70" s="184"/>
      <c r="V70" s="184"/>
      <c r="W70" s="184"/>
      <c r="X70" s="184"/>
      <c r="Y70" s="184"/>
      <c r="Z70" s="184"/>
      <c r="AA70" s="184"/>
      <c r="AB70" s="184"/>
      <c r="AC70" s="27"/>
      <c r="AD70" s="27"/>
    </row>
    <row r="71" spans="1:30" ht="55.5" customHeight="1" x14ac:dyDescent="0.25">
      <c r="A71" s="15">
        <v>306</v>
      </c>
      <c r="B71" s="11"/>
      <c r="C71" s="16" t="s">
        <v>613</v>
      </c>
      <c r="D71" s="13"/>
      <c r="E71" s="13" t="s">
        <v>630</v>
      </c>
      <c r="F71" s="14"/>
      <c r="G71" s="14"/>
      <c r="H71" s="14"/>
      <c r="I71" s="14"/>
      <c r="J71" s="13" t="str">
        <f t="shared" ref="J71" ca="1" si="185">IF(AND(I71&lt;=$C$2,I71&lt;&gt;0),"DONE",IF(K71&lt;0,"OVERDUE",IF(AND(K71="",O71&lt;0),"OVERDUE","IN TIME")))</f>
        <v>IN TIME</v>
      </c>
      <c r="K71" s="13"/>
      <c r="L71" s="13"/>
      <c r="M71" s="13"/>
      <c r="N71" s="13"/>
      <c r="O71" s="13"/>
      <c r="P71" s="20" t="s">
        <v>618</v>
      </c>
      <c r="Q71" s="183"/>
      <c r="R71" s="184"/>
      <c r="S71" s="184"/>
      <c r="T71" s="184"/>
      <c r="U71" s="184"/>
      <c r="V71" s="184"/>
      <c r="W71" s="184"/>
      <c r="X71" s="184"/>
      <c r="Y71" s="184"/>
      <c r="Z71" s="184"/>
      <c r="AA71" s="184"/>
      <c r="AB71" s="184"/>
      <c r="AC71" s="27"/>
      <c r="AD71" s="27"/>
    </row>
    <row r="72" spans="1:30" ht="24.6" customHeight="1" x14ac:dyDescent="0.25">
      <c r="A72" s="15">
        <v>307</v>
      </c>
      <c r="B72" s="11"/>
      <c r="C72" s="16" t="s">
        <v>614</v>
      </c>
      <c r="D72" s="13" t="s">
        <v>37</v>
      </c>
      <c r="E72" s="13" t="s">
        <v>365</v>
      </c>
      <c r="F72" s="14"/>
      <c r="G72" s="14"/>
      <c r="H72" s="14"/>
      <c r="I72" s="14">
        <v>44196</v>
      </c>
      <c r="J72" s="13" t="str">
        <f t="shared" ref="J72" ca="1" si="186">IF(AND(I72&lt;=$C$2,I72&lt;&gt;0),"DONE",IF(K72&lt;0,"OVERDUE",IF(AND(K72="",O72&lt;0),"OVERDUE","IN TIME")))</f>
        <v>DONE</v>
      </c>
      <c r="K72" s="13"/>
      <c r="L72" s="13"/>
      <c r="M72" s="13"/>
      <c r="N72" s="13"/>
      <c r="O72" s="13"/>
      <c r="P72" s="20" t="s">
        <v>619</v>
      </c>
      <c r="Q72" s="185"/>
      <c r="R72" s="186"/>
      <c r="S72" s="186"/>
      <c r="T72" s="186"/>
      <c r="U72" s="186"/>
      <c r="V72" s="186"/>
      <c r="W72" s="186"/>
      <c r="X72" s="186"/>
      <c r="Y72" s="186"/>
      <c r="Z72" s="186"/>
      <c r="AA72" s="186"/>
      <c r="AB72" s="186"/>
      <c r="AC72" s="27"/>
      <c r="AD72" s="27"/>
    </row>
    <row r="73" spans="1:30" ht="24.6" customHeight="1" x14ac:dyDescent="0.25">
      <c r="A73" s="15">
        <v>308</v>
      </c>
      <c r="B73" s="11"/>
      <c r="C73" s="16" t="s">
        <v>623</v>
      </c>
      <c r="D73" s="13"/>
      <c r="E73" s="13"/>
      <c r="F73" s="14"/>
      <c r="G73" s="14"/>
      <c r="H73" s="14"/>
      <c r="I73" s="14">
        <v>44228</v>
      </c>
      <c r="J73" s="13" t="str">
        <f t="shared" ref="J73" ca="1" si="187">IF(AND(I73&lt;=$C$2,I73&lt;&gt;0),"DONE",IF(K73&lt;0,"OVERDUE",IF(AND(K73="",O73&lt;0),"OVERDUE","IN TIME")))</f>
        <v>DONE</v>
      </c>
      <c r="K73" s="13"/>
      <c r="L73" s="13"/>
      <c r="M73" s="13"/>
      <c r="N73" s="13"/>
      <c r="O73" s="13"/>
      <c r="P73" s="20" t="s">
        <v>633</v>
      </c>
      <c r="Q73" s="187"/>
      <c r="R73" s="188"/>
      <c r="S73" s="188"/>
      <c r="T73" s="188"/>
      <c r="U73" s="188"/>
      <c r="V73" s="188"/>
      <c r="W73" s="188"/>
      <c r="X73" s="188"/>
      <c r="Y73" s="188"/>
      <c r="Z73" s="188"/>
      <c r="AA73" s="188"/>
      <c r="AB73" s="188"/>
      <c r="AC73" s="27"/>
      <c r="AD73" s="27"/>
    </row>
    <row r="74" spans="1:30" ht="38.25" customHeight="1" x14ac:dyDescent="0.25">
      <c r="A74" s="15">
        <v>309</v>
      </c>
      <c r="B74" s="11"/>
      <c r="C74" s="16" t="s">
        <v>626</v>
      </c>
      <c r="D74" s="13" t="s">
        <v>24</v>
      </c>
      <c r="E74" s="13" t="s">
        <v>627</v>
      </c>
      <c r="F74" s="14">
        <v>43848</v>
      </c>
      <c r="G74" s="14"/>
      <c r="H74" s="14"/>
      <c r="I74" s="14"/>
      <c r="J74" s="13" t="str">
        <f t="shared" ref="J74" ca="1" si="188">IF(AND(I74&lt;=$C$2,I74&lt;&gt;0),"DONE",IF(K74&lt;0,"OVERDUE",IF(AND(K74="",O74&lt;0),"OVERDUE","IN TIME")))</f>
        <v>IN TIME</v>
      </c>
      <c r="K74" s="13"/>
      <c r="L74" s="13"/>
      <c r="M74" s="13"/>
      <c r="N74" s="13"/>
      <c r="O74" s="13"/>
      <c r="P74" s="20" t="s">
        <v>650</v>
      </c>
      <c r="Q74" s="189"/>
      <c r="R74" s="190"/>
      <c r="S74" s="190"/>
      <c r="T74" s="190"/>
      <c r="U74" s="190"/>
      <c r="V74" s="190"/>
      <c r="W74" s="190"/>
      <c r="X74" s="190"/>
      <c r="Y74" s="190"/>
      <c r="Z74" s="190"/>
      <c r="AA74" s="190"/>
      <c r="AB74" s="190"/>
      <c r="AC74" s="27"/>
      <c r="AD74" s="27"/>
    </row>
    <row r="75" spans="1:30" ht="24.6" customHeight="1" x14ac:dyDescent="0.25">
      <c r="A75" s="15">
        <v>310</v>
      </c>
      <c r="B75" s="11"/>
      <c r="C75" s="16" t="s">
        <v>628</v>
      </c>
      <c r="D75" s="13" t="s">
        <v>24</v>
      </c>
      <c r="E75" s="13" t="s">
        <v>629</v>
      </c>
      <c r="F75" s="14"/>
      <c r="G75" s="14"/>
      <c r="H75" s="14"/>
      <c r="I75" s="14">
        <v>44228</v>
      </c>
      <c r="J75" s="13" t="str">
        <f t="shared" ref="J75" ca="1" si="189">IF(AND(I75&lt;=$C$2,I75&lt;&gt;0),"DONE",IF(K75&lt;0,"OVERDUE",IF(AND(K75="",O75&lt;0),"OVERDUE","IN TIME")))</f>
        <v>DONE</v>
      </c>
      <c r="K75" s="13"/>
      <c r="L75" s="13"/>
      <c r="M75" s="13"/>
      <c r="N75" s="13"/>
      <c r="O75" s="13"/>
      <c r="P75" s="20" t="s">
        <v>632</v>
      </c>
      <c r="Q75" s="189"/>
      <c r="R75" s="190"/>
      <c r="S75" s="190"/>
      <c r="T75" s="190"/>
      <c r="U75" s="190"/>
      <c r="V75" s="190"/>
      <c r="W75" s="190"/>
      <c r="X75" s="190"/>
      <c r="Y75" s="190"/>
      <c r="Z75" s="190"/>
      <c r="AA75" s="190"/>
      <c r="AB75" s="190"/>
      <c r="AC75" s="27"/>
      <c r="AD75" s="27"/>
    </row>
    <row r="76" spans="1:30" ht="24.6" customHeight="1" x14ac:dyDescent="0.25">
      <c r="A76" s="15">
        <v>311</v>
      </c>
      <c r="B76" s="11"/>
      <c r="C76" s="16" t="s">
        <v>634</v>
      </c>
      <c r="D76" s="13"/>
      <c r="E76" s="13"/>
      <c r="F76" s="14"/>
      <c r="G76" s="14"/>
      <c r="H76" s="14"/>
      <c r="I76" s="14"/>
      <c r="J76" s="13" t="str">
        <f t="shared" ref="J76" ca="1" si="190">IF(AND(I76&lt;=$C$2,I76&lt;&gt;0),"DONE",IF(K76&lt;0,"OVERDUE",IF(AND(K76="",O76&lt;0),"OVERDUE","IN TIME")))</f>
        <v>IN TIME</v>
      </c>
      <c r="K76" s="13"/>
      <c r="L76" s="13"/>
      <c r="M76" s="13"/>
      <c r="N76" s="13"/>
      <c r="O76" s="13"/>
      <c r="P76" s="20"/>
      <c r="Q76" s="191"/>
      <c r="R76" s="192"/>
      <c r="S76" s="192"/>
      <c r="T76" s="192"/>
      <c r="U76" s="192"/>
      <c r="V76" s="192"/>
      <c r="W76" s="192"/>
      <c r="X76" s="192"/>
      <c r="Y76" s="192"/>
      <c r="Z76" s="192"/>
      <c r="AA76" s="192"/>
      <c r="AB76" s="192"/>
      <c r="AC76" s="27"/>
      <c r="AD76" s="27"/>
    </row>
    <row r="77" spans="1:30" ht="24.6" customHeight="1" x14ac:dyDescent="0.25">
      <c r="A77" s="15">
        <v>312</v>
      </c>
      <c r="B77" s="11"/>
      <c r="C77" s="16"/>
      <c r="D77" s="13"/>
      <c r="E77" s="13"/>
      <c r="F77" s="14"/>
      <c r="G77" s="14"/>
      <c r="H77" s="14"/>
      <c r="I77" s="14"/>
      <c r="J77" s="13" t="str">
        <f t="shared" ref="J77" ca="1" si="191">IF(AND(I77&lt;=$C$2,I77&lt;&gt;0),"DONE",IF(K77&lt;0,"OVERDUE",IF(AND(K77="",O77&lt;0),"OVERDUE","IN TIME")))</f>
        <v>IN TIME</v>
      </c>
      <c r="K77" s="13"/>
      <c r="L77" s="13"/>
      <c r="M77" s="13"/>
      <c r="N77" s="13"/>
      <c r="O77" s="13"/>
      <c r="P77" s="20"/>
      <c r="Q77" s="193"/>
      <c r="R77" s="194"/>
      <c r="S77" s="194"/>
      <c r="T77" s="194"/>
      <c r="U77" s="194"/>
      <c r="V77" s="194"/>
      <c r="W77" s="194"/>
      <c r="X77" s="194"/>
      <c r="Y77" s="194"/>
      <c r="Z77" s="194"/>
      <c r="AA77" s="194"/>
      <c r="AB77" s="194"/>
      <c r="AC77" s="27"/>
      <c r="AD77" s="27"/>
    </row>
    <row r="78" spans="1:30" ht="50.25" customHeight="1" x14ac:dyDescent="0.25">
      <c r="A78" s="15">
        <v>313</v>
      </c>
      <c r="B78" s="11"/>
      <c r="C78" s="16" t="s">
        <v>662</v>
      </c>
      <c r="D78" s="13" t="s">
        <v>37</v>
      </c>
      <c r="E78" s="13" t="s">
        <v>663</v>
      </c>
      <c r="F78" s="14">
        <v>44347</v>
      </c>
      <c r="G78" s="14">
        <v>44358</v>
      </c>
      <c r="H78" s="14"/>
      <c r="I78" s="14"/>
      <c r="J78" s="13" t="str">
        <f t="shared" ref="J78" ca="1" si="192">IF(AND(I78&lt;=$C$2,I78&lt;&gt;0),"DONE",IF(K78&lt;0,"OVERDUE",IF(AND(K78="",O78&lt;0),"OVERDUE","IN TIME")))</f>
        <v>IN TIME</v>
      </c>
      <c r="K78" s="13"/>
      <c r="L78" s="13"/>
      <c r="M78" s="13"/>
      <c r="N78" s="13"/>
      <c r="O78" s="13"/>
      <c r="P78" s="20" t="s">
        <v>664</v>
      </c>
      <c r="Q78" s="199"/>
      <c r="R78" s="200"/>
      <c r="S78" s="200"/>
      <c r="T78" s="200"/>
      <c r="U78" s="200"/>
      <c r="V78" s="200"/>
      <c r="W78" s="200"/>
      <c r="X78" s="200"/>
      <c r="Y78" s="200"/>
      <c r="Z78" s="200"/>
      <c r="AA78" s="200"/>
      <c r="AB78" s="200"/>
      <c r="AC78" s="27"/>
      <c r="AD78" s="27"/>
    </row>
    <row r="79" spans="1:30" ht="24.6" customHeight="1" x14ac:dyDescent="0.25">
      <c r="A79" s="15">
        <v>314</v>
      </c>
      <c r="B79" s="11"/>
      <c r="C79" s="16"/>
      <c r="D79" s="13"/>
      <c r="E79" s="13"/>
      <c r="F79" s="14"/>
      <c r="G79" s="14"/>
      <c r="H79" s="14"/>
      <c r="I79" s="14"/>
      <c r="J79" s="13" t="str">
        <f t="shared" ref="J79" ca="1" si="193">IF(AND(I79&lt;=$C$2,I79&lt;&gt;0),"DONE",IF(K79&lt;0,"OVERDUE",IF(AND(K79="",O79&lt;0),"OVERDUE","IN TIME")))</f>
        <v>IN TIME</v>
      </c>
      <c r="K79" s="13"/>
      <c r="L79" s="13"/>
      <c r="M79" s="13"/>
      <c r="N79" s="13"/>
      <c r="O79" s="13"/>
      <c r="P79" s="20"/>
      <c r="Q79" s="199"/>
      <c r="R79" s="200"/>
      <c r="S79" s="200"/>
      <c r="T79" s="200"/>
      <c r="U79" s="200"/>
      <c r="V79" s="200"/>
      <c r="W79" s="200"/>
      <c r="X79" s="200"/>
      <c r="Y79" s="200"/>
      <c r="Z79" s="200"/>
      <c r="AA79" s="200"/>
      <c r="AB79" s="200"/>
      <c r="AC79" s="27"/>
      <c r="AD79" s="27"/>
    </row>
    <row r="80" spans="1:30" ht="24.6" customHeight="1" x14ac:dyDescent="0.25">
      <c r="A80" s="15">
        <v>315</v>
      </c>
      <c r="B80" s="11"/>
      <c r="C80" s="205" t="s">
        <v>682</v>
      </c>
      <c r="D80" s="13" t="s">
        <v>24</v>
      </c>
      <c r="E80" s="13" t="s">
        <v>665</v>
      </c>
      <c r="F80" s="14">
        <v>44347</v>
      </c>
      <c r="G80" s="14">
        <v>44361</v>
      </c>
      <c r="H80" s="14"/>
      <c r="I80" s="14"/>
      <c r="J80" s="13" t="str">
        <f t="shared" ref="J80" ca="1" si="194">IF(AND(I80&lt;=$C$2,I80&lt;&gt;0),"DONE",IF(K80&lt;0,"OVERDUE",IF(AND(K80="",O80&lt;0),"OVERDUE","IN TIME")))</f>
        <v>IN TIME</v>
      </c>
      <c r="K80" s="13"/>
      <c r="L80" s="13"/>
      <c r="M80" s="13"/>
      <c r="N80" s="13"/>
      <c r="O80" s="13"/>
      <c r="P80" s="20" t="s">
        <v>672</v>
      </c>
      <c r="Q80" s="199"/>
      <c r="R80" s="200"/>
      <c r="S80" s="200"/>
      <c r="T80" s="200"/>
      <c r="U80" s="200"/>
      <c r="V80" s="200"/>
      <c r="W80" s="200"/>
      <c r="X80" s="200"/>
      <c r="Y80" s="200"/>
      <c r="Z80" s="200"/>
      <c r="AA80" s="200"/>
      <c r="AB80" s="200"/>
      <c r="AC80" s="27"/>
      <c r="AD80" s="27"/>
    </row>
    <row r="81" spans="1:30" ht="24.6" customHeight="1" x14ac:dyDescent="0.25">
      <c r="A81" s="15">
        <v>316</v>
      </c>
      <c r="B81" s="11"/>
      <c r="C81" s="16" t="s">
        <v>666</v>
      </c>
      <c r="D81" s="13"/>
      <c r="E81" s="13" t="s">
        <v>358</v>
      </c>
      <c r="F81" s="14">
        <v>44010</v>
      </c>
      <c r="G81" s="14">
        <v>44021</v>
      </c>
      <c r="H81" s="14"/>
      <c r="I81" s="14"/>
      <c r="J81" s="13" t="str">
        <f t="shared" ref="J81" ca="1" si="195">IF(AND(I81&lt;=$C$2,I81&lt;&gt;0),"DONE",IF(K81&lt;0,"OVERDUE",IF(AND(K81="",O81&lt;0),"OVERDUE","IN TIME")))</f>
        <v>IN TIME</v>
      </c>
      <c r="K81" s="13"/>
      <c r="L81" s="13"/>
      <c r="M81" s="13"/>
      <c r="N81" s="13"/>
      <c r="O81" s="13"/>
      <c r="P81" s="20" t="s">
        <v>673</v>
      </c>
      <c r="Q81" s="199"/>
      <c r="R81" s="200"/>
      <c r="S81" s="200"/>
      <c r="T81" s="200"/>
      <c r="U81" s="200"/>
      <c r="V81" s="200"/>
      <c r="W81" s="200"/>
      <c r="X81" s="200"/>
      <c r="Y81" s="200"/>
      <c r="Z81" s="200"/>
      <c r="AA81" s="200"/>
      <c r="AB81" s="200"/>
      <c r="AC81" s="27"/>
      <c r="AD81" s="27"/>
    </row>
    <row r="82" spans="1:30" ht="24.6" customHeight="1" x14ac:dyDescent="0.25">
      <c r="A82" s="15">
        <v>317</v>
      </c>
      <c r="B82" s="11"/>
      <c r="C82" s="16" t="s">
        <v>667</v>
      </c>
      <c r="D82" s="13"/>
      <c r="E82" s="13"/>
      <c r="F82" s="14"/>
      <c r="G82" s="14"/>
      <c r="H82" s="14"/>
      <c r="I82" s="14"/>
      <c r="J82" s="13" t="str">
        <f t="shared" ref="J82" ca="1" si="196">IF(AND(I82&lt;=$C$2,I82&lt;&gt;0),"DONE",IF(K82&lt;0,"OVERDUE",IF(AND(K82="",O82&lt;0),"OVERDUE","IN TIME")))</f>
        <v>IN TIME</v>
      </c>
      <c r="K82" s="13"/>
      <c r="L82" s="13"/>
      <c r="M82" s="13"/>
      <c r="N82" s="13"/>
      <c r="O82" s="13"/>
      <c r="P82" s="20"/>
      <c r="Q82" s="201"/>
      <c r="R82" s="202"/>
      <c r="S82" s="202"/>
      <c r="T82" s="202"/>
      <c r="U82" s="202"/>
      <c r="V82" s="202"/>
      <c r="W82" s="202"/>
      <c r="X82" s="202"/>
      <c r="Y82" s="202"/>
      <c r="Z82" s="202"/>
      <c r="AA82" s="202"/>
      <c r="AB82" s="202"/>
      <c r="AC82" s="27"/>
      <c r="AD82" s="27"/>
    </row>
    <row r="83" spans="1:30" ht="24.6" customHeight="1" x14ac:dyDescent="0.25">
      <c r="A83" s="15">
        <v>318</v>
      </c>
      <c r="B83" s="11"/>
      <c r="C83" s="16" t="s">
        <v>668</v>
      </c>
      <c r="D83" s="13"/>
      <c r="E83" s="13" t="s">
        <v>675</v>
      </c>
      <c r="F83" s="14">
        <v>44010</v>
      </c>
      <c r="G83" s="14">
        <v>44021</v>
      </c>
      <c r="H83" s="14"/>
      <c r="I83" s="14"/>
      <c r="J83" s="13" t="str">
        <f t="shared" ref="J83" ca="1" si="197">IF(AND(I83&lt;=$C$2,I83&lt;&gt;0),"DONE",IF(K83&lt;0,"OVERDUE",IF(AND(K83="",O83&lt;0),"OVERDUE","IN TIME")))</f>
        <v>IN TIME</v>
      </c>
      <c r="K83" s="13"/>
      <c r="L83" s="13"/>
      <c r="M83" s="13"/>
      <c r="N83" s="13"/>
      <c r="O83" s="13"/>
      <c r="P83" s="20" t="s">
        <v>674</v>
      </c>
      <c r="Q83" s="201"/>
      <c r="R83" s="202"/>
      <c r="S83" s="202"/>
      <c r="T83" s="202"/>
      <c r="U83" s="202"/>
      <c r="V83" s="202"/>
      <c r="W83" s="202"/>
      <c r="X83" s="202"/>
      <c r="Y83" s="202"/>
      <c r="Z83" s="202"/>
      <c r="AA83" s="202"/>
      <c r="AB83" s="202"/>
      <c r="AC83" s="27"/>
      <c r="AD83" s="27"/>
    </row>
    <row r="84" spans="1:30" ht="24.6" customHeight="1" x14ac:dyDescent="0.25">
      <c r="A84" s="15">
        <v>319</v>
      </c>
      <c r="B84" s="11"/>
      <c r="C84" s="16" t="s">
        <v>669</v>
      </c>
      <c r="D84" s="13"/>
      <c r="E84" s="13"/>
      <c r="F84" s="14"/>
      <c r="G84" s="14"/>
      <c r="H84" s="14"/>
      <c r="I84" s="14"/>
      <c r="J84" s="13" t="str">
        <f t="shared" ref="J84" ca="1" si="198">IF(AND(I84&lt;=$C$2,I84&lt;&gt;0),"DONE",IF(K84&lt;0,"OVERDUE",IF(AND(K84="",O84&lt;0),"OVERDUE","IN TIME")))</f>
        <v>IN TIME</v>
      </c>
      <c r="K84" s="13"/>
      <c r="L84" s="13"/>
      <c r="M84" s="13"/>
      <c r="N84" s="13"/>
      <c r="O84" s="13"/>
      <c r="P84" s="20"/>
      <c r="Q84" s="201"/>
      <c r="R84" s="202"/>
      <c r="S84" s="202"/>
      <c r="T84" s="202"/>
      <c r="U84" s="202"/>
      <c r="V84" s="202"/>
      <c r="W84" s="202"/>
      <c r="X84" s="202"/>
      <c r="Y84" s="202"/>
      <c r="Z84" s="202"/>
      <c r="AA84" s="202"/>
      <c r="AB84" s="202"/>
      <c r="AC84" s="27"/>
      <c r="AD84" s="27"/>
    </row>
    <row r="85" spans="1:30" ht="24.6" customHeight="1" x14ac:dyDescent="0.25">
      <c r="A85" s="15">
        <v>320</v>
      </c>
      <c r="B85" s="11"/>
      <c r="C85" s="16" t="s">
        <v>670</v>
      </c>
      <c r="D85" s="13"/>
      <c r="E85" s="13"/>
      <c r="F85" s="14"/>
      <c r="G85" s="14"/>
      <c r="H85" s="14"/>
      <c r="I85" s="14"/>
      <c r="J85" s="13" t="str">
        <f t="shared" ref="J85" ca="1" si="199">IF(AND(I85&lt;=$C$2,I85&lt;&gt;0),"DONE",IF(K85&lt;0,"OVERDUE",IF(AND(K85="",O85&lt;0),"OVERDUE","IN TIME")))</f>
        <v>IN TIME</v>
      </c>
      <c r="K85" s="13"/>
      <c r="L85" s="13"/>
      <c r="M85" s="13"/>
      <c r="N85" s="13"/>
      <c r="O85" s="13"/>
      <c r="P85" s="20"/>
      <c r="Q85" s="201"/>
      <c r="R85" s="202"/>
      <c r="S85" s="202"/>
      <c r="T85" s="202"/>
      <c r="U85" s="202"/>
      <c r="V85" s="202"/>
      <c r="W85" s="202"/>
      <c r="X85" s="202"/>
      <c r="Y85" s="202"/>
      <c r="Z85" s="202"/>
      <c r="AA85" s="202"/>
      <c r="AB85" s="202"/>
      <c r="AC85" s="27"/>
      <c r="AD85" s="27"/>
    </row>
    <row r="86" spans="1:30" ht="24.6" customHeight="1" x14ac:dyDescent="0.25">
      <c r="A86" s="15">
        <v>321</v>
      </c>
      <c r="B86" s="11"/>
      <c r="C86" s="16" t="s">
        <v>680</v>
      </c>
      <c r="D86" s="13" t="s">
        <v>24</v>
      </c>
      <c r="E86" s="13" t="s">
        <v>358</v>
      </c>
      <c r="F86" s="14">
        <v>44003</v>
      </c>
      <c r="G86" s="14">
        <v>44021</v>
      </c>
      <c r="H86" s="14"/>
      <c r="I86" s="14"/>
      <c r="J86" s="13" t="str">
        <f t="shared" ref="J86:J87" ca="1" si="200">IF(AND(I86&lt;=$C$2,I86&lt;&gt;0),"DONE",IF(K86&lt;0,"OVERDUE",IF(AND(K86="",O86&lt;0),"OVERDUE","IN TIME")))</f>
        <v>IN TIME</v>
      </c>
      <c r="K86" s="13"/>
      <c r="L86" s="13"/>
      <c r="M86" s="13"/>
      <c r="N86" s="13"/>
      <c r="O86" s="13"/>
      <c r="P86" s="20" t="s">
        <v>681</v>
      </c>
      <c r="Q86" s="201"/>
      <c r="R86" s="202"/>
      <c r="S86" s="202"/>
      <c r="T86" s="202"/>
      <c r="U86" s="202"/>
      <c r="V86" s="202"/>
      <c r="W86" s="202"/>
      <c r="X86" s="202"/>
      <c r="Y86" s="202"/>
      <c r="Z86" s="202"/>
      <c r="AA86" s="202"/>
      <c r="AB86" s="202"/>
      <c r="AC86" s="27"/>
      <c r="AD86" s="27"/>
    </row>
    <row r="87" spans="1:30" ht="24.45" customHeight="1" x14ac:dyDescent="0.25">
      <c r="A87" s="15">
        <v>322</v>
      </c>
      <c r="B87" s="11"/>
      <c r="C87" s="16" t="s">
        <v>684</v>
      </c>
      <c r="D87" s="13" t="s">
        <v>24</v>
      </c>
      <c r="E87" s="13" t="s">
        <v>358</v>
      </c>
      <c r="F87" s="14">
        <v>44003</v>
      </c>
      <c r="G87" s="14">
        <v>44014</v>
      </c>
      <c r="H87" s="14"/>
      <c r="I87" s="14"/>
      <c r="J87" s="13" t="str">
        <f t="shared" ca="1" si="200"/>
        <v>IN TIME</v>
      </c>
      <c r="K87" s="13"/>
      <c r="L87" s="13"/>
      <c r="M87" s="13"/>
      <c r="N87" s="13"/>
      <c r="O87" s="13"/>
      <c r="P87" s="20" t="s">
        <v>685</v>
      </c>
      <c r="Q87" s="203"/>
      <c r="R87" s="204"/>
      <c r="S87" s="204"/>
      <c r="T87" s="204"/>
      <c r="U87" s="204"/>
      <c r="V87" s="204"/>
      <c r="W87" s="204"/>
      <c r="X87" s="204"/>
      <c r="Y87" s="204"/>
      <c r="Z87" s="204"/>
      <c r="AA87" s="204"/>
      <c r="AB87" s="204"/>
      <c r="AC87" s="27"/>
      <c r="AD87" s="27"/>
    </row>
    <row r="88" spans="1:30" ht="24.45" customHeight="1" x14ac:dyDescent="0.25">
      <c r="A88" s="15">
        <v>323</v>
      </c>
      <c r="B88" s="11"/>
      <c r="C88" s="16"/>
      <c r="D88" s="13"/>
      <c r="E88" s="13"/>
      <c r="F88" s="14"/>
      <c r="G88" s="14"/>
      <c r="H88" s="14"/>
      <c r="I88" s="14"/>
      <c r="J88" s="13"/>
      <c r="K88" s="13"/>
      <c r="L88" s="13"/>
      <c r="M88" s="13"/>
      <c r="N88" s="13"/>
      <c r="O88" s="13"/>
      <c r="P88" s="20"/>
      <c r="Q88" s="203"/>
      <c r="R88" s="204"/>
      <c r="S88" s="204"/>
      <c r="T88" s="204"/>
      <c r="U88" s="204"/>
      <c r="V88" s="204"/>
      <c r="W88" s="204"/>
      <c r="X88" s="204"/>
      <c r="Y88" s="204"/>
      <c r="Z88" s="204"/>
      <c r="AA88" s="204"/>
      <c r="AB88" s="204"/>
      <c r="AC88" s="27"/>
      <c r="AD88" s="27"/>
    </row>
  </sheetData>
  <autoFilter ref="A3:P30"/>
  <mergeCells count="3">
    <mergeCell ref="A1:P1"/>
    <mergeCell ref="A2:B2"/>
    <mergeCell ref="Q3:AB14"/>
  </mergeCells>
  <phoneticPr fontId="34" type="noConversion"/>
  <conditionalFormatting sqref="J4">
    <cfRule type="cellIs" dxfId="503" priority="277" operator="equal">
      <formula>"OVERDUE"</formula>
    </cfRule>
    <cfRule type="cellIs" dxfId="502" priority="278" operator="equal">
      <formula>"DONE"</formula>
    </cfRule>
    <cfRule type="cellIs" dxfId="501" priority="279" operator="equal">
      <formula>"DONE"</formula>
    </cfRule>
  </conditionalFormatting>
  <conditionalFormatting sqref="J5">
    <cfRule type="cellIs" dxfId="500" priority="274" operator="equal">
      <formula>"OVERDUE"</formula>
    </cfRule>
    <cfRule type="cellIs" dxfId="499" priority="275" operator="equal">
      <formula>"DONE"</formula>
    </cfRule>
    <cfRule type="cellIs" dxfId="498" priority="276" operator="equal">
      <formula>"DONE"</formula>
    </cfRule>
  </conditionalFormatting>
  <conditionalFormatting sqref="J6">
    <cfRule type="cellIs" dxfId="497" priority="271" operator="equal">
      <formula>"OVERDUE"</formula>
    </cfRule>
    <cfRule type="cellIs" dxfId="496" priority="272" operator="equal">
      <formula>"DONE"</formula>
    </cfRule>
    <cfRule type="cellIs" dxfId="495" priority="273" operator="equal">
      <formula>"DONE"</formula>
    </cfRule>
  </conditionalFormatting>
  <conditionalFormatting sqref="J7">
    <cfRule type="cellIs" dxfId="494" priority="268" operator="equal">
      <formula>"OVERDUE"</formula>
    </cfRule>
    <cfRule type="cellIs" dxfId="493" priority="269" operator="equal">
      <formula>"DONE"</formula>
    </cfRule>
    <cfRule type="cellIs" dxfId="492" priority="270" operator="equal">
      <formula>"DONE"</formula>
    </cfRule>
  </conditionalFormatting>
  <conditionalFormatting sqref="J8">
    <cfRule type="cellIs" dxfId="491" priority="265" operator="equal">
      <formula>"OVERDUE"</formula>
    </cfRule>
    <cfRule type="cellIs" dxfId="490" priority="266" operator="equal">
      <formula>"DONE"</formula>
    </cfRule>
    <cfRule type="cellIs" dxfId="489" priority="267" operator="equal">
      <formula>"DONE"</formula>
    </cfRule>
  </conditionalFormatting>
  <conditionalFormatting sqref="J9">
    <cfRule type="cellIs" dxfId="488" priority="262" operator="equal">
      <formula>"OVERDUE"</formula>
    </cfRule>
    <cfRule type="cellIs" dxfId="487" priority="263" operator="equal">
      <formula>"DONE"</formula>
    </cfRule>
    <cfRule type="cellIs" dxfId="486" priority="264" operator="equal">
      <formula>"DONE"</formula>
    </cfRule>
  </conditionalFormatting>
  <conditionalFormatting sqref="J10">
    <cfRule type="cellIs" dxfId="485" priority="259" operator="equal">
      <formula>"OVERDUE"</formula>
    </cfRule>
    <cfRule type="cellIs" dxfId="484" priority="260" operator="equal">
      <formula>"DONE"</formula>
    </cfRule>
    <cfRule type="cellIs" dxfId="483" priority="261" operator="equal">
      <formula>"DONE"</formula>
    </cfRule>
  </conditionalFormatting>
  <conditionalFormatting sqref="J11">
    <cfRule type="cellIs" dxfId="482" priority="256" operator="equal">
      <formula>"OVERDUE"</formula>
    </cfRule>
    <cfRule type="cellIs" dxfId="481" priority="257" operator="equal">
      <formula>"DONE"</formula>
    </cfRule>
    <cfRule type="cellIs" dxfId="480" priority="258" operator="equal">
      <formula>"DONE"</formula>
    </cfRule>
  </conditionalFormatting>
  <conditionalFormatting sqref="J12">
    <cfRule type="cellIs" dxfId="479" priority="253" operator="equal">
      <formula>"OVERDUE"</formula>
    </cfRule>
    <cfRule type="cellIs" dxfId="478" priority="254" operator="equal">
      <formula>"DONE"</formula>
    </cfRule>
    <cfRule type="cellIs" dxfId="477" priority="255" operator="equal">
      <formula>"DONE"</formula>
    </cfRule>
  </conditionalFormatting>
  <conditionalFormatting sqref="J13">
    <cfRule type="cellIs" dxfId="476" priority="250" operator="equal">
      <formula>"OVERDUE"</formula>
    </cfRule>
    <cfRule type="cellIs" dxfId="475" priority="251" operator="equal">
      <formula>"DONE"</formula>
    </cfRule>
    <cfRule type="cellIs" dxfId="474" priority="252" operator="equal">
      <formula>"DONE"</formula>
    </cfRule>
  </conditionalFormatting>
  <conditionalFormatting sqref="J14">
    <cfRule type="cellIs" dxfId="473" priority="247" operator="equal">
      <formula>"OVERDUE"</formula>
    </cfRule>
    <cfRule type="cellIs" dxfId="472" priority="248" operator="equal">
      <formula>"DONE"</formula>
    </cfRule>
    <cfRule type="cellIs" dxfId="471" priority="249" operator="equal">
      <formula>"DONE"</formula>
    </cfRule>
  </conditionalFormatting>
  <conditionalFormatting sqref="J15">
    <cfRule type="cellIs" dxfId="470" priority="244" operator="equal">
      <formula>"OVERDUE"</formula>
    </cfRule>
    <cfRule type="cellIs" dxfId="469" priority="245" operator="equal">
      <formula>"DONE"</formula>
    </cfRule>
    <cfRule type="cellIs" dxfId="468" priority="246" operator="equal">
      <formula>"DONE"</formula>
    </cfRule>
  </conditionalFormatting>
  <conditionalFormatting sqref="J16">
    <cfRule type="cellIs" dxfId="467" priority="241" operator="equal">
      <formula>"OVERDUE"</formula>
    </cfRule>
    <cfRule type="cellIs" dxfId="466" priority="242" operator="equal">
      <formula>"DONE"</formula>
    </cfRule>
    <cfRule type="cellIs" dxfId="465" priority="243" operator="equal">
      <formula>"DONE"</formula>
    </cfRule>
  </conditionalFormatting>
  <conditionalFormatting sqref="J17">
    <cfRule type="cellIs" dxfId="464" priority="238" operator="equal">
      <formula>"OVERDUE"</formula>
    </cfRule>
    <cfRule type="cellIs" dxfId="463" priority="239" operator="equal">
      <formula>"DONE"</formula>
    </cfRule>
    <cfRule type="cellIs" dxfId="462" priority="240" operator="equal">
      <formula>"DONE"</formula>
    </cfRule>
  </conditionalFormatting>
  <conditionalFormatting sqref="J18">
    <cfRule type="cellIs" dxfId="461" priority="235" operator="equal">
      <formula>"OVERDUE"</formula>
    </cfRule>
    <cfRule type="cellIs" dxfId="460" priority="236" operator="equal">
      <formula>"DONE"</formula>
    </cfRule>
    <cfRule type="cellIs" dxfId="459" priority="237" operator="equal">
      <formula>"DONE"</formula>
    </cfRule>
  </conditionalFormatting>
  <conditionalFormatting sqref="J19">
    <cfRule type="cellIs" dxfId="458" priority="232" operator="equal">
      <formula>"OVERDUE"</formula>
    </cfRule>
    <cfRule type="cellIs" dxfId="457" priority="233" operator="equal">
      <formula>"DONE"</formula>
    </cfRule>
    <cfRule type="cellIs" dxfId="456" priority="234" operator="equal">
      <formula>"DONE"</formula>
    </cfRule>
  </conditionalFormatting>
  <conditionalFormatting sqref="J20">
    <cfRule type="cellIs" dxfId="455" priority="229" operator="equal">
      <formula>"OVERDUE"</formula>
    </cfRule>
    <cfRule type="cellIs" dxfId="454" priority="230" operator="equal">
      <formula>"DONE"</formula>
    </cfRule>
    <cfRule type="cellIs" dxfId="453" priority="231" operator="equal">
      <formula>"DONE"</formula>
    </cfRule>
  </conditionalFormatting>
  <conditionalFormatting sqref="J21">
    <cfRule type="cellIs" dxfId="452" priority="226" operator="equal">
      <formula>"OVERDUE"</formula>
    </cfRule>
    <cfRule type="cellIs" dxfId="451" priority="227" operator="equal">
      <formula>"DONE"</formula>
    </cfRule>
    <cfRule type="cellIs" dxfId="450" priority="228" operator="equal">
      <formula>"DONE"</formula>
    </cfRule>
  </conditionalFormatting>
  <conditionalFormatting sqref="J22">
    <cfRule type="cellIs" dxfId="449" priority="223" operator="equal">
      <formula>"OVERDUE"</formula>
    </cfRule>
    <cfRule type="cellIs" dxfId="448" priority="224" operator="equal">
      <formula>"DONE"</formula>
    </cfRule>
    <cfRule type="cellIs" dxfId="447" priority="225" operator="equal">
      <formula>"DONE"</formula>
    </cfRule>
  </conditionalFormatting>
  <conditionalFormatting sqref="J23">
    <cfRule type="cellIs" dxfId="446" priority="220" operator="equal">
      <formula>"OVERDUE"</formula>
    </cfRule>
    <cfRule type="cellIs" dxfId="445" priority="221" operator="equal">
      <formula>"DONE"</formula>
    </cfRule>
    <cfRule type="cellIs" dxfId="444" priority="222" operator="equal">
      <formula>"DONE"</formula>
    </cfRule>
  </conditionalFormatting>
  <conditionalFormatting sqref="J24">
    <cfRule type="cellIs" dxfId="443" priority="217" operator="equal">
      <formula>"OVERDUE"</formula>
    </cfRule>
    <cfRule type="cellIs" dxfId="442" priority="218" operator="equal">
      <formula>"DONE"</formula>
    </cfRule>
    <cfRule type="cellIs" dxfId="441" priority="219" operator="equal">
      <formula>"DONE"</formula>
    </cfRule>
  </conditionalFormatting>
  <conditionalFormatting sqref="J25">
    <cfRule type="cellIs" dxfId="440" priority="214" operator="equal">
      <formula>"OVERDUE"</formula>
    </cfRule>
    <cfRule type="cellIs" dxfId="439" priority="215" operator="equal">
      <formula>"DONE"</formula>
    </cfRule>
    <cfRule type="cellIs" dxfId="438" priority="216" operator="equal">
      <formula>"DONE"</formula>
    </cfRule>
  </conditionalFormatting>
  <conditionalFormatting sqref="J26">
    <cfRule type="cellIs" dxfId="437" priority="211" operator="equal">
      <formula>"OVERDUE"</formula>
    </cfRule>
    <cfRule type="cellIs" dxfId="436" priority="212" operator="equal">
      <formula>"DONE"</formula>
    </cfRule>
    <cfRule type="cellIs" dxfId="435" priority="213" operator="equal">
      <formula>"DONE"</formula>
    </cfRule>
  </conditionalFormatting>
  <conditionalFormatting sqref="J27">
    <cfRule type="cellIs" dxfId="434" priority="208" operator="equal">
      <formula>"OVERDUE"</formula>
    </cfRule>
    <cfRule type="cellIs" dxfId="433" priority="209" operator="equal">
      <formula>"DONE"</formula>
    </cfRule>
    <cfRule type="cellIs" dxfId="432" priority="210" operator="equal">
      <formula>"DONE"</formula>
    </cfRule>
  </conditionalFormatting>
  <conditionalFormatting sqref="J28">
    <cfRule type="cellIs" dxfId="431" priority="205" operator="equal">
      <formula>"OVERDUE"</formula>
    </cfRule>
    <cfRule type="cellIs" dxfId="430" priority="206" operator="equal">
      <formula>"DONE"</formula>
    </cfRule>
    <cfRule type="cellIs" dxfId="429" priority="207" operator="equal">
      <formula>"DONE"</formula>
    </cfRule>
  </conditionalFormatting>
  <conditionalFormatting sqref="J29">
    <cfRule type="cellIs" dxfId="428" priority="202" operator="equal">
      <formula>"OVERDUE"</formula>
    </cfRule>
    <cfRule type="cellIs" dxfId="427" priority="203" operator="equal">
      <formula>"DONE"</formula>
    </cfRule>
    <cfRule type="cellIs" dxfId="426" priority="204" operator="equal">
      <formula>"DONE"</formula>
    </cfRule>
  </conditionalFormatting>
  <conditionalFormatting sqref="J30">
    <cfRule type="cellIs" dxfId="425" priority="199" operator="equal">
      <formula>"OVERDUE"</formula>
    </cfRule>
    <cfRule type="cellIs" dxfId="424" priority="200" operator="equal">
      <formula>"DONE"</formula>
    </cfRule>
    <cfRule type="cellIs" dxfId="423" priority="201" operator="equal">
      <formula>"DONE"</formula>
    </cfRule>
  </conditionalFormatting>
  <conditionalFormatting sqref="J2:J3 J89:J1048576">
    <cfRule type="cellIs" dxfId="422" priority="298" operator="equal">
      <formula>"OVERDUE"</formula>
    </cfRule>
    <cfRule type="cellIs" dxfId="421" priority="299" operator="equal">
      <formula>"DONE"</formula>
    </cfRule>
    <cfRule type="cellIs" dxfId="420" priority="300" operator="equal">
      <formula>"DONE"</formula>
    </cfRule>
  </conditionalFormatting>
  <conditionalFormatting sqref="J31">
    <cfRule type="cellIs" dxfId="419" priority="196" operator="equal">
      <formula>"OVERDUE"</formula>
    </cfRule>
    <cfRule type="cellIs" dxfId="418" priority="197" operator="equal">
      <formula>"DONE"</formula>
    </cfRule>
    <cfRule type="cellIs" dxfId="417" priority="198" operator="equal">
      <formula>"DONE"</formula>
    </cfRule>
  </conditionalFormatting>
  <conditionalFormatting sqref="J32">
    <cfRule type="cellIs" dxfId="416" priority="193" operator="equal">
      <formula>"OVERDUE"</formula>
    </cfRule>
    <cfRule type="cellIs" dxfId="415" priority="194" operator="equal">
      <formula>"DONE"</formula>
    </cfRule>
    <cfRule type="cellIs" dxfId="414" priority="195" operator="equal">
      <formula>"DONE"</formula>
    </cfRule>
  </conditionalFormatting>
  <conditionalFormatting sqref="J33">
    <cfRule type="cellIs" dxfId="413" priority="190" operator="equal">
      <formula>"OVERDUE"</formula>
    </cfRule>
    <cfRule type="cellIs" dxfId="412" priority="191" operator="equal">
      <formula>"DONE"</formula>
    </cfRule>
    <cfRule type="cellIs" dxfId="411" priority="192" operator="equal">
      <formula>"DONE"</formula>
    </cfRule>
  </conditionalFormatting>
  <conditionalFormatting sqref="J34">
    <cfRule type="cellIs" dxfId="410" priority="187" operator="equal">
      <formula>"OVERDUE"</formula>
    </cfRule>
    <cfRule type="cellIs" dxfId="409" priority="188" operator="equal">
      <formula>"DONE"</formula>
    </cfRule>
    <cfRule type="cellIs" dxfId="408" priority="189" operator="equal">
      <formula>"DONE"</formula>
    </cfRule>
  </conditionalFormatting>
  <conditionalFormatting sqref="J35:J38">
    <cfRule type="cellIs" dxfId="407" priority="184" operator="equal">
      <formula>"OVERDUE"</formula>
    </cfRule>
    <cfRule type="cellIs" dxfId="406" priority="185" operator="equal">
      <formula>"DONE"</formula>
    </cfRule>
    <cfRule type="cellIs" dxfId="405" priority="186" operator="equal">
      <formula>"DONE"</formula>
    </cfRule>
  </conditionalFormatting>
  <conditionalFormatting sqref="J39">
    <cfRule type="cellIs" dxfId="404" priority="172" operator="equal">
      <formula>"OVERDUE"</formula>
    </cfRule>
    <cfRule type="cellIs" dxfId="403" priority="173" operator="equal">
      <formula>"DONE"</formula>
    </cfRule>
    <cfRule type="cellIs" dxfId="402" priority="174" operator="equal">
      <formula>"DONE"</formula>
    </cfRule>
  </conditionalFormatting>
  <conditionalFormatting sqref="J40">
    <cfRule type="cellIs" dxfId="401" priority="169" operator="equal">
      <formula>"OVERDUE"</formula>
    </cfRule>
    <cfRule type="cellIs" dxfId="400" priority="170" operator="equal">
      <formula>"DONE"</formula>
    </cfRule>
    <cfRule type="cellIs" dxfId="399" priority="171" operator="equal">
      <formula>"DONE"</formula>
    </cfRule>
  </conditionalFormatting>
  <conditionalFormatting sqref="J41">
    <cfRule type="cellIs" dxfId="398" priority="145" operator="equal">
      <formula>"OVERDUE"</formula>
    </cfRule>
    <cfRule type="cellIs" dxfId="397" priority="146" operator="equal">
      <formula>"DONE"</formula>
    </cfRule>
    <cfRule type="cellIs" dxfId="396" priority="147" operator="equal">
      <formula>"DONE"</formula>
    </cfRule>
  </conditionalFormatting>
  <conditionalFormatting sqref="J44">
    <cfRule type="cellIs" dxfId="395" priority="142" operator="equal">
      <formula>"OVERDUE"</formula>
    </cfRule>
    <cfRule type="cellIs" dxfId="394" priority="143" operator="equal">
      <formula>"DONE"</formula>
    </cfRule>
    <cfRule type="cellIs" dxfId="393" priority="144" operator="equal">
      <formula>"DONE"</formula>
    </cfRule>
  </conditionalFormatting>
  <conditionalFormatting sqref="J42">
    <cfRule type="cellIs" dxfId="392" priority="124" operator="equal">
      <formula>"OVERDUE"</formula>
    </cfRule>
    <cfRule type="cellIs" dxfId="391" priority="125" operator="equal">
      <formula>"DONE"</formula>
    </cfRule>
    <cfRule type="cellIs" dxfId="390" priority="126" operator="equal">
      <formula>"DONE"</formula>
    </cfRule>
  </conditionalFormatting>
  <conditionalFormatting sqref="J43">
    <cfRule type="cellIs" dxfId="389" priority="121" operator="equal">
      <formula>"OVERDUE"</formula>
    </cfRule>
    <cfRule type="cellIs" dxfId="388" priority="122" operator="equal">
      <formula>"DONE"</formula>
    </cfRule>
    <cfRule type="cellIs" dxfId="387" priority="123" operator="equal">
      <formula>"DONE"</formula>
    </cfRule>
  </conditionalFormatting>
  <conditionalFormatting sqref="J45:J47">
    <cfRule type="cellIs" dxfId="386" priority="118" operator="equal">
      <formula>"OVERDUE"</formula>
    </cfRule>
    <cfRule type="cellIs" dxfId="385" priority="119" operator="equal">
      <formula>"DONE"</formula>
    </cfRule>
    <cfRule type="cellIs" dxfId="384" priority="120" operator="equal">
      <formula>"DONE"</formula>
    </cfRule>
  </conditionalFormatting>
  <conditionalFormatting sqref="J48">
    <cfRule type="cellIs" dxfId="383" priority="115" operator="equal">
      <formula>"OVERDUE"</formula>
    </cfRule>
    <cfRule type="cellIs" dxfId="382" priority="116" operator="equal">
      <formula>"DONE"</formula>
    </cfRule>
    <cfRule type="cellIs" dxfId="381" priority="117" operator="equal">
      <formula>"DONE"</formula>
    </cfRule>
  </conditionalFormatting>
  <conditionalFormatting sqref="J49:J56">
    <cfRule type="cellIs" dxfId="380" priority="112" operator="equal">
      <formula>"OVERDUE"</formula>
    </cfRule>
    <cfRule type="cellIs" dxfId="379" priority="113" operator="equal">
      <formula>"DONE"</formula>
    </cfRule>
    <cfRule type="cellIs" dxfId="378" priority="114" operator="equal">
      <formula>"DONE"</formula>
    </cfRule>
  </conditionalFormatting>
  <conditionalFormatting sqref="J57">
    <cfRule type="cellIs" dxfId="377" priority="97" operator="equal">
      <formula>"OVERDUE"</formula>
    </cfRule>
    <cfRule type="cellIs" dxfId="376" priority="98" operator="equal">
      <formula>"DONE"</formula>
    </cfRule>
    <cfRule type="cellIs" dxfId="375" priority="99" operator="equal">
      <formula>"DONE"</formula>
    </cfRule>
  </conditionalFormatting>
  <conditionalFormatting sqref="J58">
    <cfRule type="cellIs" dxfId="374" priority="94" operator="equal">
      <formula>"OVERDUE"</formula>
    </cfRule>
    <cfRule type="cellIs" dxfId="373" priority="95" operator="equal">
      <formula>"DONE"</formula>
    </cfRule>
    <cfRule type="cellIs" dxfId="372" priority="96" operator="equal">
      <formula>"DONE"</formula>
    </cfRule>
  </conditionalFormatting>
  <conditionalFormatting sqref="J59">
    <cfRule type="cellIs" dxfId="371" priority="91" operator="equal">
      <formula>"OVERDUE"</formula>
    </cfRule>
    <cfRule type="cellIs" dxfId="370" priority="92" operator="equal">
      <formula>"DONE"</formula>
    </cfRule>
    <cfRule type="cellIs" dxfId="369" priority="93" operator="equal">
      <formula>"DONE"</formula>
    </cfRule>
  </conditionalFormatting>
  <conditionalFormatting sqref="J60">
    <cfRule type="cellIs" dxfId="368" priority="88" operator="equal">
      <formula>"OVERDUE"</formula>
    </cfRule>
    <cfRule type="cellIs" dxfId="367" priority="89" operator="equal">
      <formula>"DONE"</formula>
    </cfRule>
    <cfRule type="cellIs" dxfId="366" priority="90" operator="equal">
      <formula>"DONE"</formula>
    </cfRule>
  </conditionalFormatting>
  <conditionalFormatting sqref="J61:J66">
    <cfRule type="cellIs" dxfId="365" priority="85" operator="equal">
      <formula>"OVERDUE"</formula>
    </cfRule>
    <cfRule type="cellIs" dxfId="364" priority="86" operator="equal">
      <formula>"DONE"</formula>
    </cfRule>
    <cfRule type="cellIs" dxfId="363" priority="87" operator="equal">
      <formula>"DONE"</formula>
    </cfRule>
  </conditionalFormatting>
  <conditionalFormatting sqref="J67">
    <cfRule type="cellIs" dxfId="362" priority="67" operator="equal">
      <formula>"OVERDUE"</formula>
    </cfRule>
    <cfRule type="cellIs" dxfId="361" priority="68" operator="equal">
      <formula>"DONE"</formula>
    </cfRule>
    <cfRule type="cellIs" dxfId="360" priority="69" operator="equal">
      <formula>"DONE"</formula>
    </cfRule>
  </conditionalFormatting>
  <conditionalFormatting sqref="J68">
    <cfRule type="cellIs" dxfId="359" priority="64" operator="equal">
      <formula>"OVERDUE"</formula>
    </cfRule>
    <cfRule type="cellIs" dxfId="358" priority="65" operator="equal">
      <formula>"DONE"</formula>
    </cfRule>
    <cfRule type="cellIs" dxfId="357" priority="66" operator="equal">
      <formula>"DONE"</formula>
    </cfRule>
  </conditionalFormatting>
  <conditionalFormatting sqref="J69">
    <cfRule type="cellIs" dxfId="356" priority="61" operator="equal">
      <formula>"OVERDUE"</formula>
    </cfRule>
    <cfRule type="cellIs" dxfId="355" priority="62" operator="equal">
      <formula>"DONE"</formula>
    </cfRule>
    <cfRule type="cellIs" dxfId="354" priority="63" operator="equal">
      <formula>"DONE"</formula>
    </cfRule>
  </conditionalFormatting>
  <conditionalFormatting sqref="J70">
    <cfRule type="cellIs" dxfId="353" priority="58" operator="equal">
      <formula>"OVERDUE"</formula>
    </cfRule>
    <cfRule type="cellIs" dxfId="352" priority="59" operator="equal">
      <formula>"DONE"</formula>
    </cfRule>
    <cfRule type="cellIs" dxfId="351" priority="60" operator="equal">
      <formula>"DONE"</formula>
    </cfRule>
  </conditionalFormatting>
  <conditionalFormatting sqref="J71">
    <cfRule type="cellIs" dxfId="350" priority="55" operator="equal">
      <formula>"OVERDUE"</formula>
    </cfRule>
    <cfRule type="cellIs" dxfId="349" priority="56" operator="equal">
      <formula>"DONE"</formula>
    </cfRule>
    <cfRule type="cellIs" dxfId="348" priority="57" operator="equal">
      <formula>"DONE"</formula>
    </cfRule>
  </conditionalFormatting>
  <conditionalFormatting sqref="J72">
    <cfRule type="cellIs" dxfId="347" priority="52" operator="equal">
      <formula>"OVERDUE"</formula>
    </cfRule>
    <cfRule type="cellIs" dxfId="346" priority="53" operator="equal">
      <formula>"DONE"</formula>
    </cfRule>
    <cfRule type="cellIs" dxfId="345" priority="54" operator="equal">
      <formula>"DONE"</formula>
    </cfRule>
  </conditionalFormatting>
  <conditionalFormatting sqref="J73">
    <cfRule type="cellIs" dxfId="344" priority="46" operator="equal">
      <formula>"OVERDUE"</formula>
    </cfRule>
    <cfRule type="cellIs" dxfId="343" priority="47" operator="equal">
      <formula>"DONE"</formula>
    </cfRule>
    <cfRule type="cellIs" dxfId="342" priority="48" operator="equal">
      <formula>"DONE"</formula>
    </cfRule>
  </conditionalFormatting>
  <conditionalFormatting sqref="J74">
    <cfRule type="cellIs" dxfId="341" priority="43" operator="equal">
      <formula>"OVERDUE"</formula>
    </cfRule>
    <cfRule type="cellIs" dxfId="340" priority="44" operator="equal">
      <formula>"DONE"</formula>
    </cfRule>
    <cfRule type="cellIs" dxfId="339" priority="45" operator="equal">
      <formula>"DONE"</formula>
    </cfRule>
  </conditionalFormatting>
  <conditionalFormatting sqref="J75">
    <cfRule type="cellIs" dxfId="338" priority="40" operator="equal">
      <formula>"OVERDUE"</formula>
    </cfRule>
    <cfRule type="cellIs" dxfId="337" priority="41" operator="equal">
      <formula>"DONE"</formula>
    </cfRule>
    <cfRule type="cellIs" dxfId="336" priority="42" operator="equal">
      <formula>"DONE"</formula>
    </cfRule>
  </conditionalFormatting>
  <conditionalFormatting sqref="J76">
    <cfRule type="cellIs" dxfId="335" priority="37" operator="equal">
      <formula>"OVERDUE"</formula>
    </cfRule>
    <cfRule type="cellIs" dxfId="334" priority="38" operator="equal">
      <formula>"DONE"</formula>
    </cfRule>
    <cfRule type="cellIs" dxfId="333" priority="39" operator="equal">
      <formula>"DONE"</formula>
    </cfRule>
  </conditionalFormatting>
  <conditionalFormatting sqref="J77">
    <cfRule type="cellIs" dxfId="332" priority="34" operator="equal">
      <formula>"OVERDUE"</formula>
    </cfRule>
    <cfRule type="cellIs" dxfId="331" priority="35" operator="equal">
      <formula>"DONE"</formula>
    </cfRule>
    <cfRule type="cellIs" dxfId="330" priority="36" operator="equal">
      <formula>"DONE"</formula>
    </cfRule>
  </conditionalFormatting>
  <conditionalFormatting sqref="J78">
    <cfRule type="cellIs" dxfId="329" priority="31" operator="equal">
      <formula>"OVERDUE"</formula>
    </cfRule>
    <cfRule type="cellIs" dxfId="328" priority="32" operator="equal">
      <formula>"DONE"</formula>
    </cfRule>
    <cfRule type="cellIs" dxfId="327" priority="33" operator="equal">
      <formula>"DONE"</formula>
    </cfRule>
  </conditionalFormatting>
  <conditionalFormatting sqref="J79">
    <cfRule type="cellIs" dxfId="326" priority="28" operator="equal">
      <formula>"OVERDUE"</formula>
    </cfRule>
    <cfRule type="cellIs" dxfId="325" priority="29" operator="equal">
      <formula>"DONE"</formula>
    </cfRule>
    <cfRule type="cellIs" dxfId="324" priority="30" operator="equal">
      <formula>"DONE"</formula>
    </cfRule>
  </conditionalFormatting>
  <conditionalFormatting sqref="J80">
    <cfRule type="cellIs" dxfId="323" priority="25" operator="equal">
      <formula>"OVERDUE"</formula>
    </cfRule>
    <cfRule type="cellIs" dxfId="322" priority="26" operator="equal">
      <formula>"DONE"</formula>
    </cfRule>
    <cfRule type="cellIs" dxfId="321" priority="27" operator="equal">
      <formula>"DONE"</formula>
    </cfRule>
  </conditionalFormatting>
  <conditionalFormatting sqref="J81">
    <cfRule type="cellIs" dxfId="320" priority="22" operator="equal">
      <formula>"OVERDUE"</formula>
    </cfRule>
    <cfRule type="cellIs" dxfId="319" priority="23" operator="equal">
      <formula>"DONE"</formula>
    </cfRule>
    <cfRule type="cellIs" dxfId="318" priority="24" operator="equal">
      <formula>"DONE"</formula>
    </cfRule>
  </conditionalFormatting>
  <conditionalFormatting sqref="J82">
    <cfRule type="cellIs" dxfId="317" priority="19" operator="equal">
      <formula>"OVERDUE"</formula>
    </cfRule>
    <cfRule type="cellIs" dxfId="316" priority="20" operator="equal">
      <formula>"DONE"</formula>
    </cfRule>
    <cfRule type="cellIs" dxfId="315" priority="21" operator="equal">
      <formula>"DONE"</formula>
    </cfRule>
  </conditionalFormatting>
  <conditionalFormatting sqref="J83">
    <cfRule type="cellIs" dxfId="314" priority="16" operator="equal">
      <formula>"OVERDUE"</formula>
    </cfRule>
    <cfRule type="cellIs" dxfId="313" priority="17" operator="equal">
      <formula>"DONE"</formula>
    </cfRule>
    <cfRule type="cellIs" dxfId="312" priority="18" operator="equal">
      <formula>"DONE"</formula>
    </cfRule>
  </conditionalFormatting>
  <conditionalFormatting sqref="J84">
    <cfRule type="cellIs" dxfId="311" priority="13" operator="equal">
      <formula>"OVERDUE"</formula>
    </cfRule>
    <cfRule type="cellIs" dxfId="310" priority="14" operator="equal">
      <formula>"DONE"</formula>
    </cfRule>
    <cfRule type="cellIs" dxfId="309" priority="15" operator="equal">
      <formula>"DONE"</formula>
    </cfRule>
  </conditionalFormatting>
  <conditionalFormatting sqref="J85">
    <cfRule type="cellIs" dxfId="308" priority="10" operator="equal">
      <formula>"OVERDUE"</formula>
    </cfRule>
    <cfRule type="cellIs" dxfId="307" priority="11" operator="equal">
      <formula>"DONE"</formula>
    </cfRule>
    <cfRule type="cellIs" dxfId="306" priority="12" operator="equal">
      <formula>"DONE"</formula>
    </cfRule>
  </conditionalFormatting>
  <conditionalFormatting sqref="J86:J87">
    <cfRule type="cellIs" dxfId="305" priority="7" operator="equal">
      <formula>"OVERDUE"</formula>
    </cfRule>
    <cfRule type="cellIs" dxfId="304" priority="8" operator="equal">
      <formula>"DONE"</formula>
    </cfRule>
    <cfRule type="cellIs" dxfId="303" priority="9" operator="equal">
      <formula>"DONE"</formula>
    </cfRule>
  </conditionalFormatting>
  <conditionalFormatting sqref="J88">
    <cfRule type="cellIs" dxfId="2" priority="1" operator="equal">
      <formula>"OVERDUE"</formula>
    </cfRule>
    <cfRule type="cellIs" dxfId="1" priority="2" operator="equal">
      <formula>"DONE"</formula>
    </cfRule>
    <cfRule type="cellIs" dxfId="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106680</xdr:colOff>
                    <xdr:row>88</xdr:row>
                    <xdr:rowOff>83820</xdr:rowOff>
                  </from>
                  <to>
                    <xdr:col>1</xdr:col>
                    <xdr:colOff>800100</xdr:colOff>
                    <xdr:row>89</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opLeftCell="C1" workbookViewId="0">
      <pane ySplit="3" topLeftCell="A4" activePane="bottomLeft" state="frozen"/>
      <selection pane="bottomLeft" activeCell="C14" sqref="C14"/>
    </sheetView>
  </sheetViews>
  <sheetFormatPr defaultColWidth="9" defaultRowHeight="13.8" x14ac:dyDescent="0.25"/>
  <cols>
    <col min="1" max="1" width="8.21875" style="1" customWidth="1"/>
    <col min="2" max="2" width="12.109375" style="1" customWidth="1"/>
    <col min="3" max="3" width="50.8867187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357</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5"/>
      <c r="R3" s="216"/>
      <c r="S3" s="216"/>
      <c r="T3" s="216"/>
      <c r="U3" s="216"/>
      <c r="V3" s="216"/>
      <c r="W3" s="216"/>
      <c r="X3" s="216"/>
      <c r="Y3" s="216"/>
      <c r="Z3" s="216"/>
      <c r="AA3" s="216"/>
      <c r="AB3" s="216"/>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25">
      <c r="A4" s="10" t="s">
        <v>81</v>
      </c>
      <c r="B4" s="11"/>
      <c r="C4" s="16" t="s">
        <v>402</v>
      </c>
      <c r="D4" s="13" t="s">
        <v>24</v>
      </c>
      <c r="E4" s="13" t="s">
        <v>358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215"/>
      <c r="R4" s="216"/>
      <c r="S4" s="216"/>
      <c r="T4" s="216"/>
      <c r="U4" s="216"/>
      <c r="V4" s="216"/>
      <c r="W4" s="216"/>
      <c r="X4" s="216"/>
      <c r="Y4" s="216"/>
      <c r="Z4" s="216"/>
      <c r="AA4" s="216"/>
      <c r="AB4" s="216"/>
      <c r="AC4" s="27"/>
      <c r="AD4" s="27"/>
    </row>
    <row r="5" spans="1:246" ht="57.75" customHeight="1" x14ac:dyDescent="0.25">
      <c r="A5" s="15">
        <v>241</v>
      </c>
      <c r="B5" s="11"/>
      <c r="C5" s="16" t="s">
        <v>395</v>
      </c>
      <c r="D5" s="13" t="s">
        <v>24</v>
      </c>
      <c r="E5" s="13" t="s">
        <v>396</v>
      </c>
      <c r="F5" s="13">
        <v>43928</v>
      </c>
      <c r="G5" s="14">
        <v>43951</v>
      </c>
      <c r="H5" s="14"/>
      <c r="I5" s="14"/>
      <c r="J5" s="13" t="str">
        <f t="shared" ca="1" si="0"/>
        <v>OVERDUE</v>
      </c>
      <c r="K5" s="13" t="str">
        <f t="shared" si="1"/>
        <v/>
      </c>
      <c r="L5" s="13">
        <f t="shared" ca="1" si="2"/>
        <v>1</v>
      </c>
      <c r="M5" s="13">
        <f t="shared" ca="1" si="3"/>
        <v>0</v>
      </c>
      <c r="N5" s="13">
        <f t="shared" ca="1" si="4"/>
        <v>0</v>
      </c>
      <c r="O5" s="13">
        <f t="shared" ca="1" si="5"/>
        <v>-424</v>
      </c>
      <c r="P5" s="20"/>
      <c r="Q5" s="215"/>
      <c r="R5" s="216"/>
      <c r="S5" s="216"/>
      <c r="T5" s="216"/>
      <c r="U5" s="216"/>
      <c r="V5" s="216"/>
      <c r="W5" s="216"/>
      <c r="X5" s="216"/>
      <c r="Y5" s="216"/>
      <c r="Z5" s="216"/>
      <c r="AA5" s="216"/>
      <c r="AB5" s="216"/>
      <c r="AC5" s="27"/>
      <c r="AD5" s="27"/>
    </row>
    <row r="6" spans="1:246" ht="24.6" customHeight="1" x14ac:dyDescent="0.25">
      <c r="A6" s="15">
        <v>242</v>
      </c>
      <c r="B6" s="11"/>
      <c r="C6" s="16" t="s">
        <v>397</v>
      </c>
      <c r="D6" s="13" t="s">
        <v>24</v>
      </c>
      <c r="E6" s="13" t="s">
        <v>398</v>
      </c>
      <c r="F6" s="14">
        <v>43928</v>
      </c>
      <c r="G6" s="14">
        <v>43951</v>
      </c>
      <c r="H6" s="14"/>
      <c r="I6" s="14"/>
      <c r="J6" s="13" t="str">
        <f t="shared" ca="1" si="0"/>
        <v>OVERDUE</v>
      </c>
      <c r="K6" s="13" t="str">
        <f t="shared" si="1"/>
        <v/>
      </c>
      <c r="L6" s="13">
        <f t="shared" ca="1" si="2"/>
        <v>1</v>
      </c>
      <c r="M6" s="13">
        <f t="shared" ca="1" si="3"/>
        <v>0</v>
      </c>
      <c r="N6" s="13">
        <f t="shared" ca="1" si="4"/>
        <v>0</v>
      </c>
      <c r="O6" s="13">
        <f t="shared" ca="1" si="5"/>
        <v>-424</v>
      </c>
      <c r="P6" s="20"/>
      <c r="Q6" s="215"/>
      <c r="R6" s="216"/>
      <c r="S6" s="216"/>
      <c r="T6" s="216"/>
      <c r="U6" s="216"/>
      <c r="V6" s="216"/>
      <c r="W6" s="216"/>
      <c r="X6" s="216"/>
      <c r="Y6" s="216"/>
      <c r="Z6" s="216"/>
      <c r="AA6" s="216"/>
      <c r="AB6" s="216"/>
      <c r="AC6" s="27"/>
      <c r="AD6" s="27"/>
    </row>
    <row r="7" spans="1:246" ht="45" customHeight="1" x14ac:dyDescent="0.25">
      <c r="A7" s="15">
        <v>243</v>
      </c>
      <c r="B7" s="13"/>
      <c r="C7" s="16" t="s">
        <v>401</v>
      </c>
      <c r="D7" s="13" t="s">
        <v>24</v>
      </c>
      <c r="E7" s="13" t="s">
        <v>400</v>
      </c>
      <c r="F7" s="14">
        <v>43928</v>
      </c>
      <c r="G7" s="14"/>
      <c r="H7" s="14"/>
      <c r="I7" s="14"/>
      <c r="J7" s="13" t="str">
        <f t="shared" ca="1" si="0"/>
        <v>IN TIME</v>
      </c>
      <c r="K7" s="13" t="str">
        <f t="shared" si="1"/>
        <v/>
      </c>
      <c r="L7" s="13">
        <f t="shared" ca="1" si="2"/>
        <v>0</v>
      </c>
      <c r="M7" s="13">
        <f t="shared" ca="1" si="3"/>
        <v>1</v>
      </c>
      <c r="N7" s="13">
        <f t="shared" ca="1" si="4"/>
        <v>0</v>
      </c>
      <c r="O7" s="13" t="str">
        <f t="shared" si="5"/>
        <v/>
      </c>
      <c r="P7" s="20" t="s">
        <v>522</v>
      </c>
      <c r="Q7" s="215"/>
      <c r="R7" s="216"/>
      <c r="S7" s="216"/>
      <c r="T7" s="216"/>
      <c r="U7" s="216"/>
      <c r="V7" s="216"/>
      <c r="W7" s="216"/>
      <c r="X7" s="216"/>
      <c r="Y7" s="216"/>
      <c r="Z7" s="216"/>
      <c r="AA7" s="216"/>
      <c r="AB7" s="216"/>
      <c r="AC7" s="27"/>
      <c r="AD7" s="27"/>
    </row>
    <row r="8" spans="1:246" ht="24.6" customHeight="1" x14ac:dyDescent="0.25">
      <c r="A8" s="10" t="s">
        <v>93</v>
      </c>
      <c r="B8" s="11"/>
      <c r="C8" s="16" t="s">
        <v>399</v>
      </c>
      <c r="D8" s="13" t="s">
        <v>24</v>
      </c>
      <c r="E8" s="13" t="s">
        <v>396</v>
      </c>
      <c r="F8" s="14">
        <v>43928</v>
      </c>
      <c r="G8" s="14">
        <v>43951</v>
      </c>
      <c r="H8" s="14"/>
      <c r="I8" s="14"/>
      <c r="J8" s="13" t="str">
        <f t="shared" ca="1" si="0"/>
        <v>OVERDUE</v>
      </c>
      <c r="K8" s="13" t="str">
        <f t="shared" si="1"/>
        <v/>
      </c>
      <c r="L8" s="13">
        <f t="shared" ca="1" si="2"/>
        <v>1</v>
      </c>
      <c r="M8" s="13">
        <f t="shared" ca="1" si="3"/>
        <v>0</v>
      </c>
      <c r="N8" s="13">
        <f t="shared" ca="1" si="4"/>
        <v>0</v>
      </c>
      <c r="O8" s="13">
        <f t="shared" ca="1" si="5"/>
        <v>-424</v>
      </c>
      <c r="P8" s="20"/>
      <c r="Q8" s="215"/>
      <c r="R8" s="216"/>
      <c r="S8" s="216"/>
      <c r="T8" s="216"/>
      <c r="U8" s="216"/>
      <c r="V8" s="216"/>
      <c r="W8" s="216"/>
      <c r="X8" s="216"/>
      <c r="Y8" s="216"/>
      <c r="Z8" s="216"/>
      <c r="AA8" s="216"/>
      <c r="AB8" s="216"/>
      <c r="AC8" s="27"/>
      <c r="AD8" s="27"/>
    </row>
    <row r="9" spans="1:246" ht="24.6" customHeight="1" x14ac:dyDescent="0.25">
      <c r="A9" s="10" t="s">
        <v>97</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215"/>
      <c r="R9" s="216"/>
      <c r="S9" s="216"/>
      <c r="T9" s="216"/>
      <c r="U9" s="216"/>
      <c r="V9" s="216"/>
      <c r="W9" s="216"/>
      <c r="X9" s="216"/>
      <c r="Y9" s="216"/>
      <c r="Z9" s="216"/>
      <c r="AA9" s="216"/>
      <c r="AB9" s="216"/>
      <c r="AC9" s="27"/>
      <c r="AD9" s="27"/>
    </row>
    <row r="10" spans="1:246" ht="24.6" customHeight="1" x14ac:dyDescent="0.25">
      <c r="A10" s="15">
        <v>246</v>
      </c>
      <c r="B10" s="11"/>
      <c r="C10" s="16" t="s">
        <v>494</v>
      </c>
      <c r="D10" s="13" t="s">
        <v>24</v>
      </c>
      <c r="E10" s="13" t="s">
        <v>495</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-381</v>
      </c>
      <c r="P10" s="20" t="s">
        <v>506</v>
      </c>
      <c r="Q10" s="215"/>
      <c r="R10" s="216"/>
      <c r="S10" s="216"/>
      <c r="T10" s="216"/>
      <c r="U10" s="216"/>
      <c r="V10" s="216"/>
      <c r="W10" s="216"/>
      <c r="X10" s="216"/>
      <c r="Y10" s="216"/>
      <c r="Z10" s="216"/>
      <c r="AA10" s="216"/>
      <c r="AB10" s="216"/>
      <c r="AC10" s="27"/>
      <c r="AD10" s="27"/>
    </row>
    <row r="11" spans="1:246" ht="24.6" customHeight="1" x14ac:dyDescent="0.25">
      <c r="A11" s="15">
        <v>247</v>
      </c>
      <c r="B11" s="11"/>
      <c r="C11" s="16" t="s">
        <v>497</v>
      </c>
      <c r="D11" s="13" t="s">
        <v>24</v>
      </c>
      <c r="E11" s="13" t="s">
        <v>495</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-374</v>
      </c>
      <c r="P11" s="20" t="s">
        <v>507</v>
      </c>
      <c r="Q11" s="215"/>
      <c r="R11" s="216"/>
      <c r="S11" s="216"/>
      <c r="T11" s="216"/>
      <c r="U11" s="216"/>
      <c r="V11" s="216"/>
      <c r="W11" s="216"/>
      <c r="X11" s="216"/>
      <c r="Y11" s="216"/>
      <c r="Z11" s="216"/>
      <c r="AA11" s="216"/>
      <c r="AB11" s="216"/>
      <c r="AC11" s="27"/>
      <c r="AD11" s="27"/>
    </row>
    <row r="12" spans="1:246" ht="39" customHeight="1" x14ac:dyDescent="0.25">
      <c r="A12" s="15">
        <v>248</v>
      </c>
      <c r="B12" s="11"/>
      <c r="C12" s="153" t="s">
        <v>504</v>
      </c>
      <c r="D12" s="13" t="s">
        <v>24</v>
      </c>
      <c r="E12" s="13" t="s">
        <v>505</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-366</v>
      </c>
      <c r="P12" s="20" t="s">
        <v>509</v>
      </c>
      <c r="Q12" s="215"/>
      <c r="R12" s="216"/>
      <c r="S12" s="216"/>
      <c r="T12" s="216"/>
      <c r="U12" s="216"/>
      <c r="V12" s="216"/>
      <c r="W12" s="216"/>
      <c r="X12" s="216"/>
      <c r="Y12" s="216"/>
      <c r="Z12" s="216"/>
      <c r="AA12" s="216"/>
      <c r="AB12" s="216"/>
      <c r="AC12" s="27"/>
      <c r="AD12" s="27"/>
    </row>
    <row r="13" spans="1:246" ht="24.6" customHeight="1" x14ac:dyDescent="0.25">
      <c r="A13" s="15">
        <v>249</v>
      </c>
      <c r="B13" s="13"/>
      <c r="C13" s="153" t="s">
        <v>508</v>
      </c>
      <c r="D13" s="13" t="s">
        <v>24</v>
      </c>
      <c r="E13" s="13" t="s">
        <v>505</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-353</v>
      </c>
      <c r="P13" s="20"/>
      <c r="Q13" s="215"/>
      <c r="R13" s="216"/>
      <c r="S13" s="216"/>
      <c r="T13" s="216"/>
      <c r="U13" s="216"/>
      <c r="V13" s="216"/>
      <c r="W13" s="216"/>
      <c r="X13" s="216"/>
      <c r="Y13" s="216"/>
      <c r="Z13" s="216"/>
      <c r="AA13" s="216"/>
      <c r="AB13" s="216"/>
      <c r="AC13" s="27"/>
      <c r="AD13" s="27"/>
    </row>
    <row r="14" spans="1:246" ht="24.6" customHeight="1" x14ac:dyDescent="0.25">
      <c r="A14" s="15"/>
      <c r="B14" s="11"/>
      <c r="C14" s="16" t="s">
        <v>510</v>
      </c>
      <c r="D14" s="13" t="s">
        <v>24</v>
      </c>
      <c r="E14" s="13" t="s">
        <v>505</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-366</v>
      </c>
      <c r="P14" s="20" t="s">
        <v>509</v>
      </c>
      <c r="Q14" s="215"/>
      <c r="R14" s="216"/>
      <c r="S14" s="216"/>
      <c r="T14" s="216"/>
      <c r="U14" s="216"/>
      <c r="V14" s="216"/>
      <c r="W14" s="216"/>
      <c r="X14" s="216"/>
      <c r="Y14" s="216"/>
      <c r="Z14" s="216"/>
      <c r="AA14" s="216"/>
      <c r="AB14" s="216"/>
      <c r="AC14" s="27"/>
      <c r="AD14" s="27"/>
    </row>
    <row r="15" spans="1:246" ht="24.6" customHeight="1" x14ac:dyDescent="0.2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2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2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2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2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2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2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2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2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2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2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2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2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2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2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2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299" priority="79" operator="equal">
      <formula>"OVERDUE"</formula>
    </cfRule>
    <cfRule type="cellIs" dxfId="298" priority="80" operator="equal">
      <formula>"DONE"</formula>
    </cfRule>
    <cfRule type="cellIs" dxfId="297" priority="81" operator="equal">
      <formula>"DONE"</formula>
    </cfRule>
  </conditionalFormatting>
  <conditionalFormatting sqref="J5">
    <cfRule type="cellIs" dxfId="296" priority="76" operator="equal">
      <formula>"OVERDUE"</formula>
    </cfRule>
    <cfRule type="cellIs" dxfId="295" priority="77" operator="equal">
      <formula>"DONE"</formula>
    </cfRule>
    <cfRule type="cellIs" dxfId="294" priority="78" operator="equal">
      <formula>"DONE"</formula>
    </cfRule>
  </conditionalFormatting>
  <conditionalFormatting sqref="J6">
    <cfRule type="cellIs" dxfId="293" priority="73" operator="equal">
      <formula>"OVERDUE"</formula>
    </cfRule>
    <cfRule type="cellIs" dxfId="292" priority="74" operator="equal">
      <formula>"DONE"</formula>
    </cfRule>
    <cfRule type="cellIs" dxfId="291" priority="75" operator="equal">
      <formula>"DONE"</formula>
    </cfRule>
  </conditionalFormatting>
  <conditionalFormatting sqref="J7">
    <cfRule type="cellIs" dxfId="290" priority="70" operator="equal">
      <formula>"OVERDUE"</formula>
    </cfRule>
    <cfRule type="cellIs" dxfId="289" priority="71" operator="equal">
      <formula>"DONE"</formula>
    </cfRule>
    <cfRule type="cellIs" dxfId="288" priority="72" operator="equal">
      <formula>"DONE"</formula>
    </cfRule>
  </conditionalFormatting>
  <conditionalFormatting sqref="J8">
    <cfRule type="cellIs" dxfId="287" priority="67" operator="equal">
      <formula>"OVERDUE"</formula>
    </cfRule>
    <cfRule type="cellIs" dxfId="286" priority="68" operator="equal">
      <formula>"DONE"</formula>
    </cfRule>
    <cfRule type="cellIs" dxfId="285" priority="69" operator="equal">
      <formula>"DONE"</formula>
    </cfRule>
  </conditionalFormatting>
  <conditionalFormatting sqref="J9">
    <cfRule type="cellIs" dxfId="284" priority="64" operator="equal">
      <formula>"OVERDUE"</formula>
    </cfRule>
    <cfRule type="cellIs" dxfId="283" priority="65" operator="equal">
      <formula>"DONE"</formula>
    </cfRule>
    <cfRule type="cellIs" dxfId="282" priority="66" operator="equal">
      <formula>"DONE"</formula>
    </cfRule>
  </conditionalFormatting>
  <conditionalFormatting sqref="J10">
    <cfRule type="cellIs" dxfId="281" priority="61" operator="equal">
      <formula>"OVERDUE"</formula>
    </cfRule>
    <cfRule type="cellIs" dxfId="280" priority="62" operator="equal">
      <formula>"DONE"</formula>
    </cfRule>
    <cfRule type="cellIs" dxfId="279" priority="63" operator="equal">
      <formula>"DONE"</formula>
    </cfRule>
  </conditionalFormatting>
  <conditionalFormatting sqref="J11">
    <cfRule type="cellIs" dxfId="278" priority="58" operator="equal">
      <formula>"OVERDUE"</formula>
    </cfRule>
    <cfRule type="cellIs" dxfId="277" priority="59" operator="equal">
      <formula>"DONE"</formula>
    </cfRule>
    <cfRule type="cellIs" dxfId="276" priority="60" operator="equal">
      <formula>"DONE"</formula>
    </cfRule>
  </conditionalFormatting>
  <conditionalFormatting sqref="J12">
    <cfRule type="cellIs" dxfId="275" priority="55" operator="equal">
      <formula>"OVERDUE"</formula>
    </cfRule>
    <cfRule type="cellIs" dxfId="274" priority="56" operator="equal">
      <formula>"DONE"</formula>
    </cfRule>
    <cfRule type="cellIs" dxfId="273" priority="57" operator="equal">
      <formula>"DONE"</formula>
    </cfRule>
  </conditionalFormatting>
  <conditionalFormatting sqref="J13">
    <cfRule type="cellIs" dxfId="272" priority="52" operator="equal">
      <formula>"OVERDUE"</formula>
    </cfRule>
    <cfRule type="cellIs" dxfId="271" priority="53" operator="equal">
      <formula>"DONE"</formula>
    </cfRule>
    <cfRule type="cellIs" dxfId="270" priority="54" operator="equal">
      <formula>"DONE"</formula>
    </cfRule>
  </conditionalFormatting>
  <conditionalFormatting sqref="J14">
    <cfRule type="cellIs" dxfId="269" priority="49" operator="equal">
      <formula>"OVERDUE"</formula>
    </cfRule>
    <cfRule type="cellIs" dxfId="268" priority="50" operator="equal">
      <formula>"DONE"</formula>
    </cfRule>
    <cfRule type="cellIs" dxfId="267" priority="51" operator="equal">
      <formula>"DONE"</formula>
    </cfRule>
  </conditionalFormatting>
  <conditionalFormatting sqref="J15">
    <cfRule type="cellIs" dxfId="266" priority="46" operator="equal">
      <formula>"OVERDUE"</formula>
    </cfRule>
    <cfRule type="cellIs" dxfId="265" priority="47" operator="equal">
      <formula>"DONE"</formula>
    </cfRule>
    <cfRule type="cellIs" dxfId="264" priority="48" operator="equal">
      <formula>"DONE"</formula>
    </cfRule>
  </conditionalFormatting>
  <conditionalFormatting sqref="J16">
    <cfRule type="cellIs" dxfId="263" priority="43" operator="equal">
      <formula>"OVERDUE"</formula>
    </cfRule>
    <cfRule type="cellIs" dxfId="262" priority="44" operator="equal">
      <formula>"DONE"</formula>
    </cfRule>
    <cfRule type="cellIs" dxfId="261" priority="45" operator="equal">
      <formula>"DONE"</formula>
    </cfRule>
  </conditionalFormatting>
  <conditionalFormatting sqref="J17">
    <cfRule type="cellIs" dxfId="260" priority="40" operator="equal">
      <formula>"OVERDUE"</formula>
    </cfRule>
    <cfRule type="cellIs" dxfId="259" priority="41" operator="equal">
      <formula>"DONE"</formula>
    </cfRule>
    <cfRule type="cellIs" dxfId="258" priority="42" operator="equal">
      <formula>"DONE"</formula>
    </cfRule>
  </conditionalFormatting>
  <conditionalFormatting sqref="J18">
    <cfRule type="cellIs" dxfId="257" priority="37" operator="equal">
      <formula>"OVERDUE"</formula>
    </cfRule>
    <cfRule type="cellIs" dxfId="256" priority="38" operator="equal">
      <formula>"DONE"</formula>
    </cfRule>
    <cfRule type="cellIs" dxfId="255" priority="39" operator="equal">
      <formula>"DONE"</formula>
    </cfRule>
  </conditionalFormatting>
  <conditionalFormatting sqref="J19">
    <cfRule type="cellIs" dxfId="254" priority="34" operator="equal">
      <formula>"OVERDUE"</formula>
    </cfRule>
    <cfRule type="cellIs" dxfId="253" priority="35" operator="equal">
      <formula>"DONE"</formula>
    </cfRule>
    <cfRule type="cellIs" dxfId="252" priority="36" operator="equal">
      <formula>"DONE"</formula>
    </cfRule>
  </conditionalFormatting>
  <conditionalFormatting sqref="J20">
    <cfRule type="cellIs" dxfId="251" priority="31" operator="equal">
      <formula>"OVERDUE"</formula>
    </cfRule>
    <cfRule type="cellIs" dxfId="250" priority="32" operator="equal">
      <formula>"DONE"</formula>
    </cfRule>
    <cfRule type="cellIs" dxfId="249" priority="33" operator="equal">
      <formula>"DONE"</formula>
    </cfRule>
  </conditionalFormatting>
  <conditionalFormatting sqref="J21">
    <cfRule type="cellIs" dxfId="248" priority="28" operator="equal">
      <formula>"OVERDUE"</formula>
    </cfRule>
    <cfRule type="cellIs" dxfId="247" priority="29" operator="equal">
      <formula>"DONE"</formula>
    </cfRule>
    <cfRule type="cellIs" dxfId="246" priority="30" operator="equal">
      <formula>"DONE"</formula>
    </cfRule>
  </conditionalFormatting>
  <conditionalFormatting sqref="J22">
    <cfRule type="cellIs" dxfId="245" priority="25" operator="equal">
      <formula>"OVERDUE"</formula>
    </cfRule>
    <cfRule type="cellIs" dxfId="244" priority="26" operator="equal">
      <formula>"DONE"</formula>
    </cfRule>
    <cfRule type="cellIs" dxfId="243" priority="27" operator="equal">
      <formula>"DONE"</formula>
    </cfRule>
  </conditionalFormatting>
  <conditionalFormatting sqref="J23">
    <cfRule type="cellIs" dxfId="242" priority="22" operator="equal">
      <formula>"OVERDUE"</formula>
    </cfRule>
    <cfRule type="cellIs" dxfId="241" priority="23" operator="equal">
      <formula>"DONE"</formula>
    </cfRule>
    <cfRule type="cellIs" dxfId="240" priority="24" operator="equal">
      <formula>"DONE"</formula>
    </cfRule>
  </conditionalFormatting>
  <conditionalFormatting sqref="J24">
    <cfRule type="cellIs" dxfId="239" priority="19" operator="equal">
      <formula>"OVERDUE"</formula>
    </cfRule>
    <cfRule type="cellIs" dxfId="238" priority="20" operator="equal">
      <formula>"DONE"</formula>
    </cfRule>
    <cfRule type="cellIs" dxfId="237" priority="21" operator="equal">
      <formula>"DONE"</formula>
    </cfRule>
  </conditionalFormatting>
  <conditionalFormatting sqref="J25">
    <cfRule type="cellIs" dxfId="236" priority="16" operator="equal">
      <formula>"OVERDUE"</formula>
    </cfRule>
    <cfRule type="cellIs" dxfId="235" priority="17" operator="equal">
      <formula>"DONE"</formula>
    </cfRule>
    <cfRule type="cellIs" dxfId="234" priority="18" operator="equal">
      <formula>"DONE"</formula>
    </cfRule>
  </conditionalFormatting>
  <conditionalFormatting sqref="J26">
    <cfRule type="cellIs" dxfId="233" priority="13" operator="equal">
      <formula>"OVERDUE"</formula>
    </cfRule>
    <cfRule type="cellIs" dxfId="232" priority="14" operator="equal">
      <formula>"DONE"</formula>
    </cfRule>
    <cfRule type="cellIs" dxfId="231" priority="15" operator="equal">
      <formula>"DONE"</formula>
    </cfRule>
  </conditionalFormatting>
  <conditionalFormatting sqref="J27">
    <cfRule type="cellIs" dxfId="230" priority="10" operator="equal">
      <formula>"OVERDUE"</formula>
    </cfRule>
    <cfRule type="cellIs" dxfId="229" priority="11" operator="equal">
      <formula>"DONE"</formula>
    </cfRule>
    <cfRule type="cellIs" dxfId="228" priority="12" operator="equal">
      <formula>"DONE"</formula>
    </cfRule>
  </conditionalFormatting>
  <conditionalFormatting sqref="J28">
    <cfRule type="cellIs" dxfId="227" priority="7" operator="equal">
      <formula>"OVERDUE"</formula>
    </cfRule>
    <cfRule type="cellIs" dxfId="226" priority="8" operator="equal">
      <formula>"DONE"</formula>
    </cfRule>
    <cfRule type="cellIs" dxfId="225" priority="9" operator="equal">
      <formula>"DONE"</formula>
    </cfRule>
  </conditionalFormatting>
  <conditionalFormatting sqref="J29">
    <cfRule type="cellIs" dxfId="224" priority="4" operator="equal">
      <formula>"OVERDUE"</formula>
    </cfRule>
    <cfRule type="cellIs" dxfId="223" priority="5" operator="equal">
      <formula>"DONE"</formula>
    </cfRule>
    <cfRule type="cellIs" dxfId="222" priority="6" operator="equal">
      <formula>"DONE"</formula>
    </cfRule>
  </conditionalFormatting>
  <conditionalFormatting sqref="J30">
    <cfRule type="cellIs" dxfId="221" priority="1" operator="equal">
      <formula>"OVERDUE"</formula>
    </cfRule>
    <cfRule type="cellIs" dxfId="220" priority="2" operator="equal">
      <formula>"DONE"</formula>
    </cfRule>
    <cfRule type="cellIs" dxfId="219" priority="3" operator="equal">
      <formula>"DONE"</formula>
    </cfRule>
  </conditionalFormatting>
  <conditionalFormatting sqref="J2:J3 J31:J1048576">
    <cfRule type="cellIs" dxfId="218" priority="82" operator="equal">
      <formula>"OVERDUE"</formula>
    </cfRule>
    <cfRule type="cellIs" dxfId="217" priority="83" operator="equal">
      <formula>"DONE"</formula>
    </cfRule>
    <cfRule type="cellIs" dxfId="21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106680</xdr:colOff>
                    <xdr:row>30</xdr:row>
                    <xdr:rowOff>83820</xdr:rowOff>
                  </from>
                  <to>
                    <xdr:col>1</xdr:col>
                    <xdr:colOff>800100</xdr:colOff>
                    <xdr:row>31</xdr:row>
                    <xdr:rowOff>160020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7" activePane="bottomLeft" state="frozen"/>
      <selection activeCell="C76" sqref="C76"/>
      <selection pane="bottomLeft" activeCell="P11" sqref="P11"/>
    </sheetView>
  </sheetViews>
  <sheetFormatPr defaultColWidth="9" defaultRowHeight="13.8" x14ac:dyDescent="0.25"/>
  <cols>
    <col min="1" max="1" width="8.21875" style="1" customWidth="1"/>
    <col min="2" max="2" width="12.109375" style="1" customWidth="1"/>
    <col min="3" max="3" width="50.8867187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512</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5"/>
      <c r="R3" s="216"/>
      <c r="S3" s="216"/>
      <c r="T3" s="216"/>
      <c r="U3" s="216"/>
      <c r="V3" s="216"/>
      <c r="W3" s="216"/>
      <c r="X3" s="216"/>
      <c r="Y3" s="216"/>
      <c r="Z3" s="216"/>
      <c r="AA3" s="216"/>
      <c r="AB3" s="216"/>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70.25" customHeight="1" x14ac:dyDescent="0.25">
      <c r="A4" s="15">
        <v>243</v>
      </c>
      <c r="B4" s="13"/>
      <c r="C4" s="16" t="s">
        <v>501</v>
      </c>
      <c r="D4" s="13" t="s">
        <v>37</v>
      </c>
      <c r="E4" s="13" t="s">
        <v>400</v>
      </c>
      <c r="F4" s="14">
        <v>44011</v>
      </c>
      <c r="G4" s="14">
        <v>44044</v>
      </c>
      <c r="H4" s="14"/>
      <c r="I4" s="14">
        <v>44158</v>
      </c>
      <c r="J4" s="13" t="str">
        <f ca="1">IF(AND(I4&lt;=$C$2,I4&lt;&gt;0),"DONE",IF(K4&lt;0,"OVERDUE",IF(AND(K4="",O4&lt;0),"OVERDUE","IN TIME")))</f>
        <v>DONE</v>
      </c>
      <c r="K4" s="13" t="str">
        <f t="shared" ref="K4:K27" si="0">IF(H4&gt;0,H4-$C$2,"")</f>
        <v/>
      </c>
      <c r="L4" s="13">
        <f t="shared" ref="L4:L27" ca="1" si="1">IF(J4="OVERDUE",1,0)</f>
        <v>0</v>
      </c>
      <c r="M4" s="13">
        <f t="shared" ref="M4:M27" ca="1" si="2">IF(J4="IN TIME",1,0)</f>
        <v>0</v>
      </c>
      <c r="N4" s="13">
        <f t="shared" ref="N4:N27" ca="1" si="3">IF(J4="DONE",1,0)</f>
        <v>1</v>
      </c>
      <c r="O4" s="13">
        <f t="shared" ref="O4:O27" ca="1" si="4">IF(G4&gt;0,G4-$C$2,"")</f>
        <v>-331</v>
      </c>
      <c r="P4" s="20" t="s">
        <v>577</v>
      </c>
      <c r="Q4" s="215"/>
      <c r="R4" s="216"/>
      <c r="S4" s="216"/>
      <c r="T4" s="216"/>
      <c r="U4" s="216"/>
      <c r="V4" s="216"/>
      <c r="W4" s="216"/>
      <c r="X4" s="216"/>
      <c r="Y4" s="216"/>
      <c r="Z4" s="216"/>
      <c r="AA4" s="216"/>
      <c r="AB4" s="216"/>
      <c r="AC4" s="27"/>
      <c r="AD4" s="27"/>
    </row>
    <row r="5" spans="1:246" ht="106.5" customHeight="1" x14ac:dyDescent="0.25">
      <c r="A5" s="10" t="s">
        <v>93</v>
      </c>
      <c r="B5" s="11"/>
      <c r="C5" s="16" t="s">
        <v>502</v>
      </c>
      <c r="D5" s="13" t="s">
        <v>24</v>
      </c>
      <c r="E5" s="13" t="s">
        <v>503</v>
      </c>
      <c r="F5" s="14">
        <v>44011</v>
      </c>
      <c r="G5" s="14">
        <v>44044</v>
      </c>
      <c r="H5" s="14"/>
      <c r="I5" s="14">
        <v>44165</v>
      </c>
      <c r="J5" s="13" t="str">
        <f t="shared" ref="J5:J27" ca="1" si="5">IF(AND(I5&lt;=$C$2,I5&lt;&gt;0),"DONE",IF(K5&lt;0,"OVERDUE",IF(AND(K5="",O5&lt;0),"OVERDUE","IN TIME")))</f>
        <v>DONE</v>
      </c>
      <c r="K5" s="13" t="str">
        <f t="shared" si="0"/>
        <v/>
      </c>
      <c r="L5" s="13">
        <f t="shared" ca="1" si="1"/>
        <v>0</v>
      </c>
      <c r="M5" s="13">
        <f t="shared" ca="1" si="2"/>
        <v>0</v>
      </c>
      <c r="N5" s="13">
        <f t="shared" ca="1" si="3"/>
        <v>1</v>
      </c>
      <c r="O5" s="13">
        <f t="shared" ca="1" si="4"/>
        <v>-331</v>
      </c>
      <c r="P5" s="20" t="s">
        <v>581</v>
      </c>
      <c r="Q5" s="215"/>
      <c r="R5" s="216"/>
      <c r="S5" s="216"/>
      <c r="T5" s="216"/>
      <c r="U5" s="216"/>
      <c r="V5" s="216"/>
      <c r="W5" s="216"/>
      <c r="X5" s="216"/>
      <c r="Y5" s="216"/>
      <c r="Z5" s="216"/>
      <c r="AA5" s="216"/>
      <c r="AB5" s="216"/>
      <c r="AC5" s="27"/>
      <c r="AD5" s="27"/>
    </row>
    <row r="6" spans="1:246" ht="95.25" customHeight="1" x14ac:dyDescent="0.25">
      <c r="A6" s="10" t="s">
        <v>97</v>
      </c>
      <c r="B6" s="11"/>
      <c r="C6" s="16" t="s">
        <v>560</v>
      </c>
      <c r="D6" s="13" t="s">
        <v>24</v>
      </c>
      <c r="E6" s="13" t="s">
        <v>365</v>
      </c>
      <c r="F6" s="14">
        <v>44136</v>
      </c>
      <c r="G6" s="14"/>
      <c r="H6" s="14"/>
      <c r="I6" s="14">
        <v>44186</v>
      </c>
      <c r="J6" s="13" t="str">
        <f t="shared" ca="1" si="5"/>
        <v>DONE</v>
      </c>
      <c r="K6" s="13" t="str">
        <f t="shared" si="0"/>
        <v/>
      </c>
      <c r="L6" s="13">
        <f t="shared" ca="1" si="1"/>
        <v>0</v>
      </c>
      <c r="M6" s="13">
        <f t="shared" ca="1" si="2"/>
        <v>0</v>
      </c>
      <c r="N6" s="13">
        <f t="shared" ca="1" si="3"/>
        <v>1</v>
      </c>
      <c r="O6" s="13" t="str">
        <f t="shared" si="4"/>
        <v/>
      </c>
      <c r="P6" s="20" t="s">
        <v>602</v>
      </c>
      <c r="Q6" s="215"/>
      <c r="R6" s="216"/>
      <c r="S6" s="216"/>
      <c r="T6" s="216"/>
      <c r="U6" s="216"/>
      <c r="V6" s="216"/>
      <c r="W6" s="216"/>
      <c r="X6" s="216"/>
      <c r="Y6" s="216"/>
      <c r="Z6" s="216"/>
      <c r="AA6" s="216"/>
      <c r="AB6" s="216"/>
      <c r="AC6" s="27"/>
      <c r="AD6" s="27"/>
    </row>
    <row r="7" spans="1:246" ht="24.6" customHeight="1" x14ac:dyDescent="0.25">
      <c r="A7" s="15">
        <v>246</v>
      </c>
      <c r="B7" s="11"/>
      <c r="C7" s="16" t="s">
        <v>576</v>
      </c>
      <c r="D7" s="13" t="s">
        <v>24</v>
      </c>
      <c r="E7" s="13" t="s">
        <v>365</v>
      </c>
      <c r="F7" s="14">
        <v>44158</v>
      </c>
      <c r="G7" s="14"/>
      <c r="H7" s="14"/>
      <c r="I7" s="14">
        <v>44155</v>
      </c>
      <c r="J7" s="13" t="str">
        <f t="shared" ca="1" si="5"/>
        <v>DONE</v>
      </c>
      <c r="K7" s="13"/>
      <c r="L7" s="13"/>
      <c r="M7" s="13"/>
      <c r="N7" s="13"/>
      <c r="O7" s="13"/>
      <c r="P7" s="20" t="s">
        <v>582</v>
      </c>
      <c r="Q7" s="215"/>
      <c r="R7" s="216"/>
      <c r="S7" s="216"/>
      <c r="T7" s="216"/>
      <c r="U7" s="216"/>
      <c r="V7" s="216"/>
      <c r="W7" s="216"/>
      <c r="X7" s="216"/>
      <c r="Y7" s="216"/>
      <c r="Z7" s="216"/>
      <c r="AA7" s="216"/>
      <c r="AB7" s="216"/>
      <c r="AC7" s="27"/>
      <c r="AD7" s="27"/>
    </row>
    <row r="8" spans="1:246" ht="57" customHeight="1" x14ac:dyDescent="0.25">
      <c r="A8" s="15">
        <v>247</v>
      </c>
      <c r="B8" s="11"/>
      <c r="C8" s="16" t="s">
        <v>620</v>
      </c>
      <c r="D8" s="13" t="s">
        <v>24</v>
      </c>
      <c r="E8" s="13" t="s">
        <v>358</v>
      </c>
      <c r="F8" s="14">
        <v>44200</v>
      </c>
      <c r="G8" s="14"/>
      <c r="H8" s="14"/>
      <c r="I8" s="14">
        <v>44228</v>
      </c>
      <c r="J8" s="13" t="str">
        <f t="shared" ca="1" si="5"/>
        <v>DONE</v>
      </c>
      <c r="K8" s="13"/>
      <c r="L8" s="13"/>
      <c r="M8" s="13"/>
      <c r="N8" s="13"/>
      <c r="O8" s="13"/>
      <c r="P8" s="20" t="s">
        <v>637</v>
      </c>
      <c r="Q8" s="215"/>
      <c r="R8" s="216"/>
      <c r="S8" s="216"/>
      <c r="T8" s="216"/>
      <c r="U8" s="216"/>
      <c r="V8" s="216"/>
      <c r="W8" s="216"/>
      <c r="X8" s="216"/>
      <c r="Y8" s="216"/>
      <c r="Z8" s="216"/>
      <c r="AA8" s="216"/>
      <c r="AB8" s="216"/>
      <c r="AC8" s="27"/>
      <c r="AD8" s="27"/>
    </row>
    <row r="9" spans="1:246" ht="70.5" customHeight="1" x14ac:dyDescent="0.25">
      <c r="A9" s="15">
        <v>248</v>
      </c>
      <c r="B9" s="11"/>
      <c r="C9" s="16" t="s">
        <v>639</v>
      </c>
      <c r="D9" s="13" t="s">
        <v>24</v>
      </c>
      <c r="E9" s="13" t="s">
        <v>365</v>
      </c>
      <c r="F9" s="14">
        <v>44235</v>
      </c>
      <c r="G9" s="14"/>
      <c r="H9" s="14"/>
      <c r="I9" s="14">
        <v>44333</v>
      </c>
      <c r="J9" s="13" t="str">
        <f t="shared" ca="1" si="5"/>
        <v>DONE</v>
      </c>
      <c r="K9" s="13" t="str">
        <f t="shared" si="0"/>
        <v/>
      </c>
      <c r="L9" s="13">
        <f t="shared" ca="1" si="1"/>
        <v>0</v>
      </c>
      <c r="M9" s="13">
        <f t="shared" ca="1" si="2"/>
        <v>0</v>
      </c>
      <c r="N9" s="13">
        <f t="shared" ca="1" si="3"/>
        <v>1</v>
      </c>
      <c r="O9" s="13" t="str">
        <f t="shared" si="4"/>
        <v/>
      </c>
      <c r="P9" s="20" t="s">
        <v>658</v>
      </c>
      <c r="Q9" s="215"/>
      <c r="R9" s="216"/>
      <c r="S9" s="216"/>
      <c r="T9" s="216"/>
      <c r="U9" s="216"/>
      <c r="V9" s="216"/>
      <c r="W9" s="216"/>
      <c r="X9" s="216"/>
      <c r="Y9" s="216"/>
      <c r="Z9" s="216"/>
      <c r="AA9" s="216"/>
      <c r="AB9" s="216"/>
      <c r="AC9" s="27"/>
      <c r="AD9" s="27"/>
    </row>
    <row r="10" spans="1:246" ht="24.6" customHeight="1" x14ac:dyDescent="0.25">
      <c r="A10" s="15">
        <v>249</v>
      </c>
      <c r="B10" s="13"/>
      <c r="C10" s="12" t="s">
        <v>653</v>
      </c>
      <c r="D10" s="13"/>
      <c r="E10" s="13"/>
      <c r="F10" s="14"/>
      <c r="G10" s="14"/>
      <c r="H10" s="14"/>
      <c r="I10" s="14">
        <v>44333</v>
      </c>
      <c r="J10" s="13" t="str">
        <f t="shared" ca="1" si="5"/>
        <v>DONE</v>
      </c>
      <c r="K10" s="13" t="str">
        <f t="shared" si="0"/>
        <v/>
      </c>
      <c r="L10" s="13">
        <f t="shared" ca="1" si="1"/>
        <v>0</v>
      </c>
      <c r="M10" s="13">
        <f t="shared" ca="1" si="2"/>
        <v>0</v>
      </c>
      <c r="N10" s="13">
        <f t="shared" ca="1" si="3"/>
        <v>1</v>
      </c>
      <c r="O10" s="13" t="str">
        <f t="shared" si="4"/>
        <v/>
      </c>
      <c r="P10" s="20" t="s">
        <v>659</v>
      </c>
      <c r="Q10" s="215"/>
      <c r="R10" s="216"/>
      <c r="S10" s="216"/>
      <c r="T10" s="216"/>
      <c r="U10" s="216"/>
      <c r="V10" s="216"/>
      <c r="W10" s="216"/>
      <c r="X10" s="216"/>
      <c r="Y10" s="216"/>
      <c r="Z10" s="216"/>
      <c r="AA10" s="216"/>
      <c r="AB10" s="216"/>
      <c r="AC10" s="27"/>
      <c r="AD10" s="27"/>
    </row>
    <row r="11" spans="1:246" ht="24.6" customHeight="1" x14ac:dyDescent="0.25">
      <c r="A11" s="15"/>
      <c r="B11" s="11"/>
      <c r="C11" s="16"/>
      <c r="D11" s="13" t="s">
        <v>24</v>
      </c>
      <c r="E11" s="13"/>
      <c r="F11" s="14"/>
      <c r="G11" s="14"/>
      <c r="H11" s="14"/>
      <c r="I11" s="14"/>
      <c r="J11" s="13" t="str">
        <f t="shared" ca="1" si="5"/>
        <v>IN TIME</v>
      </c>
      <c r="K11" s="13" t="str">
        <f t="shared" si="0"/>
        <v/>
      </c>
      <c r="L11" s="13">
        <f t="shared" ca="1" si="1"/>
        <v>0</v>
      </c>
      <c r="M11" s="13">
        <f t="shared" ca="1" si="2"/>
        <v>1</v>
      </c>
      <c r="N11" s="13">
        <f t="shared" ca="1" si="3"/>
        <v>0</v>
      </c>
      <c r="O11" s="13" t="str">
        <f t="shared" si="4"/>
        <v/>
      </c>
      <c r="P11" s="20"/>
      <c r="Q11" s="215"/>
      <c r="R11" s="216"/>
      <c r="S11" s="216"/>
      <c r="T11" s="216"/>
      <c r="U11" s="216"/>
      <c r="V11" s="216"/>
      <c r="W11" s="216"/>
      <c r="X11" s="216"/>
      <c r="Y11" s="216"/>
      <c r="Z11" s="216"/>
      <c r="AA11" s="216"/>
      <c r="AB11" s="216"/>
      <c r="AC11" s="27"/>
      <c r="AD11" s="27"/>
    </row>
    <row r="12" spans="1:246" ht="24.6" customHeight="1" x14ac:dyDescent="0.25">
      <c r="A12" s="15">
        <v>251</v>
      </c>
      <c r="B12" s="11"/>
      <c r="C12" s="16"/>
      <c r="D12" s="13" t="s">
        <v>24</v>
      </c>
      <c r="E12" s="13"/>
      <c r="F12" s="14"/>
      <c r="G12" s="14"/>
      <c r="H12" s="14"/>
      <c r="I12" s="14"/>
      <c r="J12" s="13" t="str">
        <f t="shared" ca="1" si="5"/>
        <v>IN TIME</v>
      </c>
      <c r="K12" s="13" t="str">
        <f t="shared" si="0"/>
        <v/>
      </c>
      <c r="L12" s="13">
        <f t="shared" ca="1" si="1"/>
        <v>0</v>
      </c>
      <c r="M12" s="13">
        <f t="shared" ca="1" si="2"/>
        <v>1</v>
      </c>
      <c r="N12" s="13">
        <f t="shared" ca="1" si="3"/>
        <v>0</v>
      </c>
      <c r="O12" s="13" t="str">
        <f t="shared" si="4"/>
        <v/>
      </c>
      <c r="P12" s="20"/>
      <c r="Q12" s="151"/>
      <c r="R12" s="152"/>
      <c r="S12" s="152"/>
      <c r="T12" s="152"/>
      <c r="U12" s="152"/>
      <c r="V12" s="152"/>
      <c r="W12" s="152"/>
      <c r="X12" s="152"/>
      <c r="Y12" s="152"/>
      <c r="Z12" s="152"/>
      <c r="AA12" s="152"/>
      <c r="AB12" s="152"/>
      <c r="AC12" s="27"/>
      <c r="AD12" s="27"/>
    </row>
    <row r="13" spans="1:246" ht="93" customHeight="1" x14ac:dyDescent="0.25">
      <c r="A13" s="15">
        <v>252</v>
      </c>
      <c r="B13" s="11"/>
      <c r="C13" s="16"/>
      <c r="D13" s="13" t="s">
        <v>24</v>
      </c>
      <c r="E13" s="13"/>
      <c r="F13" s="14"/>
      <c r="G13" s="14"/>
      <c r="H13" s="14"/>
      <c r="I13" s="14"/>
      <c r="J13" s="13" t="str">
        <f t="shared" ca="1" si="5"/>
        <v>IN TIME</v>
      </c>
      <c r="K13" s="13" t="str">
        <f t="shared" si="0"/>
        <v/>
      </c>
      <c r="L13" s="13">
        <f t="shared" ca="1" si="1"/>
        <v>0</v>
      </c>
      <c r="M13" s="13">
        <f t="shared" ca="1" si="2"/>
        <v>1</v>
      </c>
      <c r="N13" s="13">
        <f t="shared" ca="1" si="3"/>
        <v>0</v>
      </c>
      <c r="O13" s="13" t="str">
        <f t="shared" si="4"/>
        <v/>
      </c>
      <c r="P13" s="20"/>
      <c r="Q13" s="151"/>
      <c r="R13" s="152"/>
      <c r="S13" s="152"/>
      <c r="T13" s="152"/>
      <c r="U13" s="152"/>
      <c r="V13" s="152"/>
      <c r="W13" s="152"/>
      <c r="X13" s="152"/>
      <c r="Y13" s="152"/>
      <c r="Z13" s="152"/>
      <c r="AA13" s="152"/>
      <c r="AB13" s="152"/>
      <c r="AC13" s="27"/>
      <c r="AD13" s="27"/>
    </row>
    <row r="14" spans="1:246" ht="24.6" customHeight="1" x14ac:dyDescent="0.25">
      <c r="A14" s="15">
        <v>253</v>
      </c>
      <c r="B14" s="13"/>
      <c r="C14" s="12"/>
      <c r="D14" s="13"/>
      <c r="E14" s="13"/>
      <c r="F14" s="14"/>
      <c r="G14" s="14"/>
      <c r="H14" s="14"/>
      <c r="I14" s="14"/>
      <c r="J14" s="13" t="str">
        <f t="shared" ca="1" si="5"/>
        <v>IN TIME</v>
      </c>
      <c r="K14" s="13" t="str">
        <f t="shared" si="0"/>
        <v/>
      </c>
      <c r="L14" s="13">
        <f t="shared" ca="1" si="1"/>
        <v>0</v>
      </c>
      <c r="M14" s="13">
        <f t="shared" ca="1" si="2"/>
        <v>1</v>
      </c>
      <c r="N14" s="13">
        <f t="shared" ca="1" si="3"/>
        <v>0</v>
      </c>
      <c r="O14" s="13" t="str">
        <f t="shared" si="4"/>
        <v/>
      </c>
      <c r="P14" s="20"/>
      <c r="Q14" s="151"/>
      <c r="R14" s="152"/>
      <c r="S14" s="152"/>
      <c r="T14" s="152"/>
      <c r="U14" s="152"/>
      <c r="V14" s="152"/>
      <c r="W14" s="152"/>
      <c r="X14" s="152"/>
      <c r="Y14" s="152"/>
      <c r="Z14" s="152"/>
      <c r="AA14" s="152"/>
      <c r="AB14" s="152"/>
      <c r="AC14" s="27"/>
      <c r="AD14" s="27"/>
    </row>
    <row r="15" spans="1:246" ht="24.6" customHeight="1" x14ac:dyDescent="0.25">
      <c r="A15" s="15">
        <v>254</v>
      </c>
      <c r="B15" s="13"/>
      <c r="C15" s="12"/>
      <c r="D15" s="13"/>
      <c r="E15" s="13"/>
      <c r="F15" s="14"/>
      <c r="G15" s="14"/>
      <c r="H15" s="14"/>
      <c r="I15" s="14"/>
      <c r="J15" s="13" t="str">
        <f t="shared" ca="1" si="5"/>
        <v>IN TIME</v>
      </c>
      <c r="K15" s="13" t="str">
        <f t="shared" si="0"/>
        <v/>
      </c>
      <c r="L15" s="13">
        <f t="shared" ca="1" si="1"/>
        <v>0</v>
      </c>
      <c r="M15" s="13">
        <f t="shared" ca="1" si="2"/>
        <v>1</v>
      </c>
      <c r="N15" s="13">
        <f t="shared" ca="1" si="3"/>
        <v>0</v>
      </c>
      <c r="O15" s="13" t="str">
        <f t="shared" si="4"/>
        <v/>
      </c>
      <c r="P15" s="20"/>
      <c r="Q15" s="151"/>
      <c r="R15" s="152"/>
      <c r="S15" s="152"/>
      <c r="T15" s="152"/>
      <c r="U15" s="152"/>
      <c r="V15" s="152"/>
      <c r="W15" s="152"/>
      <c r="X15" s="152"/>
      <c r="Y15" s="152"/>
      <c r="Z15" s="152"/>
      <c r="AA15" s="152"/>
      <c r="AB15" s="152"/>
      <c r="AC15" s="27"/>
      <c r="AD15" s="27"/>
    </row>
    <row r="16" spans="1:246" ht="24.6" customHeight="1" x14ac:dyDescent="0.25">
      <c r="A16" s="15">
        <v>255</v>
      </c>
      <c r="B16" s="13"/>
      <c r="C16" s="12"/>
      <c r="D16" s="13"/>
      <c r="E16" s="13"/>
      <c r="F16" s="14"/>
      <c r="G16" s="14"/>
      <c r="H16" s="14"/>
      <c r="I16" s="14"/>
      <c r="J16" s="13" t="str">
        <f t="shared" ca="1" si="5"/>
        <v>IN TIME</v>
      </c>
      <c r="K16" s="13" t="str">
        <f t="shared" si="0"/>
        <v/>
      </c>
      <c r="L16" s="13">
        <f t="shared" ca="1" si="1"/>
        <v>0</v>
      </c>
      <c r="M16" s="13">
        <f t="shared" ca="1" si="2"/>
        <v>1</v>
      </c>
      <c r="N16" s="13">
        <f t="shared" ca="1" si="3"/>
        <v>0</v>
      </c>
      <c r="O16" s="13" t="str">
        <f t="shared" si="4"/>
        <v/>
      </c>
      <c r="P16" s="20"/>
      <c r="Q16" s="151"/>
      <c r="R16" s="152"/>
      <c r="S16" s="152"/>
      <c r="T16" s="152"/>
      <c r="U16" s="152"/>
      <c r="V16" s="152"/>
      <c r="W16" s="152"/>
      <c r="X16" s="152"/>
      <c r="Y16" s="152"/>
      <c r="Z16" s="152"/>
      <c r="AA16" s="152"/>
      <c r="AB16" s="152"/>
      <c r="AC16" s="27"/>
      <c r="AD16" s="27"/>
    </row>
    <row r="17" spans="1:30" ht="24.6" customHeight="1" x14ac:dyDescent="0.25">
      <c r="A17" s="15">
        <v>256</v>
      </c>
      <c r="B17" s="13"/>
      <c r="C17" s="12"/>
      <c r="D17" s="13"/>
      <c r="E17" s="13"/>
      <c r="F17" s="14"/>
      <c r="G17" s="14"/>
      <c r="H17" s="14"/>
      <c r="I17" s="14"/>
      <c r="J17" s="13" t="str">
        <f t="shared" ca="1" si="5"/>
        <v>IN TIME</v>
      </c>
      <c r="K17" s="13" t="str">
        <f t="shared" si="0"/>
        <v/>
      </c>
      <c r="L17" s="13">
        <f t="shared" ca="1" si="1"/>
        <v>0</v>
      </c>
      <c r="M17" s="13">
        <f t="shared" ca="1" si="2"/>
        <v>1</v>
      </c>
      <c r="N17" s="13">
        <f t="shared" ca="1" si="3"/>
        <v>0</v>
      </c>
      <c r="O17" s="13" t="str">
        <f t="shared" si="4"/>
        <v/>
      </c>
      <c r="P17" s="20"/>
      <c r="Q17" s="151"/>
      <c r="R17" s="152"/>
      <c r="S17" s="152"/>
      <c r="T17" s="152"/>
      <c r="U17" s="152"/>
      <c r="V17" s="152"/>
      <c r="W17" s="152"/>
      <c r="X17" s="152"/>
      <c r="Y17" s="152"/>
      <c r="Z17" s="152"/>
      <c r="AA17" s="152"/>
      <c r="AB17" s="152"/>
      <c r="AC17" s="27"/>
      <c r="AD17" s="27"/>
    </row>
    <row r="18" spans="1:30" ht="24.6" customHeight="1" x14ac:dyDescent="0.25">
      <c r="A18" s="15">
        <v>257</v>
      </c>
      <c r="B18" s="13"/>
      <c r="C18" s="12"/>
      <c r="D18" s="13"/>
      <c r="E18" s="13"/>
      <c r="F18" s="14"/>
      <c r="G18" s="14"/>
      <c r="H18" s="14"/>
      <c r="I18" s="14"/>
      <c r="J18" s="13" t="str">
        <f t="shared" ca="1" si="5"/>
        <v>IN TIME</v>
      </c>
      <c r="K18" s="13" t="str">
        <f t="shared" si="0"/>
        <v/>
      </c>
      <c r="L18" s="13">
        <f t="shared" ca="1" si="1"/>
        <v>0</v>
      </c>
      <c r="M18" s="13">
        <f t="shared" ca="1" si="2"/>
        <v>1</v>
      </c>
      <c r="N18" s="13">
        <f t="shared" ca="1" si="3"/>
        <v>0</v>
      </c>
      <c r="O18" s="13" t="str">
        <f t="shared" si="4"/>
        <v/>
      </c>
      <c r="P18" s="20"/>
      <c r="Q18" s="151"/>
      <c r="R18" s="152"/>
      <c r="S18" s="152"/>
      <c r="T18" s="152"/>
      <c r="U18" s="152"/>
      <c r="V18" s="152"/>
      <c r="W18" s="152"/>
      <c r="X18" s="152"/>
      <c r="Y18" s="152"/>
      <c r="Z18" s="152"/>
      <c r="AA18" s="152"/>
      <c r="AB18" s="152"/>
      <c r="AC18" s="27"/>
      <c r="AD18" s="27"/>
    </row>
    <row r="19" spans="1:30" ht="24.6" customHeight="1" x14ac:dyDescent="0.25">
      <c r="A19" s="15">
        <v>258</v>
      </c>
      <c r="B19" s="13"/>
      <c r="C19" s="12"/>
      <c r="D19" s="13"/>
      <c r="E19" s="13"/>
      <c r="F19" s="14"/>
      <c r="G19" s="14"/>
      <c r="H19" s="14"/>
      <c r="I19" s="14"/>
      <c r="J19" s="13" t="str">
        <f t="shared" ca="1" si="5"/>
        <v>IN TIME</v>
      </c>
      <c r="K19" s="13" t="str">
        <f t="shared" si="0"/>
        <v/>
      </c>
      <c r="L19" s="13">
        <f t="shared" ca="1" si="1"/>
        <v>0</v>
      </c>
      <c r="M19" s="13">
        <f t="shared" ca="1" si="2"/>
        <v>1</v>
      </c>
      <c r="N19" s="13">
        <f t="shared" ca="1" si="3"/>
        <v>0</v>
      </c>
      <c r="O19" s="13" t="str">
        <f t="shared" si="4"/>
        <v/>
      </c>
      <c r="P19" s="20"/>
      <c r="Q19" s="151"/>
      <c r="R19" s="152"/>
      <c r="S19" s="152"/>
      <c r="T19" s="152"/>
      <c r="U19" s="152"/>
      <c r="V19" s="152"/>
      <c r="W19" s="152"/>
      <c r="X19" s="152"/>
      <c r="Y19" s="152"/>
      <c r="Z19" s="152"/>
      <c r="AA19" s="152"/>
      <c r="AB19" s="152"/>
      <c r="AC19" s="27"/>
      <c r="AD19" s="27"/>
    </row>
    <row r="20" spans="1:30" ht="24.6" customHeight="1" x14ac:dyDescent="0.25">
      <c r="A20" s="15">
        <v>259</v>
      </c>
      <c r="B20" s="13"/>
      <c r="C20" s="12"/>
      <c r="D20" s="13"/>
      <c r="E20" s="13"/>
      <c r="F20" s="14"/>
      <c r="G20" s="14"/>
      <c r="H20" s="14"/>
      <c r="I20" s="14"/>
      <c r="J20" s="13" t="str">
        <f t="shared" ca="1" si="5"/>
        <v>IN TIME</v>
      </c>
      <c r="K20" s="13" t="str">
        <f t="shared" si="0"/>
        <v/>
      </c>
      <c r="L20" s="13">
        <f t="shared" ca="1" si="1"/>
        <v>0</v>
      </c>
      <c r="M20" s="13">
        <f t="shared" ca="1" si="2"/>
        <v>1</v>
      </c>
      <c r="N20" s="13">
        <f t="shared" ca="1" si="3"/>
        <v>0</v>
      </c>
      <c r="O20" s="13" t="str">
        <f t="shared" si="4"/>
        <v/>
      </c>
      <c r="P20" s="20"/>
      <c r="Q20" s="151"/>
      <c r="R20" s="152"/>
      <c r="S20" s="152"/>
      <c r="T20" s="152"/>
      <c r="U20" s="152"/>
      <c r="V20" s="152"/>
      <c r="W20" s="152"/>
      <c r="X20" s="152"/>
      <c r="Y20" s="152"/>
      <c r="Z20" s="152"/>
      <c r="AA20" s="152"/>
      <c r="AB20" s="152"/>
      <c r="AC20" s="27"/>
      <c r="AD20" s="27"/>
    </row>
    <row r="21" spans="1:30" ht="24.6" customHeight="1" x14ac:dyDescent="0.25">
      <c r="A21" s="15">
        <v>260</v>
      </c>
      <c r="B21" s="13"/>
      <c r="C21" s="12"/>
      <c r="D21" s="13"/>
      <c r="E21" s="13"/>
      <c r="F21" s="14"/>
      <c r="G21" s="14"/>
      <c r="H21" s="14"/>
      <c r="I21" s="14"/>
      <c r="J21" s="13" t="str">
        <f t="shared" ca="1" si="5"/>
        <v>IN TIME</v>
      </c>
      <c r="K21" s="13" t="str">
        <f t="shared" si="0"/>
        <v/>
      </c>
      <c r="L21" s="13">
        <f t="shared" ca="1" si="1"/>
        <v>0</v>
      </c>
      <c r="M21" s="13">
        <f t="shared" ca="1" si="2"/>
        <v>1</v>
      </c>
      <c r="N21" s="13">
        <f t="shared" ca="1" si="3"/>
        <v>0</v>
      </c>
      <c r="O21" s="13" t="str">
        <f t="shared" si="4"/>
        <v/>
      </c>
      <c r="P21" s="20"/>
      <c r="Q21" s="151"/>
      <c r="R21" s="152"/>
      <c r="S21" s="152"/>
      <c r="T21" s="152"/>
      <c r="U21" s="152"/>
      <c r="V21" s="152"/>
      <c r="W21" s="152"/>
      <c r="X21" s="152"/>
      <c r="Y21" s="152"/>
      <c r="Z21" s="152"/>
      <c r="AA21" s="152"/>
      <c r="AB21" s="152"/>
      <c r="AC21" s="27"/>
      <c r="AD21" s="27"/>
    </row>
    <row r="22" spans="1:30" ht="24.6" customHeight="1" x14ac:dyDescent="0.25">
      <c r="A22" s="15">
        <v>261</v>
      </c>
      <c r="B22" s="13"/>
      <c r="C22" s="12"/>
      <c r="D22" s="13"/>
      <c r="E22" s="13"/>
      <c r="F22" s="14"/>
      <c r="G22" s="14"/>
      <c r="H22" s="14"/>
      <c r="I22" s="14"/>
      <c r="J22" s="13" t="str">
        <f t="shared" ca="1" si="5"/>
        <v>IN TIME</v>
      </c>
      <c r="K22" s="13" t="str">
        <f t="shared" si="0"/>
        <v/>
      </c>
      <c r="L22" s="13">
        <f t="shared" ca="1" si="1"/>
        <v>0</v>
      </c>
      <c r="M22" s="13">
        <f t="shared" ca="1" si="2"/>
        <v>1</v>
      </c>
      <c r="N22" s="13">
        <f t="shared" ca="1" si="3"/>
        <v>0</v>
      </c>
      <c r="O22" s="13" t="str">
        <f t="shared" si="4"/>
        <v/>
      </c>
      <c r="P22" s="20"/>
      <c r="Q22" s="151"/>
      <c r="R22" s="152"/>
      <c r="S22" s="152"/>
      <c r="T22" s="152"/>
      <c r="U22" s="152"/>
      <c r="V22" s="152"/>
      <c r="W22" s="152"/>
      <c r="X22" s="152"/>
      <c r="Y22" s="152"/>
      <c r="Z22" s="152"/>
      <c r="AA22" s="152"/>
      <c r="AB22" s="152"/>
      <c r="AC22" s="27"/>
      <c r="AD22" s="27"/>
    </row>
    <row r="23" spans="1:30" ht="24.6" customHeight="1" x14ac:dyDescent="0.25">
      <c r="A23" s="15">
        <v>262</v>
      </c>
      <c r="B23" s="13"/>
      <c r="C23" s="12"/>
      <c r="D23" s="13"/>
      <c r="E23" s="13"/>
      <c r="F23" s="14"/>
      <c r="G23" s="14"/>
      <c r="H23" s="14"/>
      <c r="I23" s="14"/>
      <c r="J23" s="13" t="str">
        <f t="shared" ca="1" si="5"/>
        <v>IN TIME</v>
      </c>
      <c r="K23" s="13" t="str">
        <f t="shared" si="0"/>
        <v/>
      </c>
      <c r="L23" s="13">
        <f t="shared" ca="1" si="1"/>
        <v>0</v>
      </c>
      <c r="M23" s="13">
        <f t="shared" ca="1" si="2"/>
        <v>1</v>
      </c>
      <c r="N23" s="13">
        <f t="shared" ca="1" si="3"/>
        <v>0</v>
      </c>
      <c r="O23" s="13" t="str">
        <f t="shared" si="4"/>
        <v/>
      </c>
      <c r="P23" s="20"/>
      <c r="Q23" s="151"/>
      <c r="R23" s="152"/>
      <c r="S23" s="152"/>
      <c r="T23" s="152"/>
      <c r="U23" s="152"/>
      <c r="V23" s="152"/>
      <c r="W23" s="152"/>
      <c r="X23" s="152"/>
      <c r="Y23" s="152"/>
      <c r="Z23" s="152"/>
      <c r="AA23" s="152"/>
      <c r="AB23" s="152"/>
      <c r="AC23" s="27"/>
      <c r="AD23" s="27"/>
    </row>
    <row r="24" spans="1:30" ht="24.6" customHeight="1" x14ac:dyDescent="0.25">
      <c r="A24" s="15">
        <v>263</v>
      </c>
      <c r="B24" s="13"/>
      <c r="C24" s="12"/>
      <c r="D24" s="13"/>
      <c r="E24" s="13"/>
      <c r="F24" s="14"/>
      <c r="G24" s="14"/>
      <c r="H24" s="14"/>
      <c r="I24" s="14"/>
      <c r="J24" s="13" t="str">
        <f t="shared" ca="1" si="5"/>
        <v>IN TIME</v>
      </c>
      <c r="K24" s="13" t="str">
        <f t="shared" si="0"/>
        <v/>
      </c>
      <c r="L24" s="13">
        <f t="shared" ca="1" si="1"/>
        <v>0</v>
      </c>
      <c r="M24" s="13">
        <f t="shared" ca="1" si="2"/>
        <v>1</v>
      </c>
      <c r="N24" s="13">
        <f t="shared" ca="1" si="3"/>
        <v>0</v>
      </c>
      <c r="O24" s="13" t="str">
        <f t="shared" si="4"/>
        <v/>
      </c>
      <c r="P24" s="20"/>
      <c r="Q24" s="151"/>
      <c r="R24" s="152"/>
      <c r="S24" s="152"/>
      <c r="T24" s="152"/>
      <c r="U24" s="152"/>
      <c r="V24" s="152"/>
      <c r="W24" s="152"/>
      <c r="X24" s="152"/>
      <c r="Y24" s="152"/>
      <c r="Z24" s="152"/>
      <c r="AA24" s="152"/>
      <c r="AB24" s="152"/>
      <c r="AC24" s="27"/>
      <c r="AD24" s="27"/>
    </row>
    <row r="25" spans="1:30" ht="24.6" customHeight="1" x14ac:dyDescent="0.25">
      <c r="A25" s="15">
        <v>264</v>
      </c>
      <c r="B25" s="13"/>
      <c r="C25" s="12"/>
      <c r="D25" s="13"/>
      <c r="E25" s="13"/>
      <c r="F25" s="14"/>
      <c r="G25" s="14"/>
      <c r="H25" s="14"/>
      <c r="I25" s="14"/>
      <c r="J25" s="13" t="str">
        <f t="shared" ca="1" si="5"/>
        <v>IN TIME</v>
      </c>
      <c r="K25" s="13" t="str">
        <f t="shared" si="0"/>
        <v/>
      </c>
      <c r="L25" s="13">
        <f t="shared" ca="1" si="1"/>
        <v>0</v>
      </c>
      <c r="M25" s="13">
        <f t="shared" ca="1" si="2"/>
        <v>1</v>
      </c>
      <c r="N25" s="13">
        <f t="shared" ca="1" si="3"/>
        <v>0</v>
      </c>
      <c r="O25" s="13" t="str">
        <f t="shared" si="4"/>
        <v/>
      </c>
      <c r="P25" s="20"/>
      <c r="Q25" s="151"/>
      <c r="R25" s="152"/>
      <c r="S25" s="152"/>
      <c r="T25" s="152"/>
      <c r="U25" s="152"/>
      <c r="V25" s="152"/>
      <c r="W25" s="152"/>
      <c r="X25" s="152"/>
      <c r="Y25" s="152"/>
      <c r="Z25" s="152"/>
      <c r="AA25" s="152"/>
      <c r="AB25" s="152"/>
      <c r="AC25" s="27"/>
      <c r="AD25" s="27"/>
    </row>
    <row r="26" spans="1:30" ht="24.6" customHeight="1" x14ac:dyDescent="0.25">
      <c r="A26" s="15">
        <v>265</v>
      </c>
      <c r="B26" s="13"/>
      <c r="C26" s="12"/>
      <c r="D26" s="13"/>
      <c r="E26" s="13"/>
      <c r="F26" s="14"/>
      <c r="G26" s="14"/>
      <c r="H26" s="14"/>
      <c r="I26" s="14"/>
      <c r="J26" s="13" t="str">
        <f t="shared" ca="1" si="5"/>
        <v>IN TIME</v>
      </c>
      <c r="K26" s="13" t="str">
        <f t="shared" si="0"/>
        <v/>
      </c>
      <c r="L26" s="13">
        <f t="shared" ca="1" si="1"/>
        <v>0</v>
      </c>
      <c r="M26" s="13">
        <f t="shared" ca="1" si="2"/>
        <v>1</v>
      </c>
      <c r="N26" s="13">
        <f t="shared" ca="1" si="3"/>
        <v>0</v>
      </c>
      <c r="O26" s="13" t="str">
        <f t="shared" si="4"/>
        <v/>
      </c>
      <c r="P26" s="20"/>
      <c r="Q26" s="151"/>
      <c r="R26" s="152"/>
      <c r="S26" s="152"/>
      <c r="T26" s="152"/>
      <c r="U26" s="152"/>
      <c r="V26" s="152"/>
      <c r="W26" s="152"/>
      <c r="X26" s="152"/>
      <c r="Y26" s="152"/>
      <c r="Z26" s="152"/>
      <c r="AA26" s="152"/>
      <c r="AB26" s="152"/>
      <c r="AC26" s="27"/>
      <c r="AD26" s="27"/>
    </row>
    <row r="27" spans="1:30" ht="24.6" customHeight="1" x14ac:dyDescent="0.25">
      <c r="A27" s="15">
        <v>266</v>
      </c>
      <c r="B27" s="13"/>
      <c r="C27" s="12"/>
      <c r="D27" s="13"/>
      <c r="E27" s="13"/>
      <c r="F27" s="14"/>
      <c r="G27" s="14"/>
      <c r="H27" s="14"/>
      <c r="I27" s="14"/>
      <c r="J27" s="13" t="str">
        <f t="shared" ca="1" si="5"/>
        <v>IN TIME</v>
      </c>
      <c r="K27" s="13" t="str">
        <f t="shared" si="0"/>
        <v/>
      </c>
      <c r="L27" s="13">
        <f t="shared" ca="1" si="1"/>
        <v>0</v>
      </c>
      <c r="M27" s="13">
        <f t="shared" ca="1" si="2"/>
        <v>1</v>
      </c>
      <c r="N27" s="13">
        <f t="shared" ca="1" si="3"/>
        <v>0</v>
      </c>
      <c r="O27" s="13" t="str">
        <f t="shared" si="4"/>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215" priority="70" operator="equal">
      <formula>"OVERDUE"</formula>
    </cfRule>
    <cfRule type="cellIs" dxfId="214" priority="71" operator="equal">
      <formula>"DONE"</formula>
    </cfRule>
    <cfRule type="cellIs" dxfId="213" priority="72" operator="equal">
      <formula>"DONE"</formula>
    </cfRule>
  </conditionalFormatting>
  <conditionalFormatting sqref="J5">
    <cfRule type="cellIs" dxfId="212" priority="67" operator="equal">
      <formula>"OVERDUE"</formula>
    </cfRule>
    <cfRule type="cellIs" dxfId="211" priority="68" operator="equal">
      <formula>"DONE"</formula>
    </cfRule>
    <cfRule type="cellIs" dxfId="210" priority="69" operator="equal">
      <formula>"DONE"</formula>
    </cfRule>
  </conditionalFormatting>
  <conditionalFormatting sqref="J6:J8">
    <cfRule type="cellIs" dxfId="209" priority="64" operator="equal">
      <formula>"OVERDUE"</formula>
    </cfRule>
    <cfRule type="cellIs" dxfId="208" priority="65" operator="equal">
      <formula>"DONE"</formula>
    </cfRule>
    <cfRule type="cellIs" dxfId="207" priority="66" operator="equal">
      <formula>"DONE"</formula>
    </cfRule>
  </conditionalFormatting>
  <conditionalFormatting sqref="J9">
    <cfRule type="cellIs" dxfId="206" priority="55" operator="equal">
      <formula>"OVERDUE"</formula>
    </cfRule>
    <cfRule type="cellIs" dxfId="205" priority="56" operator="equal">
      <formula>"DONE"</formula>
    </cfRule>
    <cfRule type="cellIs" dxfId="204" priority="57" operator="equal">
      <formula>"DONE"</formula>
    </cfRule>
  </conditionalFormatting>
  <conditionalFormatting sqref="J10">
    <cfRule type="cellIs" dxfId="203" priority="52" operator="equal">
      <formula>"OVERDUE"</formula>
    </cfRule>
    <cfRule type="cellIs" dxfId="202" priority="53" operator="equal">
      <formula>"DONE"</formula>
    </cfRule>
    <cfRule type="cellIs" dxfId="201" priority="54" operator="equal">
      <formula>"DONE"</formula>
    </cfRule>
  </conditionalFormatting>
  <conditionalFormatting sqref="J11">
    <cfRule type="cellIs" dxfId="200" priority="49" operator="equal">
      <formula>"OVERDUE"</formula>
    </cfRule>
    <cfRule type="cellIs" dxfId="199" priority="50" operator="equal">
      <formula>"DONE"</formula>
    </cfRule>
    <cfRule type="cellIs" dxfId="198" priority="51" operator="equal">
      <formula>"DONE"</formula>
    </cfRule>
  </conditionalFormatting>
  <conditionalFormatting sqref="J12">
    <cfRule type="cellIs" dxfId="197" priority="46" operator="equal">
      <formula>"OVERDUE"</formula>
    </cfRule>
    <cfRule type="cellIs" dxfId="196" priority="47" operator="equal">
      <formula>"DONE"</formula>
    </cfRule>
    <cfRule type="cellIs" dxfId="195" priority="48" operator="equal">
      <formula>"DONE"</formula>
    </cfRule>
  </conditionalFormatting>
  <conditionalFormatting sqref="J13">
    <cfRule type="cellIs" dxfId="194" priority="43" operator="equal">
      <formula>"OVERDUE"</formula>
    </cfRule>
    <cfRule type="cellIs" dxfId="193" priority="44" operator="equal">
      <formula>"DONE"</formula>
    </cfRule>
    <cfRule type="cellIs" dxfId="192" priority="45" operator="equal">
      <formula>"DONE"</formula>
    </cfRule>
  </conditionalFormatting>
  <conditionalFormatting sqref="J14">
    <cfRule type="cellIs" dxfId="191" priority="40" operator="equal">
      <formula>"OVERDUE"</formula>
    </cfRule>
    <cfRule type="cellIs" dxfId="190" priority="41" operator="equal">
      <formula>"DONE"</formula>
    </cfRule>
    <cfRule type="cellIs" dxfId="189" priority="42" operator="equal">
      <formula>"DONE"</formula>
    </cfRule>
  </conditionalFormatting>
  <conditionalFormatting sqref="J15">
    <cfRule type="cellIs" dxfId="188" priority="37" operator="equal">
      <formula>"OVERDUE"</formula>
    </cfRule>
    <cfRule type="cellIs" dxfId="187" priority="38" operator="equal">
      <formula>"DONE"</formula>
    </cfRule>
    <cfRule type="cellIs" dxfId="186" priority="39" operator="equal">
      <formula>"DONE"</formula>
    </cfRule>
  </conditionalFormatting>
  <conditionalFormatting sqref="J16">
    <cfRule type="cellIs" dxfId="185" priority="34" operator="equal">
      <formula>"OVERDUE"</formula>
    </cfRule>
    <cfRule type="cellIs" dxfId="184" priority="35" operator="equal">
      <formula>"DONE"</formula>
    </cfRule>
    <cfRule type="cellIs" dxfId="183" priority="36" operator="equal">
      <formula>"DONE"</formula>
    </cfRule>
  </conditionalFormatting>
  <conditionalFormatting sqref="J17">
    <cfRule type="cellIs" dxfId="182" priority="31" operator="equal">
      <formula>"OVERDUE"</formula>
    </cfRule>
    <cfRule type="cellIs" dxfId="181" priority="32" operator="equal">
      <formula>"DONE"</formula>
    </cfRule>
    <cfRule type="cellIs" dxfId="180" priority="33" operator="equal">
      <formula>"DONE"</formula>
    </cfRule>
  </conditionalFormatting>
  <conditionalFormatting sqref="J18">
    <cfRule type="cellIs" dxfId="179" priority="28" operator="equal">
      <formula>"OVERDUE"</formula>
    </cfRule>
    <cfRule type="cellIs" dxfId="178" priority="29" operator="equal">
      <formula>"DONE"</formula>
    </cfRule>
    <cfRule type="cellIs" dxfId="177" priority="30" operator="equal">
      <formula>"DONE"</formula>
    </cfRule>
  </conditionalFormatting>
  <conditionalFormatting sqref="J19">
    <cfRule type="cellIs" dxfId="176" priority="25" operator="equal">
      <formula>"OVERDUE"</formula>
    </cfRule>
    <cfRule type="cellIs" dxfId="175" priority="26" operator="equal">
      <formula>"DONE"</formula>
    </cfRule>
    <cfRule type="cellIs" dxfId="174" priority="27" operator="equal">
      <formula>"DONE"</formula>
    </cfRule>
  </conditionalFormatting>
  <conditionalFormatting sqref="J20">
    <cfRule type="cellIs" dxfId="173" priority="22" operator="equal">
      <formula>"OVERDUE"</formula>
    </cfRule>
    <cfRule type="cellIs" dxfId="172" priority="23" operator="equal">
      <formula>"DONE"</formula>
    </cfRule>
    <cfRule type="cellIs" dxfId="171" priority="24" operator="equal">
      <formula>"DONE"</formula>
    </cfRule>
  </conditionalFormatting>
  <conditionalFormatting sqref="J21">
    <cfRule type="cellIs" dxfId="170" priority="19" operator="equal">
      <formula>"OVERDUE"</formula>
    </cfRule>
    <cfRule type="cellIs" dxfId="169" priority="20" operator="equal">
      <formula>"DONE"</formula>
    </cfRule>
    <cfRule type="cellIs" dxfId="168" priority="21" operator="equal">
      <formula>"DONE"</formula>
    </cfRule>
  </conditionalFormatting>
  <conditionalFormatting sqref="J22">
    <cfRule type="cellIs" dxfId="167" priority="16" operator="equal">
      <formula>"OVERDUE"</formula>
    </cfRule>
    <cfRule type="cellIs" dxfId="166" priority="17" operator="equal">
      <formula>"DONE"</formula>
    </cfRule>
    <cfRule type="cellIs" dxfId="165" priority="18" operator="equal">
      <formula>"DONE"</formula>
    </cfRule>
  </conditionalFormatting>
  <conditionalFormatting sqref="J23">
    <cfRule type="cellIs" dxfId="164" priority="13" operator="equal">
      <formula>"OVERDUE"</formula>
    </cfRule>
    <cfRule type="cellIs" dxfId="163" priority="14" operator="equal">
      <formula>"DONE"</formula>
    </cfRule>
    <cfRule type="cellIs" dxfId="162" priority="15" operator="equal">
      <formula>"DONE"</formula>
    </cfRule>
  </conditionalFormatting>
  <conditionalFormatting sqref="J24">
    <cfRule type="cellIs" dxfId="161" priority="10" operator="equal">
      <formula>"OVERDUE"</formula>
    </cfRule>
    <cfRule type="cellIs" dxfId="160" priority="11" operator="equal">
      <formula>"DONE"</formula>
    </cfRule>
    <cfRule type="cellIs" dxfId="159" priority="12" operator="equal">
      <formula>"DONE"</formula>
    </cfRule>
  </conditionalFormatting>
  <conditionalFormatting sqref="J25">
    <cfRule type="cellIs" dxfId="158" priority="7" operator="equal">
      <formula>"OVERDUE"</formula>
    </cfRule>
    <cfRule type="cellIs" dxfId="157" priority="8" operator="equal">
      <formula>"DONE"</formula>
    </cfRule>
    <cfRule type="cellIs" dxfId="156" priority="9" operator="equal">
      <formula>"DONE"</formula>
    </cfRule>
  </conditionalFormatting>
  <conditionalFormatting sqref="J26">
    <cfRule type="cellIs" dxfId="155" priority="4" operator="equal">
      <formula>"OVERDUE"</formula>
    </cfRule>
    <cfRule type="cellIs" dxfId="154" priority="5" operator="equal">
      <formula>"DONE"</formula>
    </cfRule>
    <cfRule type="cellIs" dxfId="153" priority="6" operator="equal">
      <formula>"DONE"</formula>
    </cfRule>
  </conditionalFormatting>
  <conditionalFormatting sqref="J27">
    <cfRule type="cellIs" dxfId="152" priority="1" operator="equal">
      <formula>"OVERDUE"</formula>
    </cfRule>
    <cfRule type="cellIs" dxfId="151" priority="2" operator="equal">
      <formula>"DONE"</formula>
    </cfRule>
    <cfRule type="cellIs" dxfId="150" priority="3" operator="equal">
      <formula>"DONE"</formula>
    </cfRule>
  </conditionalFormatting>
  <conditionalFormatting sqref="J2:J3 J28:J1048576">
    <cfRule type="cellIs" dxfId="149" priority="82" operator="equal">
      <formula>"OVERDUE"</formula>
    </cfRule>
    <cfRule type="cellIs" dxfId="148" priority="83" operator="equal">
      <formula>"DONE"</formula>
    </cfRule>
    <cfRule type="cellIs" dxfId="147"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106680</xdr:colOff>
                    <xdr:row>27</xdr:row>
                    <xdr:rowOff>83820</xdr:rowOff>
                  </from>
                  <to>
                    <xdr:col>1</xdr:col>
                    <xdr:colOff>800100</xdr:colOff>
                    <xdr:row>28</xdr:row>
                    <xdr:rowOff>160020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IL13"/>
  <sheetViews>
    <sheetView workbookViewId="0">
      <pane ySplit="3" topLeftCell="A5" activePane="bottomLeft" state="frozen"/>
      <selection activeCell="C76" sqref="C76"/>
      <selection pane="bottomLeft" activeCell="E8" sqref="E8"/>
    </sheetView>
  </sheetViews>
  <sheetFormatPr defaultColWidth="9" defaultRowHeight="13.8" x14ac:dyDescent="0.25"/>
  <cols>
    <col min="1" max="1" width="5.33203125" style="1" customWidth="1"/>
    <col min="2" max="2" width="4.21875" style="1" customWidth="1"/>
    <col min="3" max="3" width="33.664062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0</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row>
    <row r="4" spans="1:246" ht="152.25" customHeight="1" x14ac:dyDescent="0.2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-142</v>
      </c>
      <c r="L4" s="13">
        <f t="shared" ref="L4:L13" ca="1" si="2">IF(J4="OVERDUE",1,0)</f>
        <v>0</v>
      </c>
      <c r="M4" s="13">
        <f t="shared" ref="M4:M13" ca="1" si="3">IF(J4="IN TIME",1,0)</f>
        <v>0</v>
      </c>
      <c r="N4" s="13">
        <f t="shared" ref="N4:N13" ca="1" si="4">IF(J4="DONE",1,0)</f>
        <v>1</v>
      </c>
      <c r="O4" s="13">
        <f t="shared" ref="O4:O13" ca="1" si="5">IF(G4&gt;0,G4-$C$2,"")</f>
        <v>-142</v>
      </c>
      <c r="P4" s="20" t="s">
        <v>642</v>
      </c>
      <c r="Q4" s="27"/>
      <c r="R4" s="27"/>
      <c r="S4" s="27"/>
      <c r="T4" s="27"/>
      <c r="U4" s="27"/>
      <c r="V4" s="27"/>
      <c r="W4" s="27"/>
      <c r="X4" s="27"/>
      <c r="Y4" s="27"/>
      <c r="Z4" s="27"/>
      <c r="AA4" s="27"/>
      <c r="AB4" s="27"/>
      <c r="AC4" s="27"/>
      <c r="AD4" s="27"/>
    </row>
    <row r="5" spans="1:246" ht="63.75" customHeight="1" x14ac:dyDescent="0.25">
      <c r="A5" s="15">
        <v>237</v>
      </c>
      <c r="B5" s="13"/>
      <c r="C5" s="16" t="s">
        <v>643</v>
      </c>
      <c r="D5" s="13" t="s">
        <v>24</v>
      </c>
      <c r="E5" s="13" t="s">
        <v>25</v>
      </c>
      <c r="F5" s="14">
        <v>44245</v>
      </c>
      <c r="G5" s="14"/>
      <c r="H5" s="14">
        <v>44251</v>
      </c>
      <c r="I5" s="14">
        <v>44264</v>
      </c>
      <c r="J5" s="13" t="str">
        <f t="shared" ca="1" si="0"/>
        <v>DONE</v>
      </c>
      <c r="K5" s="13">
        <f t="shared" ca="1" si="1"/>
        <v>-124</v>
      </c>
      <c r="L5" s="13">
        <f t="shared" ca="1" si="2"/>
        <v>0</v>
      </c>
      <c r="M5" s="13">
        <f t="shared" ca="1" si="3"/>
        <v>0</v>
      </c>
      <c r="N5" s="13">
        <f t="shared" ca="1" si="4"/>
        <v>1</v>
      </c>
      <c r="O5" s="13" t="str">
        <f t="shared" si="5"/>
        <v/>
      </c>
      <c r="P5" s="20" t="s">
        <v>651</v>
      </c>
      <c r="Q5" s="27"/>
      <c r="R5" s="27"/>
      <c r="S5" s="27"/>
      <c r="T5" s="27"/>
      <c r="U5" s="27"/>
      <c r="V5" s="27"/>
      <c r="W5" s="27"/>
      <c r="X5" s="27"/>
      <c r="Y5" s="27"/>
      <c r="Z5" s="27"/>
      <c r="AA5" s="27"/>
      <c r="AB5" s="27"/>
      <c r="AC5" s="27"/>
      <c r="AD5" s="27"/>
    </row>
    <row r="6" spans="1:246" ht="63.75" customHeight="1" x14ac:dyDescent="0.25">
      <c r="A6" s="15">
        <v>238</v>
      </c>
      <c r="B6" s="13"/>
      <c r="C6" s="16" t="s">
        <v>644</v>
      </c>
      <c r="D6" s="13" t="s">
        <v>24</v>
      </c>
      <c r="E6" s="13" t="s">
        <v>25</v>
      </c>
      <c r="F6" s="14">
        <v>44252</v>
      </c>
      <c r="G6" s="14"/>
      <c r="H6" s="14">
        <v>44251</v>
      </c>
      <c r="I6" s="14">
        <v>44264</v>
      </c>
      <c r="J6" s="13" t="str">
        <f t="shared" ca="1" si="0"/>
        <v>DONE</v>
      </c>
      <c r="K6" s="13">
        <f t="shared" ca="1" si="1"/>
        <v>-124</v>
      </c>
      <c r="L6" s="13">
        <f t="shared" ca="1" si="2"/>
        <v>0</v>
      </c>
      <c r="M6" s="13">
        <f t="shared" ca="1" si="3"/>
        <v>0</v>
      </c>
      <c r="N6" s="13">
        <f t="shared" ca="1" si="4"/>
        <v>1</v>
      </c>
      <c r="O6" s="13" t="str">
        <f t="shared" si="5"/>
        <v/>
      </c>
      <c r="P6" s="20" t="s">
        <v>651</v>
      </c>
      <c r="Q6" s="27"/>
      <c r="R6" s="27"/>
      <c r="S6" s="27"/>
      <c r="T6" s="27"/>
      <c r="U6" s="27"/>
      <c r="V6" s="27"/>
      <c r="W6" s="27"/>
      <c r="X6" s="27"/>
      <c r="Y6" s="27"/>
      <c r="Z6" s="27"/>
      <c r="AA6" s="27"/>
      <c r="AB6" s="27"/>
      <c r="AC6" s="27"/>
      <c r="AD6" s="27"/>
    </row>
    <row r="7" spans="1:246" ht="78.75" customHeight="1" x14ac:dyDescent="0.25">
      <c r="A7" s="15">
        <v>239</v>
      </c>
      <c r="B7" s="13"/>
      <c r="C7" s="16" t="s">
        <v>646</v>
      </c>
      <c r="D7" s="13" t="s">
        <v>24</v>
      </c>
      <c r="E7" s="13" t="s">
        <v>641</v>
      </c>
      <c r="F7" s="14">
        <v>44264</v>
      </c>
      <c r="G7" s="14"/>
      <c r="H7" s="14">
        <v>44274</v>
      </c>
      <c r="I7" s="14">
        <v>44282</v>
      </c>
      <c r="J7" s="13" t="str">
        <f t="shared" ca="1" si="0"/>
        <v>DONE</v>
      </c>
      <c r="K7" s="13"/>
      <c r="L7" s="13"/>
      <c r="M7" s="13"/>
      <c r="N7" s="13"/>
      <c r="O7" s="13"/>
      <c r="P7" s="20" t="s">
        <v>654</v>
      </c>
      <c r="Q7" s="27"/>
      <c r="R7" s="27"/>
      <c r="S7" s="27"/>
      <c r="T7" s="27"/>
      <c r="U7" s="27"/>
      <c r="V7" s="27"/>
      <c r="W7" s="27"/>
      <c r="X7" s="27"/>
      <c r="Y7" s="27"/>
      <c r="Z7" s="27"/>
      <c r="AA7" s="27"/>
      <c r="AB7" s="27"/>
      <c r="AC7" s="27"/>
      <c r="AD7" s="27"/>
    </row>
    <row r="8" spans="1:246" ht="102" customHeight="1" x14ac:dyDescent="0.25">
      <c r="A8" s="15">
        <v>240</v>
      </c>
      <c r="B8" s="13"/>
      <c r="C8" s="12" t="s">
        <v>671</v>
      </c>
      <c r="D8" s="13" t="s">
        <v>37</v>
      </c>
      <c r="E8" s="13" t="s">
        <v>641</v>
      </c>
      <c r="F8" s="14">
        <v>44375</v>
      </c>
      <c r="G8" s="14"/>
      <c r="H8" s="14">
        <v>44396</v>
      </c>
      <c r="I8" s="14"/>
      <c r="J8" s="13"/>
      <c r="K8" s="13"/>
      <c r="L8" s="13"/>
      <c r="M8" s="13"/>
      <c r="N8" s="13"/>
      <c r="O8" s="13"/>
      <c r="P8" s="20" t="s">
        <v>676</v>
      </c>
      <c r="Q8" s="27"/>
      <c r="R8" s="27"/>
      <c r="S8" s="27"/>
      <c r="T8" s="27"/>
      <c r="U8" s="27"/>
      <c r="V8" s="27"/>
      <c r="W8" s="27"/>
      <c r="X8" s="27"/>
      <c r="Y8" s="27"/>
      <c r="Z8" s="27"/>
      <c r="AA8" s="27"/>
      <c r="AB8" s="27"/>
      <c r="AC8" s="27"/>
      <c r="AD8" s="27"/>
    </row>
    <row r="9" spans="1:246" ht="85.5" customHeight="1" x14ac:dyDescent="0.2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2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2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2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2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146" priority="28" operator="equal">
      <formula>"OVERDUE"</formula>
    </cfRule>
    <cfRule type="cellIs" dxfId="145" priority="29" operator="equal">
      <formula>"DONE"</formula>
    </cfRule>
    <cfRule type="cellIs" dxfId="144" priority="30" operator="equal">
      <formula>"DONE"</formula>
    </cfRule>
  </conditionalFormatting>
  <conditionalFormatting sqref="J5">
    <cfRule type="cellIs" dxfId="143" priority="25" operator="equal">
      <formula>"OVERDUE"</formula>
    </cfRule>
    <cfRule type="cellIs" dxfId="142" priority="26" operator="equal">
      <formula>"DONE"</formula>
    </cfRule>
    <cfRule type="cellIs" dxfId="141" priority="27" operator="equal">
      <formula>"DONE"</formula>
    </cfRule>
  </conditionalFormatting>
  <conditionalFormatting sqref="J6:J7">
    <cfRule type="cellIs" dxfId="140" priority="22" operator="equal">
      <formula>"OVERDUE"</formula>
    </cfRule>
    <cfRule type="cellIs" dxfId="139" priority="23" operator="equal">
      <formula>"DONE"</formula>
    </cfRule>
    <cfRule type="cellIs" dxfId="138" priority="24" operator="equal">
      <formula>"DONE"</formula>
    </cfRule>
  </conditionalFormatting>
  <conditionalFormatting sqref="J8">
    <cfRule type="cellIs" dxfId="137" priority="16" operator="equal">
      <formula>"OVERDUE"</formula>
    </cfRule>
    <cfRule type="cellIs" dxfId="136" priority="17" operator="equal">
      <formula>"DONE"</formula>
    </cfRule>
    <cfRule type="cellIs" dxfId="135" priority="18" operator="equal">
      <formula>"DONE"</formula>
    </cfRule>
  </conditionalFormatting>
  <conditionalFormatting sqref="J9">
    <cfRule type="cellIs" dxfId="134" priority="13" operator="equal">
      <formula>"OVERDUE"</formula>
    </cfRule>
    <cfRule type="cellIs" dxfId="133" priority="14" operator="equal">
      <formula>"DONE"</formula>
    </cfRule>
    <cfRule type="cellIs" dxfId="132" priority="15" operator="equal">
      <formula>"DONE"</formula>
    </cfRule>
  </conditionalFormatting>
  <conditionalFormatting sqref="J10">
    <cfRule type="cellIs" dxfId="131" priority="10" operator="equal">
      <formula>"OVERDUE"</formula>
    </cfRule>
    <cfRule type="cellIs" dxfId="130" priority="11" operator="equal">
      <formula>"DONE"</formula>
    </cfRule>
    <cfRule type="cellIs" dxfId="129" priority="12" operator="equal">
      <formula>"DONE"</formula>
    </cfRule>
  </conditionalFormatting>
  <conditionalFormatting sqref="J11">
    <cfRule type="cellIs" dxfId="128" priority="7" operator="equal">
      <formula>"OVERDUE"</formula>
    </cfRule>
    <cfRule type="cellIs" dxfId="127" priority="8" operator="equal">
      <formula>"DONE"</formula>
    </cfRule>
    <cfRule type="cellIs" dxfId="126" priority="9" operator="equal">
      <formula>"DONE"</formula>
    </cfRule>
  </conditionalFormatting>
  <conditionalFormatting sqref="J12">
    <cfRule type="cellIs" dxfId="125" priority="4" operator="equal">
      <formula>"OVERDUE"</formula>
    </cfRule>
    <cfRule type="cellIs" dxfId="124" priority="5" operator="equal">
      <formula>"DONE"</formula>
    </cfRule>
    <cfRule type="cellIs" dxfId="123" priority="6" operator="equal">
      <formula>"DONE"</formula>
    </cfRule>
  </conditionalFormatting>
  <conditionalFormatting sqref="J13">
    <cfRule type="cellIs" dxfId="122" priority="1" operator="equal">
      <formula>"OVERDUE"</formula>
    </cfRule>
    <cfRule type="cellIs" dxfId="121" priority="2" operator="equal">
      <formula>"DONE"</formula>
    </cfRule>
    <cfRule type="cellIs" dxfId="120" priority="3" operator="equal">
      <formula>"DONE"</formula>
    </cfRule>
  </conditionalFormatting>
  <conditionalFormatting sqref="J2:J3 J14:J1048576">
    <cfRule type="cellIs" dxfId="119" priority="37" operator="equal">
      <formula>"OVERDUE"</formula>
    </cfRule>
    <cfRule type="cellIs" dxfId="118" priority="38" operator="equal">
      <formula>"DONE"</formula>
    </cfRule>
    <cfRule type="cellIs" dxfId="117" priority="39"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Pict="0" macro="[0]!Insert_Line_moban">
                <anchor moveWithCells="1">
                  <from>
                    <xdr:col>0</xdr:col>
                    <xdr:colOff>106680</xdr:colOff>
                    <xdr:row>13</xdr:row>
                    <xdr:rowOff>83820</xdr:rowOff>
                  </from>
                  <to>
                    <xdr:col>2</xdr:col>
                    <xdr:colOff>693420</xdr:colOff>
                    <xdr:row>14</xdr:row>
                    <xdr:rowOff>160020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IL21"/>
  <sheetViews>
    <sheetView topLeftCell="C1" zoomScale="115" zoomScaleNormal="115" workbookViewId="0">
      <pane ySplit="3" topLeftCell="A4" activePane="bottomLeft" state="frozen"/>
      <selection pane="bottomLeft" activeCell="P6" sqref="P6"/>
    </sheetView>
  </sheetViews>
  <sheetFormatPr defaultColWidth="9" defaultRowHeight="13.8" x14ac:dyDescent="0.25"/>
  <cols>
    <col min="1" max="1" width="5.33203125" style="1" customWidth="1"/>
    <col min="2" max="2" width="4.21875" style="1" customWidth="1"/>
    <col min="3" max="3" width="33.664062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0</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6"/>
      <c r="S3" s="196"/>
      <c r="T3" s="196"/>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c r="FE3" s="196"/>
      <c r="FF3" s="196"/>
      <c r="FG3" s="196"/>
      <c r="FH3" s="196"/>
      <c r="FI3" s="196"/>
      <c r="FJ3" s="196"/>
      <c r="FK3" s="196"/>
      <c r="FL3" s="196"/>
      <c r="FM3" s="196"/>
      <c r="FN3" s="196"/>
      <c r="FO3" s="196"/>
      <c r="FP3" s="196"/>
      <c r="FQ3" s="196"/>
      <c r="FR3" s="196"/>
      <c r="FS3" s="196"/>
      <c r="FT3" s="196"/>
      <c r="FU3" s="196"/>
      <c r="FV3" s="196"/>
      <c r="FW3" s="196"/>
      <c r="FX3" s="196"/>
      <c r="FY3" s="196"/>
      <c r="FZ3" s="196"/>
      <c r="GA3" s="196"/>
      <c r="GB3" s="196"/>
      <c r="GC3" s="196"/>
      <c r="GD3" s="196"/>
      <c r="GE3" s="196"/>
      <c r="GF3" s="196"/>
      <c r="GG3" s="196"/>
      <c r="GH3" s="196"/>
      <c r="GI3" s="196"/>
      <c r="GJ3" s="196"/>
      <c r="GK3" s="196"/>
      <c r="GL3" s="196"/>
      <c r="GM3" s="196"/>
      <c r="GN3" s="196"/>
      <c r="GO3" s="196"/>
      <c r="GP3" s="196"/>
      <c r="GQ3" s="196"/>
      <c r="GR3" s="196"/>
      <c r="GS3" s="196"/>
      <c r="GT3" s="196"/>
      <c r="GU3" s="196"/>
      <c r="GV3" s="196"/>
      <c r="GW3" s="196"/>
      <c r="GX3" s="196"/>
      <c r="GY3" s="196"/>
      <c r="GZ3" s="196"/>
      <c r="HA3" s="196"/>
      <c r="HB3" s="196"/>
      <c r="HC3" s="196"/>
      <c r="HD3" s="196"/>
      <c r="HE3" s="196"/>
      <c r="HF3" s="196"/>
      <c r="HG3" s="196"/>
      <c r="HH3" s="196"/>
      <c r="HI3" s="196"/>
      <c r="HJ3" s="196"/>
      <c r="HK3" s="196"/>
      <c r="HL3" s="196"/>
      <c r="HM3" s="196"/>
      <c r="HN3" s="196"/>
      <c r="HO3" s="196"/>
      <c r="HP3" s="196"/>
      <c r="HQ3" s="196"/>
      <c r="HR3" s="196"/>
      <c r="HS3" s="196"/>
      <c r="HT3" s="196"/>
      <c r="HU3" s="196"/>
      <c r="HV3" s="196"/>
      <c r="HW3" s="196"/>
      <c r="HX3" s="196"/>
      <c r="HY3" s="196"/>
      <c r="HZ3" s="196"/>
      <c r="IA3" s="196"/>
      <c r="IB3" s="196"/>
      <c r="IC3" s="196"/>
      <c r="ID3" s="196"/>
      <c r="IE3" s="196"/>
      <c r="IF3" s="196"/>
      <c r="IG3" s="196"/>
      <c r="IH3" s="196"/>
      <c r="II3" s="196"/>
      <c r="IJ3" s="196"/>
      <c r="IK3" s="196"/>
      <c r="IL3" s="196"/>
    </row>
    <row r="4" spans="1:246" ht="60.75" customHeight="1" x14ac:dyDescent="0.25">
      <c r="A4" s="15">
        <v>234</v>
      </c>
      <c r="B4" s="13"/>
      <c r="C4" s="16" t="s">
        <v>647</v>
      </c>
      <c r="D4" s="13" t="s">
        <v>24</v>
      </c>
      <c r="E4" s="30" t="s">
        <v>21</v>
      </c>
      <c r="F4" s="30">
        <v>44226</v>
      </c>
      <c r="G4" s="30">
        <v>44235</v>
      </c>
      <c r="H4" s="30"/>
      <c r="I4" s="14">
        <v>44235</v>
      </c>
      <c r="J4" s="13" t="str">
        <f t="shared" ref="J4" ca="1" si="0">IF(AND(I4&lt;=$C$2,I4&lt;&gt;0),"DONE",IF(K4&lt;0,"OVERDUE",IF(AND(K4="",O4&lt;0),"OVERDUE","IN TIME")))</f>
        <v>DONE</v>
      </c>
      <c r="K4" s="13" t="str">
        <f t="shared" ref="K4" si="1">IF(H4&gt;0,H4-$C$2,"")</f>
        <v/>
      </c>
      <c r="L4" s="13">
        <f t="shared" ref="L4" ca="1" si="2">IF(J4="OVERDUE",1,0)</f>
        <v>0</v>
      </c>
      <c r="M4" s="13">
        <f t="shared" ref="M4" ca="1" si="3">IF(J4="IN TIME",1,0)</f>
        <v>0</v>
      </c>
      <c r="N4" s="13">
        <f t="shared" ref="N4" ca="1" si="4">IF(J4="DONE",1,0)</f>
        <v>1</v>
      </c>
      <c r="O4" s="13">
        <f t="shared" ref="O4" ca="1" si="5">IF(G4&gt;0,G4-$C$2,"")</f>
        <v>-140</v>
      </c>
      <c r="P4" s="41" t="s">
        <v>645</v>
      </c>
      <c r="Q4" s="27"/>
      <c r="R4" s="27"/>
      <c r="S4" s="27"/>
      <c r="T4" s="27"/>
      <c r="U4" s="27"/>
      <c r="V4" s="27"/>
      <c r="W4" s="27"/>
      <c r="X4" s="27"/>
      <c r="Y4" s="27"/>
      <c r="Z4" s="27"/>
      <c r="AA4" s="27"/>
      <c r="AB4" s="27"/>
      <c r="AC4" s="27"/>
      <c r="AD4" s="27"/>
    </row>
    <row r="5" spans="1:246" ht="131.4" customHeight="1" x14ac:dyDescent="0.25">
      <c r="A5" s="15">
        <v>235</v>
      </c>
      <c r="B5" s="13"/>
      <c r="C5" s="28" t="s">
        <v>648</v>
      </c>
      <c r="D5" s="29" t="s">
        <v>652</v>
      </c>
      <c r="E5" s="30" t="s">
        <v>21</v>
      </c>
      <c r="F5" s="30">
        <v>44264</v>
      </c>
      <c r="G5" s="30">
        <v>44408</v>
      </c>
      <c r="H5" s="30"/>
      <c r="I5" s="30"/>
      <c r="J5" s="13"/>
      <c r="K5" s="13"/>
      <c r="L5" s="13"/>
      <c r="M5" s="13"/>
      <c r="N5" s="13"/>
      <c r="O5" s="13"/>
      <c r="P5" s="41" t="s">
        <v>677</v>
      </c>
      <c r="Q5" s="27"/>
      <c r="R5" s="27"/>
      <c r="S5" s="27"/>
      <c r="T5" s="27"/>
      <c r="U5" s="27"/>
      <c r="V5" s="27"/>
      <c r="W5" s="27"/>
      <c r="X5" s="27"/>
      <c r="Y5" s="27"/>
      <c r="Z5" s="27"/>
      <c r="AA5" s="27"/>
      <c r="AB5" s="27"/>
      <c r="AC5" s="27"/>
      <c r="AD5" s="27"/>
    </row>
    <row r="6" spans="1:246" ht="77.25" customHeight="1" x14ac:dyDescent="0.25">
      <c r="A6" s="15">
        <v>236</v>
      </c>
      <c r="B6" s="13"/>
      <c r="C6" s="28" t="s">
        <v>649</v>
      </c>
      <c r="D6" s="29" t="s">
        <v>652</v>
      </c>
      <c r="E6" s="30" t="s">
        <v>660</v>
      </c>
      <c r="F6" s="30">
        <v>44347</v>
      </c>
      <c r="G6" s="30">
        <v>44408</v>
      </c>
      <c r="H6" s="30"/>
      <c r="I6" s="30"/>
      <c r="J6" s="13"/>
      <c r="K6" s="13"/>
      <c r="L6" s="13"/>
      <c r="M6" s="13"/>
      <c r="N6" s="13"/>
      <c r="O6" s="13"/>
      <c r="P6" s="41" t="s">
        <v>678</v>
      </c>
      <c r="Q6" s="27"/>
      <c r="R6" s="27"/>
      <c r="S6" s="27"/>
      <c r="T6" s="27"/>
      <c r="U6" s="27"/>
      <c r="V6" s="27"/>
      <c r="W6" s="27"/>
      <c r="X6" s="27"/>
      <c r="Y6" s="27"/>
      <c r="Z6" s="27"/>
      <c r="AA6" s="27"/>
      <c r="AB6" s="27"/>
      <c r="AC6" s="27"/>
      <c r="AD6" s="27"/>
    </row>
    <row r="7" spans="1:246" ht="74.25" customHeight="1" x14ac:dyDescent="0.25">
      <c r="A7" s="15">
        <v>237</v>
      </c>
      <c r="B7" s="13"/>
      <c r="C7" s="28"/>
      <c r="D7" s="30"/>
      <c r="E7" s="30"/>
      <c r="F7" s="30"/>
      <c r="G7" s="30"/>
      <c r="H7" s="30"/>
      <c r="I7" s="30"/>
      <c r="J7" s="13"/>
      <c r="K7" s="13"/>
      <c r="L7" s="13"/>
      <c r="M7" s="13"/>
      <c r="N7" s="13"/>
      <c r="O7" s="13"/>
      <c r="P7" s="41"/>
      <c r="Q7" s="27"/>
      <c r="R7" s="27"/>
      <c r="S7" s="27"/>
      <c r="T7" s="27"/>
      <c r="U7" s="27"/>
      <c r="V7" s="27"/>
      <c r="W7" s="27"/>
      <c r="X7" s="27"/>
      <c r="Y7" s="27"/>
      <c r="Z7" s="27"/>
      <c r="AA7" s="27"/>
      <c r="AB7" s="27"/>
      <c r="AC7" s="27"/>
      <c r="AD7" s="27"/>
    </row>
    <row r="8" spans="1:246" ht="189" customHeight="1" x14ac:dyDescent="0.25">
      <c r="A8" s="15">
        <v>238</v>
      </c>
      <c r="B8" s="13"/>
      <c r="C8" s="28"/>
      <c r="D8" s="30"/>
      <c r="E8" s="30"/>
      <c r="F8" s="30"/>
      <c r="G8" s="30"/>
      <c r="H8" s="30"/>
      <c r="I8" s="30"/>
      <c r="J8" s="13"/>
      <c r="K8" s="13"/>
      <c r="L8" s="13"/>
      <c r="M8" s="13"/>
      <c r="N8" s="13"/>
      <c r="O8" s="13"/>
      <c r="P8" s="41"/>
      <c r="Q8" s="27"/>
      <c r="R8" s="27"/>
      <c r="S8" s="27"/>
      <c r="T8" s="27"/>
      <c r="U8" s="27"/>
      <c r="V8" s="27"/>
      <c r="W8" s="27"/>
      <c r="X8" s="27"/>
      <c r="Y8" s="27"/>
      <c r="Z8" s="27"/>
      <c r="AA8" s="27"/>
      <c r="AB8" s="27"/>
      <c r="AC8" s="27"/>
      <c r="AD8" s="27"/>
    </row>
    <row r="9" spans="1:246" ht="90.75" customHeight="1" x14ac:dyDescent="0.25">
      <c r="A9" s="15">
        <v>239</v>
      </c>
      <c r="B9" s="13"/>
      <c r="C9" s="40"/>
      <c r="D9" s="30"/>
      <c r="E9" s="30"/>
      <c r="F9" s="30"/>
      <c r="G9" s="30"/>
      <c r="H9" s="30"/>
      <c r="I9" s="30"/>
      <c r="J9" s="13"/>
      <c r="K9" s="13"/>
      <c r="L9" s="13"/>
      <c r="M9" s="13"/>
      <c r="N9" s="13"/>
      <c r="O9" s="13"/>
      <c r="P9" s="41"/>
      <c r="Q9" s="27"/>
      <c r="R9" s="27"/>
      <c r="S9" s="27"/>
      <c r="T9" s="27"/>
      <c r="U9" s="27"/>
      <c r="V9" s="27"/>
      <c r="W9" s="27"/>
      <c r="X9" s="27"/>
      <c r="Y9" s="27"/>
      <c r="Z9" s="27"/>
      <c r="AA9" s="27"/>
      <c r="AB9" s="27"/>
      <c r="AC9" s="27"/>
      <c r="AD9" s="27"/>
    </row>
    <row r="10" spans="1:246" ht="93" customHeight="1" x14ac:dyDescent="0.25">
      <c r="A10" s="15">
        <v>240</v>
      </c>
      <c r="B10" s="13"/>
      <c r="C10" s="28"/>
      <c r="D10" s="30"/>
      <c r="E10" s="30"/>
      <c r="F10" s="30"/>
      <c r="G10" s="30"/>
      <c r="H10" s="30"/>
      <c r="I10" s="30"/>
      <c r="J10" s="13"/>
      <c r="K10" s="13"/>
      <c r="L10" s="13"/>
      <c r="M10" s="13"/>
      <c r="N10" s="13"/>
      <c r="O10" s="13"/>
      <c r="P10" s="41"/>
      <c r="Q10" s="27"/>
      <c r="R10" s="27"/>
      <c r="S10" s="27"/>
      <c r="T10" s="27"/>
      <c r="U10" s="27"/>
      <c r="V10" s="27"/>
      <c r="W10" s="27"/>
      <c r="X10" s="27"/>
      <c r="Y10" s="27"/>
      <c r="Z10" s="27"/>
      <c r="AA10" s="27"/>
      <c r="AB10" s="27"/>
      <c r="AC10" s="27"/>
      <c r="AD10" s="27"/>
    </row>
    <row r="11" spans="1:246" ht="68.25" customHeight="1" x14ac:dyDescent="0.25">
      <c r="A11" s="15">
        <v>241</v>
      </c>
      <c r="B11" s="13"/>
      <c r="C11" s="28"/>
      <c r="D11" s="30"/>
      <c r="E11" s="30"/>
      <c r="F11" s="30"/>
      <c r="G11" s="30"/>
      <c r="H11" s="30"/>
      <c r="I11" s="30"/>
      <c r="J11" s="13"/>
      <c r="K11" s="13"/>
      <c r="L11" s="13"/>
      <c r="M11" s="13"/>
      <c r="N11" s="13"/>
      <c r="O11" s="13"/>
      <c r="P11" s="20"/>
      <c r="Q11" s="27"/>
      <c r="R11" s="27"/>
      <c r="S11" s="27"/>
      <c r="T11" s="27"/>
      <c r="U11" s="27"/>
      <c r="V11" s="27"/>
      <c r="W11" s="27"/>
      <c r="X11" s="27"/>
      <c r="Y11" s="27"/>
      <c r="Z11" s="27"/>
      <c r="AA11" s="27"/>
      <c r="AB11" s="27"/>
      <c r="AC11" s="27"/>
      <c r="AD11" s="27"/>
    </row>
    <row r="12" spans="1:246" ht="60" customHeight="1" x14ac:dyDescent="0.25">
      <c r="A12" s="15">
        <v>242</v>
      </c>
      <c r="B12" s="13"/>
      <c r="C12" s="28"/>
      <c r="D12" s="30"/>
      <c r="E12" s="30"/>
      <c r="F12" s="30"/>
      <c r="G12" s="30"/>
      <c r="H12" s="30"/>
      <c r="I12" s="30"/>
      <c r="J12" s="13"/>
      <c r="K12" s="13"/>
      <c r="L12" s="13"/>
      <c r="M12" s="13"/>
      <c r="N12" s="13"/>
      <c r="O12" s="13"/>
      <c r="P12" s="41"/>
      <c r="Q12" s="27"/>
      <c r="R12" s="27"/>
      <c r="S12" s="27"/>
      <c r="T12" s="27"/>
      <c r="U12" s="27"/>
      <c r="V12" s="27"/>
      <c r="W12" s="27"/>
      <c r="X12" s="27"/>
      <c r="Y12" s="27"/>
      <c r="Z12" s="27"/>
      <c r="AA12" s="27"/>
      <c r="AB12" s="27"/>
      <c r="AC12" s="27"/>
      <c r="AD12" s="27"/>
    </row>
    <row r="13" spans="1:246" ht="24.6" customHeight="1" x14ac:dyDescent="0.25">
      <c r="A13" s="15">
        <v>243</v>
      </c>
      <c r="B13" s="13"/>
      <c r="C13" s="28"/>
      <c r="D13" s="30"/>
      <c r="E13" s="30"/>
      <c r="F13" s="30"/>
      <c r="G13" s="30"/>
      <c r="H13" s="30"/>
      <c r="I13" s="14"/>
      <c r="J13" s="13"/>
      <c r="K13" s="13"/>
      <c r="L13" s="13"/>
      <c r="M13" s="13"/>
      <c r="N13" s="13"/>
      <c r="O13" s="13"/>
      <c r="P13" s="20"/>
      <c r="Q13" s="27"/>
      <c r="R13" s="27"/>
      <c r="S13" s="27"/>
      <c r="T13" s="27"/>
      <c r="U13" s="27"/>
      <c r="V13" s="27"/>
      <c r="W13" s="27"/>
      <c r="X13" s="27"/>
      <c r="Y13" s="27"/>
      <c r="Z13" s="27"/>
      <c r="AA13" s="27"/>
      <c r="AB13" s="27"/>
      <c r="AC13" s="27"/>
      <c r="AD13" s="27"/>
    </row>
    <row r="14" spans="1:246" ht="102" customHeight="1" x14ac:dyDescent="0.25">
      <c r="A14" s="15">
        <v>244</v>
      </c>
      <c r="B14" s="13"/>
      <c r="C14" s="28"/>
      <c r="D14" s="30"/>
      <c r="E14" s="30"/>
      <c r="F14" s="30"/>
      <c r="G14" s="30"/>
      <c r="H14" s="30"/>
      <c r="I14" s="31"/>
      <c r="J14" s="13"/>
      <c r="K14" s="13"/>
      <c r="L14" s="13"/>
      <c r="M14" s="13"/>
      <c r="N14" s="13"/>
      <c r="O14" s="13"/>
      <c r="P14" s="20"/>
      <c r="Q14" s="27"/>
      <c r="R14" s="27"/>
      <c r="S14" s="27"/>
      <c r="T14" s="27"/>
      <c r="U14" s="27"/>
      <c r="V14" s="27"/>
      <c r="W14" s="27"/>
      <c r="X14" s="27"/>
      <c r="Y14" s="27"/>
      <c r="Z14" s="27"/>
      <c r="AA14" s="27"/>
      <c r="AB14" s="27"/>
      <c r="AC14" s="27"/>
      <c r="AD14" s="27"/>
    </row>
    <row r="15" spans="1:246" ht="78.75" customHeight="1" x14ac:dyDescent="0.25">
      <c r="A15" s="15">
        <v>245</v>
      </c>
      <c r="B15" s="13"/>
      <c r="C15" s="16"/>
      <c r="D15" s="13"/>
      <c r="E15" s="13"/>
      <c r="F15" s="14"/>
      <c r="G15" s="14"/>
      <c r="H15" s="14"/>
      <c r="I15" s="14"/>
      <c r="J15" s="13"/>
      <c r="K15" s="13"/>
      <c r="L15" s="13"/>
      <c r="M15" s="13"/>
      <c r="N15" s="13"/>
      <c r="O15" s="13"/>
      <c r="P15" s="20"/>
      <c r="Q15" s="27"/>
      <c r="R15" s="27"/>
      <c r="S15" s="27"/>
      <c r="T15" s="27"/>
      <c r="U15" s="27"/>
      <c r="V15" s="27"/>
      <c r="W15" s="27"/>
      <c r="X15" s="27"/>
      <c r="Y15" s="27"/>
      <c r="Z15" s="27"/>
      <c r="AA15" s="27"/>
      <c r="AB15" s="27"/>
      <c r="AC15" s="27"/>
      <c r="AD15" s="27"/>
    </row>
    <row r="16" spans="1:246" ht="45.75" customHeight="1" x14ac:dyDescent="0.25">
      <c r="A16" s="15">
        <v>246</v>
      </c>
      <c r="B16" s="13"/>
      <c r="C16" s="12"/>
      <c r="D16" s="13"/>
      <c r="E16" s="13"/>
      <c r="F16" s="14"/>
      <c r="G16" s="14"/>
      <c r="H16" s="14"/>
      <c r="I16" s="14"/>
      <c r="J16" s="13"/>
      <c r="K16" s="13"/>
      <c r="L16" s="13"/>
      <c r="M16" s="13"/>
      <c r="N16" s="13"/>
      <c r="O16" s="13"/>
      <c r="P16" s="20"/>
      <c r="Q16" s="27"/>
      <c r="R16" s="27"/>
      <c r="S16" s="27"/>
      <c r="T16" s="27"/>
      <c r="U16" s="27"/>
      <c r="V16" s="27"/>
      <c r="W16" s="27"/>
      <c r="X16" s="27"/>
      <c r="Y16" s="27"/>
      <c r="Z16" s="27"/>
      <c r="AA16" s="27"/>
      <c r="AB16" s="27"/>
      <c r="AC16" s="27"/>
      <c r="AD16" s="27"/>
    </row>
    <row r="17" spans="1:30" ht="24.6" customHeight="1" x14ac:dyDescent="0.25">
      <c r="A17" s="15">
        <v>247</v>
      </c>
      <c r="B17" s="13"/>
      <c r="C17" s="12"/>
      <c r="D17" s="13"/>
      <c r="E17" s="13"/>
      <c r="F17" s="14"/>
      <c r="G17" s="14"/>
      <c r="H17" s="14"/>
      <c r="I17" s="14"/>
      <c r="J17" s="13"/>
      <c r="K17" s="13"/>
      <c r="L17" s="13"/>
      <c r="M17" s="13"/>
      <c r="N17" s="13"/>
      <c r="O17" s="13"/>
      <c r="P17" s="20"/>
      <c r="Q17" s="27"/>
      <c r="R17" s="27"/>
      <c r="S17" s="27"/>
      <c r="T17" s="27"/>
      <c r="U17" s="27"/>
      <c r="V17" s="27"/>
      <c r="W17" s="27"/>
      <c r="X17" s="27"/>
      <c r="Y17" s="27"/>
      <c r="Z17" s="27"/>
      <c r="AA17" s="27"/>
      <c r="AB17" s="27"/>
      <c r="AC17" s="27"/>
      <c r="AD17" s="27"/>
    </row>
    <row r="18" spans="1:30" ht="24.6" customHeight="1" x14ac:dyDescent="0.25">
      <c r="A18" s="15">
        <v>248</v>
      </c>
      <c r="B18" s="13"/>
      <c r="C18" s="12"/>
      <c r="D18" s="13"/>
      <c r="E18" s="13"/>
      <c r="F18" s="14"/>
      <c r="G18" s="14"/>
      <c r="H18" s="14"/>
      <c r="I18" s="14"/>
      <c r="J18" s="13"/>
      <c r="K18" s="13"/>
      <c r="L18" s="13"/>
      <c r="M18" s="13"/>
      <c r="N18" s="13"/>
      <c r="O18" s="13"/>
      <c r="P18" s="20"/>
      <c r="Q18" s="27"/>
      <c r="R18" s="27"/>
      <c r="S18" s="27"/>
      <c r="T18" s="27"/>
      <c r="U18" s="27"/>
      <c r="V18" s="27"/>
      <c r="W18" s="27"/>
      <c r="X18" s="27"/>
      <c r="Y18" s="27"/>
      <c r="Z18" s="27"/>
      <c r="AA18" s="27"/>
      <c r="AB18" s="27"/>
      <c r="AC18" s="27"/>
      <c r="AD18" s="27"/>
    </row>
    <row r="19" spans="1:30" ht="24.6" customHeight="1" x14ac:dyDescent="0.25">
      <c r="A19" s="15">
        <v>249</v>
      </c>
      <c r="B19" s="13"/>
      <c r="C19" s="12"/>
      <c r="D19" s="13"/>
      <c r="E19" s="13"/>
      <c r="F19" s="14"/>
      <c r="G19" s="14"/>
      <c r="H19" s="14"/>
      <c r="I19" s="14"/>
      <c r="J19" s="13"/>
      <c r="K19" s="13"/>
      <c r="L19" s="13"/>
      <c r="M19" s="13"/>
      <c r="N19" s="13"/>
      <c r="O19" s="13"/>
      <c r="P19" s="20"/>
      <c r="Q19" s="27"/>
      <c r="R19" s="27"/>
      <c r="S19" s="27"/>
      <c r="T19" s="27"/>
      <c r="U19" s="27"/>
      <c r="V19" s="27"/>
      <c r="W19" s="27"/>
      <c r="X19" s="27"/>
      <c r="Y19" s="27"/>
      <c r="Z19" s="27"/>
      <c r="AA19" s="27"/>
      <c r="AB19" s="27"/>
      <c r="AC19" s="27"/>
      <c r="AD19" s="27"/>
    </row>
    <row r="20" spans="1:30" ht="24.6" customHeight="1" x14ac:dyDescent="0.25">
      <c r="A20" s="15">
        <v>250</v>
      </c>
      <c r="B20" s="13"/>
      <c r="C20" s="12"/>
      <c r="D20" s="13"/>
      <c r="E20" s="13"/>
      <c r="F20" s="14"/>
      <c r="G20" s="14"/>
      <c r="H20" s="14"/>
      <c r="I20" s="14"/>
      <c r="J20" s="13"/>
      <c r="K20" s="13"/>
      <c r="L20" s="13"/>
      <c r="M20" s="13"/>
      <c r="N20" s="13"/>
      <c r="O20" s="13"/>
      <c r="P20" s="20"/>
      <c r="Q20" s="27"/>
      <c r="R20" s="27"/>
      <c r="S20" s="27"/>
      <c r="T20" s="27"/>
      <c r="U20" s="27"/>
      <c r="V20" s="27"/>
      <c r="W20" s="27"/>
      <c r="X20" s="27"/>
      <c r="Y20" s="27"/>
      <c r="Z20" s="27"/>
      <c r="AA20" s="27"/>
      <c r="AB20" s="27"/>
      <c r="AC20" s="27"/>
      <c r="AD20" s="27"/>
    </row>
    <row r="21" spans="1:30" ht="24.6" customHeight="1" x14ac:dyDescent="0.25">
      <c r="A21" s="15">
        <v>251</v>
      </c>
      <c r="B21" s="13"/>
      <c r="C21" s="12"/>
      <c r="D21" s="13"/>
      <c r="E21" s="13"/>
      <c r="F21" s="14"/>
      <c r="G21" s="14"/>
      <c r="H21" s="14"/>
      <c r="I21" s="14"/>
      <c r="J21" s="13"/>
      <c r="K21" s="13"/>
      <c r="L21" s="13"/>
      <c r="M21" s="13"/>
      <c r="N21" s="13"/>
      <c r="O21" s="13"/>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116" priority="52" operator="equal">
      <formula>"OVERDUE"</formula>
    </cfRule>
    <cfRule type="cellIs" dxfId="115" priority="53" operator="equal">
      <formula>"DONE"</formula>
    </cfRule>
    <cfRule type="cellIs" dxfId="114" priority="54" operator="equal">
      <formula>"DONE"</formula>
    </cfRule>
  </conditionalFormatting>
  <conditionalFormatting sqref="J5">
    <cfRule type="cellIs" dxfId="113" priority="49" operator="equal">
      <formula>"OVERDUE"</formula>
    </cfRule>
    <cfRule type="cellIs" dxfId="112" priority="50" operator="equal">
      <formula>"DONE"</formula>
    </cfRule>
    <cfRule type="cellIs" dxfId="111" priority="51" operator="equal">
      <formula>"DONE"</formula>
    </cfRule>
  </conditionalFormatting>
  <conditionalFormatting sqref="J6">
    <cfRule type="cellIs" dxfId="110" priority="46" operator="equal">
      <formula>"OVERDUE"</formula>
    </cfRule>
    <cfRule type="cellIs" dxfId="109" priority="47" operator="equal">
      <formula>"DONE"</formula>
    </cfRule>
    <cfRule type="cellIs" dxfId="108" priority="48" operator="equal">
      <formula>"DONE"</formula>
    </cfRule>
  </conditionalFormatting>
  <conditionalFormatting sqref="J7">
    <cfRule type="cellIs" dxfId="107" priority="43" operator="equal">
      <formula>"OVERDUE"</formula>
    </cfRule>
    <cfRule type="cellIs" dxfId="106" priority="44" operator="equal">
      <formula>"DONE"</formula>
    </cfRule>
    <cfRule type="cellIs" dxfId="105" priority="45" operator="equal">
      <formula>"DONE"</formula>
    </cfRule>
  </conditionalFormatting>
  <conditionalFormatting sqref="J8">
    <cfRule type="cellIs" dxfId="104" priority="40" operator="equal">
      <formula>"OVERDUE"</formula>
    </cfRule>
    <cfRule type="cellIs" dxfId="103" priority="41" operator="equal">
      <formula>"DONE"</formula>
    </cfRule>
    <cfRule type="cellIs" dxfId="102" priority="42" operator="equal">
      <formula>"DONE"</formula>
    </cfRule>
  </conditionalFormatting>
  <conditionalFormatting sqref="J9">
    <cfRule type="cellIs" dxfId="101" priority="37" operator="equal">
      <formula>"OVERDUE"</formula>
    </cfRule>
    <cfRule type="cellIs" dxfId="100" priority="38" operator="equal">
      <formula>"DONE"</formula>
    </cfRule>
    <cfRule type="cellIs" dxfId="99" priority="39" operator="equal">
      <formula>"DONE"</formula>
    </cfRule>
  </conditionalFormatting>
  <conditionalFormatting sqref="J10">
    <cfRule type="cellIs" dxfId="98" priority="34" operator="equal">
      <formula>"OVERDUE"</formula>
    </cfRule>
    <cfRule type="cellIs" dxfId="97" priority="35" operator="equal">
      <formula>"DONE"</formula>
    </cfRule>
    <cfRule type="cellIs" dxfId="96" priority="36" operator="equal">
      <formula>"DONE"</formula>
    </cfRule>
  </conditionalFormatting>
  <conditionalFormatting sqref="J11">
    <cfRule type="cellIs" dxfId="95" priority="31" operator="equal">
      <formula>"OVERDUE"</formula>
    </cfRule>
    <cfRule type="cellIs" dxfId="94" priority="32" operator="equal">
      <formula>"DONE"</formula>
    </cfRule>
    <cfRule type="cellIs" dxfId="93" priority="33" operator="equal">
      <formula>"DONE"</formula>
    </cfRule>
  </conditionalFormatting>
  <conditionalFormatting sqref="J12">
    <cfRule type="cellIs" dxfId="92" priority="28" operator="equal">
      <formula>"OVERDUE"</formula>
    </cfRule>
    <cfRule type="cellIs" dxfId="91" priority="29" operator="equal">
      <formula>"DONE"</formula>
    </cfRule>
    <cfRule type="cellIs" dxfId="90" priority="30" operator="equal">
      <formula>"DONE"</formula>
    </cfRule>
  </conditionalFormatting>
  <conditionalFormatting sqref="J13">
    <cfRule type="cellIs" dxfId="89" priority="25" operator="equal">
      <formula>"OVERDUE"</formula>
    </cfRule>
    <cfRule type="cellIs" dxfId="88" priority="26" operator="equal">
      <formula>"DONE"</formula>
    </cfRule>
    <cfRule type="cellIs" dxfId="87" priority="27" operator="equal">
      <formula>"DONE"</formula>
    </cfRule>
  </conditionalFormatting>
  <conditionalFormatting sqref="J14">
    <cfRule type="cellIs" dxfId="86" priority="22" operator="equal">
      <formula>"OVERDUE"</formula>
    </cfRule>
    <cfRule type="cellIs" dxfId="85" priority="23" operator="equal">
      <formula>"DONE"</formula>
    </cfRule>
    <cfRule type="cellIs" dxfId="84" priority="24" operator="equal">
      <formula>"DONE"</formula>
    </cfRule>
  </conditionalFormatting>
  <conditionalFormatting sqref="J15">
    <cfRule type="cellIs" dxfId="83" priority="19" operator="equal">
      <formula>"OVERDUE"</formula>
    </cfRule>
    <cfRule type="cellIs" dxfId="82" priority="20" operator="equal">
      <formula>"DONE"</formula>
    </cfRule>
    <cfRule type="cellIs" dxfId="81" priority="21" operator="equal">
      <formula>"DONE"</formula>
    </cfRule>
  </conditionalFormatting>
  <conditionalFormatting sqref="J16">
    <cfRule type="cellIs" dxfId="80" priority="16" operator="equal">
      <formula>"OVERDUE"</formula>
    </cfRule>
    <cfRule type="cellIs" dxfId="79" priority="17" operator="equal">
      <formula>"DONE"</formula>
    </cfRule>
    <cfRule type="cellIs" dxfId="78" priority="18" operator="equal">
      <formula>"DONE"</formula>
    </cfRule>
  </conditionalFormatting>
  <conditionalFormatting sqref="J17">
    <cfRule type="cellIs" dxfId="77" priority="13" operator="equal">
      <formula>"OVERDUE"</formula>
    </cfRule>
    <cfRule type="cellIs" dxfId="76" priority="14" operator="equal">
      <formula>"DONE"</formula>
    </cfRule>
    <cfRule type="cellIs" dxfId="75" priority="15" operator="equal">
      <formula>"DONE"</formula>
    </cfRule>
  </conditionalFormatting>
  <conditionalFormatting sqref="J18">
    <cfRule type="cellIs" dxfId="74" priority="10" operator="equal">
      <formula>"OVERDUE"</formula>
    </cfRule>
    <cfRule type="cellIs" dxfId="73" priority="11" operator="equal">
      <formula>"DONE"</formula>
    </cfRule>
    <cfRule type="cellIs" dxfId="72" priority="12" operator="equal">
      <formula>"DONE"</formula>
    </cfRule>
  </conditionalFormatting>
  <conditionalFormatting sqref="J2:J3 J22:J1048576">
    <cfRule type="cellIs" dxfId="71" priority="55" operator="equal">
      <formula>"OVERDUE"</formula>
    </cfRule>
    <cfRule type="cellIs" dxfId="70" priority="56" operator="equal">
      <formula>"DONE"</formula>
    </cfRule>
    <cfRule type="cellIs" dxfId="69" priority="57" operator="equal">
      <formula>"DONE"</formula>
    </cfRule>
  </conditionalFormatting>
  <conditionalFormatting sqref="J19">
    <cfRule type="cellIs" dxfId="68" priority="7" operator="equal">
      <formula>"OVERDUE"</formula>
    </cfRule>
    <cfRule type="cellIs" dxfId="67" priority="8" operator="equal">
      <formula>"DONE"</formula>
    </cfRule>
    <cfRule type="cellIs" dxfId="66" priority="9" operator="equal">
      <formula>"DONE"</formula>
    </cfRule>
  </conditionalFormatting>
  <conditionalFormatting sqref="J20">
    <cfRule type="cellIs" dxfId="65" priority="4" operator="equal">
      <formula>"OVERDUE"</formula>
    </cfRule>
    <cfRule type="cellIs" dxfId="64" priority="5" operator="equal">
      <formula>"DONE"</formula>
    </cfRule>
    <cfRule type="cellIs" dxfId="63" priority="6" operator="equal">
      <formula>"DONE"</formula>
    </cfRule>
  </conditionalFormatting>
  <conditionalFormatting sqref="J21">
    <cfRule type="cellIs" dxfId="62" priority="1" operator="equal">
      <formula>"OVERDUE"</formula>
    </cfRule>
    <cfRule type="cellIs" dxfId="61" priority="2" operator="equal">
      <formula>"DONE"</formula>
    </cfRule>
    <cfRule type="cellIs" dxfId="60"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Pict="0" macro="[0]!Insert_Line_moban">
                <anchor moveWithCells="1">
                  <from>
                    <xdr:col>0</xdr:col>
                    <xdr:colOff>106680</xdr:colOff>
                    <xdr:row>21</xdr:row>
                    <xdr:rowOff>83820</xdr:rowOff>
                  </from>
                  <to>
                    <xdr:col>2</xdr:col>
                    <xdr:colOff>693420</xdr:colOff>
                    <xdr:row>22</xdr:row>
                    <xdr:rowOff>160020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92D050"/>
  </sheetPr>
  <dimension ref="A1:IL13"/>
  <sheetViews>
    <sheetView workbookViewId="0">
      <pane ySplit="3" topLeftCell="A5" activePane="bottomLeft" state="frozen"/>
      <selection activeCell="C76" sqref="C76"/>
      <selection pane="bottomLeft" activeCell="I5" sqref="I5"/>
    </sheetView>
  </sheetViews>
  <sheetFormatPr defaultColWidth="9" defaultRowHeight="13.8" x14ac:dyDescent="0.25"/>
  <cols>
    <col min="1" max="1" width="5.33203125" style="1" customWidth="1"/>
    <col min="2" max="2" width="4.21875" style="1" customWidth="1"/>
    <col min="3" max="3" width="33.664062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0</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c r="FE3" s="197"/>
      <c r="FF3" s="197"/>
      <c r="FG3" s="197"/>
      <c r="FH3" s="197"/>
      <c r="FI3" s="197"/>
      <c r="FJ3" s="197"/>
      <c r="FK3" s="197"/>
      <c r="FL3" s="197"/>
      <c r="FM3" s="197"/>
      <c r="FN3" s="197"/>
      <c r="FO3" s="197"/>
      <c r="FP3" s="197"/>
      <c r="FQ3" s="197"/>
      <c r="FR3" s="197"/>
      <c r="FS3" s="197"/>
      <c r="FT3" s="197"/>
      <c r="FU3" s="197"/>
      <c r="FV3" s="197"/>
      <c r="FW3" s="197"/>
      <c r="FX3" s="197"/>
      <c r="FY3" s="197"/>
      <c r="FZ3" s="197"/>
      <c r="GA3" s="197"/>
      <c r="GB3" s="197"/>
      <c r="GC3" s="197"/>
      <c r="GD3" s="197"/>
      <c r="GE3" s="197"/>
      <c r="GF3" s="197"/>
      <c r="GG3" s="197"/>
      <c r="GH3" s="197"/>
      <c r="GI3" s="197"/>
      <c r="GJ3" s="197"/>
      <c r="GK3" s="197"/>
      <c r="GL3" s="197"/>
      <c r="GM3" s="197"/>
      <c r="GN3" s="197"/>
      <c r="GO3" s="197"/>
      <c r="GP3" s="197"/>
      <c r="GQ3" s="197"/>
      <c r="GR3" s="197"/>
      <c r="GS3" s="197"/>
      <c r="GT3" s="197"/>
      <c r="GU3" s="197"/>
      <c r="GV3" s="197"/>
      <c r="GW3" s="197"/>
      <c r="GX3" s="197"/>
      <c r="GY3" s="197"/>
      <c r="GZ3" s="197"/>
      <c r="HA3" s="197"/>
      <c r="HB3" s="197"/>
      <c r="HC3" s="197"/>
      <c r="HD3" s="197"/>
      <c r="HE3" s="197"/>
      <c r="HF3" s="197"/>
      <c r="HG3" s="197"/>
      <c r="HH3" s="197"/>
      <c r="HI3" s="197"/>
      <c r="HJ3" s="197"/>
      <c r="HK3" s="197"/>
      <c r="HL3" s="197"/>
      <c r="HM3" s="197"/>
      <c r="HN3" s="197"/>
      <c r="HO3" s="197"/>
      <c r="HP3" s="197"/>
      <c r="HQ3" s="197"/>
      <c r="HR3" s="197"/>
      <c r="HS3" s="197"/>
      <c r="HT3" s="197"/>
      <c r="HU3" s="197"/>
      <c r="HV3" s="197"/>
      <c r="HW3" s="197"/>
      <c r="HX3" s="197"/>
      <c r="HY3" s="197"/>
      <c r="HZ3" s="197"/>
      <c r="IA3" s="197"/>
      <c r="IB3" s="197"/>
      <c r="IC3" s="197"/>
      <c r="ID3" s="197"/>
      <c r="IE3" s="197"/>
      <c r="IF3" s="197"/>
      <c r="IG3" s="197"/>
      <c r="IH3" s="197"/>
      <c r="II3" s="197"/>
      <c r="IJ3" s="197"/>
      <c r="IK3" s="197"/>
      <c r="IL3" s="197"/>
    </row>
    <row r="4" spans="1:246" ht="152.25" customHeight="1" x14ac:dyDescent="0.2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-142</v>
      </c>
      <c r="L4" s="13">
        <f t="shared" ref="L4:L13" ca="1" si="2">IF(J4="OVERDUE",1,0)</f>
        <v>0</v>
      </c>
      <c r="M4" s="13">
        <f t="shared" ref="M4:M13" ca="1" si="3">IF(J4="IN TIME",1,0)</f>
        <v>0</v>
      </c>
      <c r="N4" s="13">
        <f t="shared" ref="N4:N13" ca="1" si="4">IF(J4="DONE",1,0)</f>
        <v>1</v>
      </c>
      <c r="O4" s="13">
        <f t="shared" ref="O4:O13" ca="1" si="5">IF(G4&gt;0,G4-$C$2,"")</f>
        <v>-142</v>
      </c>
      <c r="P4" s="20" t="s">
        <v>642</v>
      </c>
      <c r="Q4" s="27"/>
      <c r="R4" s="27"/>
      <c r="S4" s="27"/>
      <c r="T4" s="27"/>
      <c r="U4" s="27"/>
      <c r="V4" s="27"/>
      <c r="W4" s="27"/>
      <c r="X4" s="27"/>
      <c r="Y4" s="27"/>
      <c r="Z4" s="27"/>
      <c r="AA4" s="27"/>
      <c r="AB4" s="27"/>
      <c r="AC4" s="27"/>
      <c r="AD4" s="27"/>
    </row>
    <row r="5" spans="1:246" ht="94.5" customHeight="1" x14ac:dyDescent="0.25">
      <c r="A5" s="15">
        <v>237</v>
      </c>
      <c r="B5" s="13"/>
      <c r="C5" s="16" t="s">
        <v>655</v>
      </c>
      <c r="D5" s="13" t="s">
        <v>24</v>
      </c>
      <c r="E5" s="13" t="s">
        <v>656</v>
      </c>
      <c r="F5" s="14">
        <v>44311</v>
      </c>
      <c r="G5" s="14"/>
      <c r="H5" s="14">
        <v>44347</v>
      </c>
      <c r="I5" s="14"/>
      <c r="J5" s="13" t="str">
        <f t="shared" ca="1" si="0"/>
        <v>OVERDUE</v>
      </c>
      <c r="K5" s="13">
        <f t="shared" ca="1" si="1"/>
        <v>-28</v>
      </c>
      <c r="L5" s="13">
        <f t="shared" ca="1" si="2"/>
        <v>1</v>
      </c>
      <c r="M5" s="13">
        <f t="shared" ca="1" si="3"/>
        <v>0</v>
      </c>
      <c r="N5" s="13">
        <f t="shared" ca="1" si="4"/>
        <v>0</v>
      </c>
      <c r="O5" s="13" t="str">
        <f t="shared" si="5"/>
        <v/>
      </c>
      <c r="P5" s="20" t="s">
        <v>661</v>
      </c>
      <c r="Q5" s="27"/>
      <c r="R5" s="27"/>
      <c r="S5" s="27"/>
      <c r="T5" s="27"/>
      <c r="U5" s="27"/>
      <c r="V5" s="27"/>
      <c r="W5" s="27"/>
      <c r="X5" s="27"/>
      <c r="Y5" s="27"/>
      <c r="Z5" s="27"/>
      <c r="AA5" s="27"/>
      <c r="AB5" s="27"/>
      <c r="AC5" s="27"/>
      <c r="AD5" s="27"/>
    </row>
    <row r="6" spans="1:246" ht="63.75" customHeight="1" x14ac:dyDescent="0.25">
      <c r="A6" s="15">
        <v>238</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78.75" customHeight="1" x14ac:dyDescent="0.25">
      <c r="A7" s="15">
        <v>239</v>
      </c>
      <c r="B7" s="13"/>
      <c r="C7" s="16"/>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102" customHeight="1" x14ac:dyDescent="0.25">
      <c r="A8" s="15">
        <v>240</v>
      </c>
      <c r="B8" s="13"/>
      <c r="C8" s="12"/>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ht="85.5" customHeight="1" x14ac:dyDescent="0.2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2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2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2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2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59" priority="25" operator="equal">
      <formula>"OVERDUE"</formula>
    </cfRule>
    <cfRule type="cellIs" dxfId="58" priority="26" operator="equal">
      <formula>"DONE"</formula>
    </cfRule>
    <cfRule type="cellIs" dxfId="57" priority="27" operator="equal">
      <formula>"DONE"</formula>
    </cfRule>
  </conditionalFormatting>
  <conditionalFormatting sqref="J5">
    <cfRule type="cellIs" dxfId="56" priority="22" operator="equal">
      <formula>"OVERDUE"</formula>
    </cfRule>
    <cfRule type="cellIs" dxfId="55" priority="23" operator="equal">
      <formula>"DONE"</formula>
    </cfRule>
    <cfRule type="cellIs" dxfId="54" priority="24" operator="equal">
      <formula>"DONE"</formula>
    </cfRule>
  </conditionalFormatting>
  <conditionalFormatting sqref="J6:J7">
    <cfRule type="cellIs" dxfId="53" priority="19" operator="equal">
      <formula>"OVERDUE"</formula>
    </cfRule>
    <cfRule type="cellIs" dxfId="52" priority="20" operator="equal">
      <formula>"DONE"</formula>
    </cfRule>
    <cfRule type="cellIs" dxfId="51" priority="21" operator="equal">
      <formula>"DONE"</formula>
    </cfRule>
  </conditionalFormatting>
  <conditionalFormatting sqref="J8">
    <cfRule type="cellIs" dxfId="50" priority="16" operator="equal">
      <formula>"OVERDUE"</formula>
    </cfRule>
    <cfRule type="cellIs" dxfId="49" priority="17" operator="equal">
      <formula>"DONE"</formula>
    </cfRule>
    <cfRule type="cellIs" dxfId="48" priority="18" operator="equal">
      <formula>"DONE"</formula>
    </cfRule>
  </conditionalFormatting>
  <conditionalFormatting sqref="J9">
    <cfRule type="cellIs" dxfId="47" priority="13" operator="equal">
      <formula>"OVERDUE"</formula>
    </cfRule>
    <cfRule type="cellIs" dxfId="46" priority="14" operator="equal">
      <formula>"DONE"</formula>
    </cfRule>
    <cfRule type="cellIs" dxfId="45" priority="15" operator="equal">
      <formula>"DONE"</formula>
    </cfRule>
  </conditionalFormatting>
  <conditionalFormatting sqref="J10">
    <cfRule type="cellIs" dxfId="44" priority="10" operator="equal">
      <formula>"OVERDUE"</formula>
    </cfRule>
    <cfRule type="cellIs" dxfId="43" priority="11" operator="equal">
      <formula>"DONE"</formula>
    </cfRule>
    <cfRule type="cellIs" dxfId="42" priority="12" operator="equal">
      <formula>"DONE"</formula>
    </cfRule>
  </conditionalFormatting>
  <conditionalFormatting sqref="J11">
    <cfRule type="cellIs" dxfId="41" priority="7" operator="equal">
      <formula>"OVERDUE"</formula>
    </cfRule>
    <cfRule type="cellIs" dxfId="40" priority="8" operator="equal">
      <formula>"DONE"</formula>
    </cfRule>
    <cfRule type="cellIs" dxfId="39" priority="9" operator="equal">
      <formula>"DONE"</formula>
    </cfRule>
  </conditionalFormatting>
  <conditionalFormatting sqref="J12">
    <cfRule type="cellIs" dxfId="38" priority="4" operator="equal">
      <formula>"OVERDUE"</formula>
    </cfRule>
    <cfRule type="cellIs" dxfId="37" priority="5" operator="equal">
      <formula>"DONE"</formula>
    </cfRule>
    <cfRule type="cellIs" dxfId="36" priority="6" operator="equal">
      <formula>"DONE"</formula>
    </cfRule>
  </conditionalFormatting>
  <conditionalFormatting sqref="J13">
    <cfRule type="cellIs" dxfId="35" priority="1" operator="equal">
      <formula>"OVERDUE"</formula>
    </cfRule>
    <cfRule type="cellIs" dxfId="34" priority="2" operator="equal">
      <formula>"DONE"</formula>
    </cfRule>
    <cfRule type="cellIs" dxfId="33" priority="3" operator="equal">
      <formula>"DONE"</formula>
    </cfRule>
  </conditionalFormatting>
  <conditionalFormatting sqref="J2:J3 J14:J1048576">
    <cfRule type="cellIs" dxfId="32" priority="28" operator="equal">
      <formula>"OVERDUE"</formula>
    </cfRule>
    <cfRule type="cellIs" dxfId="31" priority="29" operator="equal">
      <formula>"DONE"</formula>
    </cfRule>
    <cfRule type="cellIs" dxfId="30"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Pict="0" macro="[0]!Insert_Line_moban">
                <anchor moveWithCells="1">
                  <from>
                    <xdr:col>0</xdr:col>
                    <xdr:colOff>106680</xdr:colOff>
                    <xdr:row>13</xdr:row>
                    <xdr:rowOff>83820</xdr:rowOff>
                  </from>
                  <to>
                    <xdr:col>2</xdr:col>
                    <xdr:colOff>693420</xdr:colOff>
                    <xdr:row>14</xdr:row>
                    <xdr:rowOff>160020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A1:IL12"/>
  <sheetViews>
    <sheetView workbookViewId="0">
      <pane ySplit="3" topLeftCell="A4" activePane="bottomLeft" state="frozen"/>
      <selection activeCell="C76" sqref="C76"/>
      <selection pane="bottomLeft" activeCell="E5" sqref="E5"/>
    </sheetView>
  </sheetViews>
  <sheetFormatPr defaultColWidth="9" defaultRowHeight="13.8" x14ac:dyDescent="0.25"/>
  <cols>
    <col min="1" max="1" width="5.33203125" style="1" customWidth="1"/>
    <col min="2" max="2" width="4.21875" style="1" customWidth="1"/>
    <col min="3" max="3" width="33.6640625" style="1" customWidth="1"/>
    <col min="4" max="4" width="6" style="2" customWidth="1"/>
    <col min="5" max="5" width="10.33203125" style="1" customWidth="1"/>
    <col min="6" max="6" width="11.77734375" style="1" customWidth="1"/>
    <col min="7" max="7" width="12.77734375" style="1" customWidth="1"/>
    <col min="8" max="8" width="12" style="1" customWidth="1"/>
    <col min="9" max="9" width="10.77734375" style="1" customWidth="1"/>
    <col min="10" max="10" width="8.6640625" style="1" customWidth="1"/>
    <col min="11" max="11" width="19.33203125" style="1" hidden="1" customWidth="1"/>
    <col min="12" max="14" width="9" style="1" hidden="1" customWidth="1"/>
    <col min="15" max="15" width="0.21875" style="1" hidden="1" customWidth="1"/>
    <col min="16" max="16" width="34.77734375" style="1" customWidth="1"/>
    <col min="17" max="17" width="43" style="3" customWidth="1"/>
    <col min="18" max="16384" width="9" style="4"/>
  </cols>
  <sheetData>
    <row r="1" spans="1:246" ht="41.25" customHeight="1" x14ac:dyDescent="0.25">
      <c r="A1" s="213" t="s">
        <v>0</v>
      </c>
      <c r="B1" s="213"/>
      <c r="C1" s="213"/>
      <c r="D1" s="213"/>
      <c r="E1" s="213"/>
      <c r="F1" s="213"/>
      <c r="G1" s="213"/>
      <c r="H1" s="213"/>
      <c r="I1" s="213"/>
      <c r="J1" s="213"/>
      <c r="K1" s="213"/>
      <c r="L1" s="213"/>
      <c r="M1" s="213"/>
      <c r="N1" s="213"/>
      <c r="O1" s="213"/>
      <c r="P1" s="21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5">
      <c r="A2" s="214" t="s">
        <v>1</v>
      </c>
      <c r="B2" s="214"/>
      <c r="C2" s="5">
        <f ca="1">TODAY()</f>
        <v>44375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2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c r="DR3" s="198"/>
      <c r="DS3" s="198"/>
      <c r="DT3" s="198"/>
      <c r="DU3" s="198"/>
      <c r="DV3" s="198"/>
      <c r="DW3" s="198"/>
      <c r="DX3" s="198"/>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8"/>
      <c r="FD3" s="198"/>
      <c r="FE3" s="198"/>
      <c r="FF3" s="198"/>
      <c r="FG3" s="198"/>
      <c r="FH3" s="198"/>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8"/>
      <c r="GN3" s="198"/>
      <c r="GO3" s="198"/>
      <c r="GP3" s="198"/>
      <c r="GQ3" s="198"/>
      <c r="GR3" s="198"/>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8"/>
      <c r="HX3" s="198"/>
      <c r="HY3" s="198"/>
      <c r="HZ3" s="198"/>
      <c r="IA3" s="198"/>
      <c r="IB3" s="198"/>
      <c r="IC3" s="198"/>
      <c r="ID3" s="198"/>
      <c r="IE3" s="198"/>
      <c r="IF3" s="198"/>
      <c r="IG3" s="198"/>
      <c r="IH3" s="198"/>
      <c r="II3" s="198"/>
      <c r="IJ3" s="198"/>
      <c r="IK3" s="198"/>
      <c r="IL3" s="198"/>
    </row>
    <row r="4" spans="1:246" ht="89.25" customHeight="1" x14ac:dyDescent="0.25">
      <c r="A4" s="15">
        <v>237</v>
      </c>
      <c r="B4" s="13"/>
      <c r="C4" s="16" t="s">
        <v>657</v>
      </c>
      <c r="D4" s="13" t="s">
        <v>24</v>
      </c>
      <c r="E4" s="13" t="s">
        <v>641</v>
      </c>
      <c r="F4" s="14">
        <v>44306</v>
      </c>
      <c r="G4" s="14"/>
      <c r="H4" s="14">
        <v>44347</v>
      </c>
      <c r="I4" s="14">
        <v>44010</v>
      </c>
      <c r="J4" s="13" t="str">
        <f t="shared" ref="J4:J12" ca="1" si="0">IF(AND(I4&lt;=$C$2,I4&lt;&gt;0),"DONE",IF(K4&lt;0,"OVERDUE",IF(AND(K4="",O4&lt;0),"OVERDUE","IN TIME")))</f>
        <v>DONE</v>
      </c>
      <c r="K4" s="13">
        <f t="shared" ref="K4:K12" ca="1" si="1">IF(H4&gt;0,H4-$C$2,"")</f>
        <v>-28</v>
      </c>
      <c r="L4" s="13">
        <f t="shared" ref="L4:L12" ca="1" si="2">IF(J4="OVERDUE",1,0)</f>
        <v>0</v>
      </c>
      <c r="M4" s="13">
        <f t="shared" ref="M4:M12" ca="1" si="3">IF(J4="IN TIME",1,0)</f>
        <v>0</v>
      </c>
      <c r="N4" s="13">
        <f t="shared" ref="N4:N12" ca="1" si="4">IF(J4="DONE",1,0)</f>
        <v>1</v>
      </c>
      <c r="O4" s="13" t="str">
        <f t="shared" ref="O4:O12" si="5">IF(G4&gt;0,G4-$C$2,"")</f>
        <v/>
      </c>
      <c r="P4" s="20" t="s">
        <v>679</v>
      </c>
      <c r="Q4" s="27"/>
      <c r="R4" s="27"/>
      <c r="S4" s="27"/>
      <c r="T4" s="27"/>
      <c r="U4" s="27"/>
      <c r="V4" s="27"/>
      <c r="W4" s="27"/>
      <c r="X4" s="27"/>
      <c r="Y4" s="27"/>
      <c r="Z4" s="27"/>
      <c r="AA4" s="27"/>
      <c r="AB4" s="27"/>
      <c r="AC4" s="27"/>
      <c r="AD4" s="27"/>
    </row>
    <row r="5" spans="1:246" ht="63.75" customHeight="1" x14ac:dyDescent="0.25">
      <c r="A5" s="15">
        <v>238</v>
      </c>
      <c r="B5" s="13"/>
      <c r="C5" s="16" t="s">
        <v>683</v>
      </c>
      <c r="D5" s="13" t="s">
        <v>24</v>
      </c>
      <c r="E5" s="13" t="s">
        <v>641</v>
      </c>
      <c r="F5" s="14"/>
      <c r="G5" s="14"/>
      <c r="H5" s="14"/>
      <c r="I5" s="14"/>
      <c r="J5" s="13"/>
      <c r="K5" s="13"/>
      <c r="L5" s="13"/>
      <c r="M5" s="13"/>
      <c r="N5" s="13"/>
      <c r="O5" s="13"/>
      <c r="P5" s="20"/>
      <c r="Q5" s="27"/>
      <c r="R5" s="27"/>
      <c r="S5" s="27"/>
      <c r="T5" s="27"/>
      <c r="U5" s="27"/>
      <c r="V5" s="27"/>
      <c r="W5" s="27"/>
      <c r="X5" s="27"/>
      <c r="Y5" s="27"/>
      <c r="Z5" s="27"/>
      <c r="AA5" s="27"/>
      <c r="AB5" s="27"/>
      <c r="AC5" s="27"/>
      <c r="AD5" s="27"/>
    </row>
    <row r="6" spans="1:246" ht="78.75" customHeight="1" x14ac:dyDescent="0.25">
      <c r="A6" s="15">
        <v>239</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102" customHeight="1" x14ac:dyDescent="0.25">
      <c r="A7" s="15">
        <v>240</v>
      </c>
      <c r="B7" s="13"/>
      <c r="C7" s="12"/>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85.5" customHeight="1" x14ac:dyDescent="0.25">
      <c r="A8" s="15">
        <v>241</v>
      </c>
      <c r="B8" s="13"/>
      <c r="C8" s="16"/>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s="162" customFormat="1" ht="51" customHeight="1" x14ac:dyDescent="0.25">
      <c r="A9" s="156">
        <v>242</v>
      </c>
      <c r="B9" s="157"/>
      <c r="C9" s="158"/>
      <c r="D9" s="157"/>
      <c r="E9" s="157"/>
      <c r="F9" s="159"/>
      <c r="G9" s="159"/>
      <c r="H9" s="159"/>
      <c r="I9" s="159"/>
      <c r="J9" s="157"/>
      <c r="K9" s="157"/>
      <c r="L9" s="157"/>
      <c r="M9" s="157"/>
      <c r="N9" s="157"/>
      <c r="O9" s="157"/>
      <c r="P9" s="160"/>
      <c r="Q9" s="161"/>
      <c r="R9" s="161"/>
      <c r="S9" s="161"/>
      <c r="T9" s="161"/>
      <c r="U9" s="161"/>
      <c r="V9" s="161"/>
      <c r="W9" s="161"/>
      <c r="X9" s="161"/>
      <c r="Y9" s="161"/>
      <c r="Z9" s="161"/>
      <c r="AA9" s="161"/>
      <c r="AB9" s="161"/>
      <c r="AC9" s="161"/>
      <c r="AD9" s="161"/>
    </row>
    <row r="10" spans="1:246" ht="24.6" customHeight="1" x14ac:dyDescent="0.25">
      <c r="A10" s="15">
        <v>243</v>
      </c>
      <c r="B10" s="13"/>
      <c r="C10" s="12"/>
      <c r="D10" s="13"/>
      <c r="E10" s="13"/>
      <c r="F10" s="14"/>
      <c r="G10" s="14"/>
      <c r="H10" s="14"/>
      <c r="I10" s="14"/>
      <c r="J10" s="13"/>
      <c r="K10" s="13"/>
      <c r="L10" s="13"/>
      <c r="M10" s="13"/>
      <c r="N10" s="13"/>
      <c r="O10" s="13"/>
      <c r="P10" s="20"/>
      <c r="Q10" s="27"/>
      <c r="R10" s="27"/>
      <c r="S10" s="27"/>
      <c r="T10" s="27"/>
      <c r="U10" s="27"/>
      <c r="V10" s="27"/>
      <c r="W10" s="27"/>
      <c r="X10" s="27"/>
      <c r="Y10" s="27"/>
      <c r="Z10" s="27"/>
      <c r="AA10" s="27"/>
      <c r="AB10" s="27"/>
      <c r="AC10" s="27"/>
      <c r="AD10" s="27"/>
    </row>
    <row r="11" spans="1:246" ht="24.6" customHeight="1" x14ac:dyDescent="0.25">
      <c r="A11" s="15">
        <v>244</v>
      </c>
      <c r="B11" s="13"/>
      <c r="C11" s="12"/>
      <c r="D11" s="13"/>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27"/>
      <c r="R11" s="27"/>
      <c r="S11" s="27"/>
      <c r="T11" s="27"/>
      <c r="U11" s="27"/>
      <c r="V11" s="27"/>
      <c r="W11" s="27"/>
      <c r="X11" s="27"/>
      <c r="Y11" s="27"/>
      <c r="Z11" s="27"/>
      <c r="AA11" s="27"/>
      <c r="AB11" s="27"/>
      <c r="AC11" s="27"/>
      <c r="AD11" s="27"/>
    </row>
    <row r="12" spans="1:246" ht="24.6" customHeight="1" x14ac:dyDescent="0.25">
      <c r="A12" s="15">
        <v>245</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sheetData>
  <autoFilter ref="A3:P12"/>
  <mergeCells count="2">
    <mergeCell ref="A1:P1"/>
    <mergeCell ref="A2:B2"/>
  </mergeCells>
  <phoneticPr fontId="34" type="noConversion"/>
  <conditionalFormatting sqref="J4">
    <cfRule type="cellIs" dxfId="29" priority="22" operator="equal">
      <formula>"OVERDUE"</formula>
    </cfRule>
    <cfRule type="cellIs" dxfId="28" priority="23" operator="equal">
      <formula>"DONE"</formula>
    </cfRule>
    <cfRule type="cellIs" dxfId="27" priority="24" operator="equal">
      <formula>"DONE"</formula>
    </cfRule>
  </conditionalFormatting>
  <conditionalFormatting sqref="J5:J6">
    <cfRule type="cellIs" dxfId="26" priority="19" operator="equal">
      <formula>"OVERDUE"</formula>
    </cfRule>
    <cfRule type="cellIs" dxfId="25" priority="20" operator="equal">
      <formula>"DONE"</formula>
    </cfRule>
    <cfRule type="cellIs" dxfId="24" priority="21" operator="equal">
      <formula>"DONE"</formula>
    </cfRule>
  </conditionalFormatting>
  <conditionalFormatting sqref="J7">
    <cfRule type="cellIs" dxfId="23" priority="16" operator="equal">
      <formula>"OVERDUE"</formula>
    </cfRule>
    <cfRule type="cellIs" dxfId="22" priority="17" operator="equal">
      <formula>"DONE"</formula>
    </cfRule>
    <cfRule type="cellIs" dxfId="21" priority="18" operator="equal">
      <formula>"DONE"</formula>
    </cfRule>
  </conditionalFormatting>
  <conditionalFormatting sqref="J8">
    <cfRule type="cellIs" dxfId="20" priority="13" operator="equal">
      <formula>"OVERDUE"</formula>
    </cfRule>
    <cfRule type="cellIs" dxfId="19" priority="14" operator="equal">
      <formula>"DONE"</formula>
    </cfRule>
    <cfRule type="cellIs" dxfId="18" priority="15" operator="equal">
      <formula>"DONE"</formula>
    </cfRule>
  </conditionalFormatting>
  <conditionalFormatting sqref="J9">
    <cfRule type="cellIs" dxfId="17" priority="10" operator="equal">
      <formula>"OVERDUE"</formula>
    </cfRule>
    <cfRule type="cellIs" dxfId="16" priority="11" operator="equal">
      <formula>"DONE"</formula>
    </cfRule>
    <cfRule type="cellIs" dxfId="15" priority="12" operator="equal">
      <formula>"DONE"</formula>
    </cfRule>
  </conditionalFormatting>
  <conditionalFormatting sqref="J10">
    <cfRule type="cellIs" dxfId="14" priority="7" operator="equal">
      <formula>"OVERDUE"</formula>
    </cfRule>
    <cfRule type="cellIs" dxfId="13" priority="8" operator="equal">
      <formula>"DONE"</formula>
    </cfRule>
    <cfRule type="cellIs" dxfId="12" priority="9" operator="equal">
      <formula>"DONE"</formula>
    </cfRule>
  </conditionalFormatting>
  <conditionalFormatting sqref="J11">
    <cfRule type="cellIs" dxfId="11" priority="4" operator="equal">
      <formula>"OVERDUE"</formula>
    </cfRule>
    <cfRule type="cellIs" dxfId="10" priority="5" operator="equal">
      <formula>"DONE"</formula>
    </cfRule>
    <cfRule type="cellIs" dxfId="9" priority="6" operator="equal">
      <formula>"DONE"</formula>
    </cfRule>
  </conditionalFormatting>
  <conditionalFormatting sqref="J12">
    <cfRule type="cellIs" dxfId="8" priority="1" operator="equal">
      <formula>"OVERDUE"</formula>
    </cfRule>
    <cfRule type="cellIs" dxfId="7" priority="2" operator="equal">
      <formula>"DONE"</formula>
    </cfRule>
    <cfRule type="cellIs" dxfId="6" priority="3" operator="equal">
      <formula>"DONE"</formula>
    </cfRule>
  </conditionalFormatting>
  <conditionalFormatting sqref="J2:J3 J13:J1048576">
    <cfRule type="cellIs" dxfId="5" priority="28" operator="equal">
      <formula>"OVERDUE"</formula>
    </cfRule>
    <cfRule type="cellIs" dxfId="4" priority="29" operator="equal">
      <formula>"DONE"</formula>
    </cfRule>
    <cfRule type="cellIs" dxfId="3"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Pict="0" macro="[0]!Insert_Line_moban">
                <anchor moveWithCells="1">
                  <from>
                    <xdr:col>0</xdr:col>
                    <xdr:colOff>106680</xdr:colOff>
                    <xdr:row>12</xdr:row>
                    <xdr:rowOff>83820</xdr:rowOff>
                  </from>
                  <to>
                    <xdr:col>2</xdr:col>
                    <xdr:colOff>693420</xdr:colOff>
                    <xdr:row>13</xdr:row>
                    <xdr:rowOff>160020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69639A4A-ED56-479D-BBC2-24ACE46046AC}">
  <ds:schemaRefs/>
</ds:datastoreItem>
</file>

<file path=customXml/itemProps3.xml><?xml version="1.0" encoding="utf-8"?>
<ds:datastoreItem xmlns:ds="http://schemas.openxmlformats.org/officeDocument/2006/customXml" ds:itemID="{480F11A6-3660-43C1-99FE-060D2F12406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25</vt:i4>
      </vt:variant>
    </vt:vector>
  </HeadingPairs>
  <TitlesOfParts>
    <vt:vector size="38" baseType="lpstr">
      <vt:lpstr>newbrush SDK总任务表</vt:lpstr>
      <vt:lpstr>项目时间表</vt:lpstr>
      <vt:lpstr>newbrush studio总任务表</vt:lpstr>
      <vt:lpstr>framework</vt:lpstr>
      <vt:lpstr>opengl</vt:lpstr>
      <vt:lpstr>other</vt:lpstr>
      <vt:lpstr>newbrush SDK详细任务跟进</vt:lpstr>
      <vt:lpstr>newbrush studio详细任务跟进</vt:lpstr>
      <vt:lpstr>倒车轨迹线线OpenGL方案</vt:lpstr>
      <vt:lpstr>RadarACM</vt:lpstr>
      <vt:lpstr>福特CDX706</vt:lpstr>
      <vt:lpstr>防晕车实验软件</vt:lpstr>
      <vt:lpstr>模型换装</vt:lpstr>
      <vt:lpstr>'newbrush studio总任务表'!Display_Week</vt:lpstr>
      <vt:lpstr>Display_Week</vt:lpstr>
      <vt:lpstr>'newbrush SDK详细任务跟进'!EOI</vt:lpstr>
      <vt:lpstr>'newbrush studio详细任务跟进'!EOI</vt:lpstr>
      <vt:lpstr>opengl!EOI</vt:lpstr>
      <vt:lpstr>other!EOI</vt:lpstr>
      <vt:lpstr>RadarACM!EOI</vt:lpstr>
      <vt:lpstr>倒车轨迹线线OpenGL方案!EOI</vt:lpstr>
      <vt:lpstr>防晕车实验软件!EOI</vt:lpstr>
      <vt:lpstr>福特CDX706!EOI</vt:lpstr>
      <vt:lpstr>模型换装!EOI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Pan, Rongtao</cp:lastModifiedBy>
  <cp:lastPrinted>2015-01-15T10:30:00Z</cp:lastPrinted>
  <dcterms:created xsi:type="dcterms:W3CDTF">2014-11-14T05:24:00Z</dcterms:created>
  <dcterms:modified xsi:type="dcterms:W3CDTF">2021-06-28T02:04:26Z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