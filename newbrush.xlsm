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17490" firstSheet="6" activeTab="8"/>
  </bookViews>
  <sheets>
    <sheet name="newbrush SDK总任务表" sheetId="10" r:id="rId1"/>
    <sheet name="项目时间表" sheetId="16" r:id="rId2"/>
    <sheet name="newbrush studio总任务表" sheetId="15" r:id="rId3"/>
    <sheet name="framework" sheetId="5" state="hidden" r:id="rId4"/>
    <sheet name="opengl" sheetId="7" state="hidden" r:id="rId5"/>
    <sheet name="other" sheetId="9" state="hidden" r:id="rId6"/>
    <sheet name="newbrush SDK详细任务跟进" sheetId="8" r:id="rId7"/>
    <sheet name="newbrush studio详细任务跟进" sheetId="12" r:id="rId8"/>
    <sheet name="倒车轨迹线线OpenGL方案" sheetId="17" r:id="rId9"/>
  </sheets>
  <externalReferences>
    <externalReference r:id="rId10"/>
  </externalReferences>
  <definedNames>
    <definedName name="_xlnm._FilterDatabase" localSheetId="3" hidden="1">framework!$A$3:$P$18</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8" hidden="1">倒车轨迹线线OpenGL方案!$A$3:$P$27</definedName>
    <definedName name="ActualBeyond" localSheetId="7">'newbrush studio详细任务跟进'!PeriodInActual*(#REF!&gt;0)</definedName>
    <definedName name="ActualBeyond" localSheetId="2">'newbrush studio总任务表'!PeriodInActual*(#REF!&gt;0)</definedName>
    <definedName name="ActualBeyond" localSheetId="8">倒车轨迹线线OpenGL方案!PeriodInActual*(#REF!&gt;0)</definedName>
    <definedName name="ActualBeyond">PeriodInActual*(#REF!&gt;0)</definedName>
    <definedName name="Display_Week" localSheetId="2">'newbrush studio总任务表'!$E$4</definedName>
    <definedName name="Display_Week">'newbrush SDK总任务表'!$E$4</definedName>
    <definedName name="EOI" localSheetId="6">'newbrush SDK详细任务跟进'!$A$53</definedName>
    <definedName name="EOI" localSheetId="7">'newbrush studio详细任务跟进'!$A$31</definedName>
    <definedName name="EOI" localSheetId="4">opengl!$A$15</definedName>
    <definedName name="EOI" localSheetId="5">other!$A$16</definedName>
    <definedName name="EOI" localSheetId="8">倒车轨迹线线OpenGL方案!$A$28</definedName>
    <definedName name="EOI">framework!$A$22</definedName>
    <definedName name="EOS" localSheetId="0">#REF!</definedName>
    <definedName name="EOS" localSheetId="7">#REF!</definedName>
    <definedName name="EOS" localSheetId="2">#REF!</definedName>
    <definedName name="EOS" localSheetId="8">#REF!</definedName>
    <definedName name="EOS">#REF!</definedName>
    <definedName name="EOT" localSheetId="0">#REF!</definedName>
    <definedName name="EOT" localSheetId="7">#REF!</definedName>
    <definedName name="EOT" localSheetId="2">#REF!</definedName>
    <definedName name="EOT" localSheetId="8">#REF!</definedName>
    <definedName name="EOT">#REF!</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8">倒车轨迹线线OpenGL方案!PercentCompleteBeyond*倒车轨迹线线OpenGL方案!PeriodInPlan</definedName>
    <definedName name="PercentComplete">PercentCompleteBeyond*PeriodInPlan</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8">(#REF!=MEDIAN(#REF!,#REF!,#REF!+#REF!)*(#REF!&gt;0))*((#REF!&lt;(INT(#REF!+#REF!*#REF!)))+(#REF!=#REF!))*(#REF!&gt;0)</definedName>
    <definedName name="PercentCompleteBeyond">(#REF!=MEDIAN(#REF!,#REF!,#REF!+#REF!)*(#REF!&gt;0))*((#REF!&lt;(INT(#REF!+#REF!*#REF!)))+(#REF!=#REF!))*(#REF!&gt;0)</definedName>
    <definedName name="period_selected" localSheetId="7">#REF!</definedName>
    <definedName name="period_selected" localSheetId="2">#REF!</definedName>
    <definedName name="period_selected" localSheetId="8">#REF!</definedName>
    <definedName name="period_selected">#REF!</definedName>
    <definedName name="PeriodInActual" localSheetId="7">#REF!=MEDIAN(#REF!,#REF!,#REF!+#REF!-1)</definedName>
    <definedName name="PeriodInActual" localSheetId="2">#REF!=MEDIAN(#REF!,#REF!,#REF!+#REF!-1)</definedName>
    <definedName name="PeriodInActual" localSheetId="8">#REF!=MEDIAN(#REF!,#REF!,#REF!+#REF!-1)</definedName>
    <definedName name="PeriodInActual">#REF!=MEDIAN(#REF!,#REF!,#REF!+#REF!-1)</definedName>
    <definedName name="PeriodInPlan" localSheetId="7">#REF!=MEDIAN(#REF!,#REF!,#REF!+#REF!-1)</definedName>
    <definedName name="PeriodInPlan" localSheetId="2">#REF!=MEDIAN(#REF!,#REF!,#REF!+#REF!-1)</definedName>
    <definedName name="PeriodInPlan" localSheetId="8">#REF!=MEDIAN(#REF!,#REF!,#REF!+#REF!-1)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8">#REF!</definedName>
    <definedName name="ProjectEnd" localSheetId="1">项目时间表!$L$21</definedName>
    <definedName name="ProjectEnd">#REF!</definedName>
    <definedName name="ProjectStart" localSheetId="8">#REF!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7">#REF!</definedName>
    <definedName name="TitleRegion..BO60" localSheetId="2">#REF!</definedName>
    <definedName name="TitleRegion..BO60" localSheetId="8">#REF!</definedName>
    <definedName name="TitleRegion..BO60">#REF!</definedName>
    <definedName name="计划" localSheetId="7">'newbrush studio详细任务跟进'!PeriodInPlan*(#REF!&gt;0)</definedName>
    <definedName name="计划" localSheetId="2">'newbrush studio总任务表'!PeriodInPlan*(#REF!&gt;0)</definedName>
    <definedName name="计划" localSheetId="8">倒车轨迹线线OpenGL方案!PeriodInPlan*(#REF!&gt;0)</definedName>
    <definedName name="计划">PeriodInPlan*(#REF!&gt;0)</definedName>
    <definedName name="今天" localSheetId="0">TODAY()</definedName>
    <definedName name="今天" localSheetId="2">TODAY()</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8">(倒车轨迹线线OpenGL方案!PeriodInActual*(#REF!&gt;0))*倒车轨迹线线OpenGL方案!PeriodInPlan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1" i="5" l="1"/>
  <c r="K21" i="5"/>
  <c r="O20" i="5"/>
  <c r="K20" i="5"/>
  <c r="O19" i="5"/>
  <c r="K19" i="5"/>
  <c r="K35" i="8" l="1"/>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19" i="17" l="1"/>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J48"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O18" i="5" s="1"/>
  <c r="J43" i="8" l="1"/>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<sst xmlns="http://schemas.openxmlformats.org/spreadsheetml/2006/main" count="1102" uniqueCount="568">
  <si>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</si>
  <si>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</si>
  <si>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</si>
  <si>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</si>
  <si>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</si>
  <si>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</si>
  <si>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</si>
  <si>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</si>
  <si>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</si>
  <si>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</si>
  <si>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</si>
  <si>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</si>
  <si>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</si>
  <si>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</si>
  <si>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</si>
  <si>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</si>
  <si>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</si>
  <si>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</si>
  <si>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</si>
  <si>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</si>
  <si>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</si>
  <si>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</si>
  <si>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</si>
  <si>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</si>
  <si>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</si>
  <si>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</si>
  <si>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</si>
  <si>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</si>
  <si>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</si>
  <si>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</si>
  <si>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</si>
  <si>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</si>
  <si>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</si>
  <si>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</si>
  <si>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</si>
  <si>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</si>
  <si>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</si>
  <si>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</si>
  <si>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</si>
  <si>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</si>
  <si>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</si>
  <si>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</si>
  <si>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</si>
  <si>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</si>
  <si>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</si>
  <si>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</si>
  <si>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</si>
  <si>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</si>
  <si>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</si>
  <si>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</si>
  <si>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</si>
  <si>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</si>
  <si>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</si>
  <si>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</si>
  <si>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</si>
  <si>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</si>
  <si>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</si>
  <si>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</si>
  <si>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</si>
  <si>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</si>
  <si>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</si>
  <si>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</si>
  <si>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</si>
  <si>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</si>
  <si>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</si>
  <si>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</si>
  <si>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</si>
  <si>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</si>
  <si>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</si>
  <si>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</si>
  <si>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</si>
  <si>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</si>
  <si>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</si>
  <si>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</si>
  <si>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</si>
  <si>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</si>
  <si>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</si>
  <si>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</si>
  <si>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</si>
  <si>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</si>
  <si>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</si>
  <si>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</si>
  <si>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</si>
  <si>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</si>
  <si>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</si>
  <si>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</si>
  <si>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</si>
  <si>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</si>
  <si>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</si>
  <si>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</si>
  <si>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</si>
  <si>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</si>
  <si>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</si>
  <si>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</si>
  <si>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</si>
  <si>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</si>
  <si>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</si>
  <si>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</si>
  <si>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</si>
  <si>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</si>
  <si>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</si>
  <si>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</si>
  <si>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</si>
  <si>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</si>
  <si>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</si>
  <si>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</si>
  <si>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</si>
  <si>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</si>
  <si>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</si>
  <si>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</si>
  <si>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</si>
  <si>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</si>
  <si>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</si>
  <si>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</si>
  <si>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</si>
  <si>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</si>
  <si>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</si>
  <si>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</si>
  <si>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</si>
  <si>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</si>
  <si>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</si>
  <si>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</si>
  <si>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</si>
  <si>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</si>
  <si>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</si>
  <si>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</si>
  <si>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</si>
  <si>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</si>
  <si>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</si>
  <si>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</si>
  <si>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</si>
  <si>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</si>
  <si>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</si>
  <si>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</si>
  <si>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</si>
  <si>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</si>
  <si>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</si>
  <si>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</si>
  <si>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</si>
  <si>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</si>
  <si>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</si>
  <si>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</si>
  <si>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</si>
  <si>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</si>
  <si>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</si>
  <si>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</si>
  <si>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</si>
  <si>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</si>
  <si>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</si>
  <si>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</si>
  <si>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</si>
  <si>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</si>
  <si>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</si>
  <si>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</si>
  <si>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</si>
  <si>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</si>
  <si>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</si>
  <si>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</si>
  <si>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</si>
  <si>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</si>
  <si>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</si>
  <si>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</si>
  <si>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</si>
  <si>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</si>
  <si>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</si>
  <si>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</si>
  <si>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</si>
  <si>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</si>
  <si>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</si>
  <si>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</si>
  <si>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</si>
  <si>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</si>
  <si>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</si>
  <si>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</si>
  <si>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</si>
  <si>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</si>
  <si>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</si>
  <si>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</si>
  <si>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</si>
  <si>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</si>
  <si>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</si>
  <si>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</si>
  <si>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</si>
  <si>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</si>
  <si>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</si>
  <si>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</si>
  <si>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</si>
  <si>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</si>
  <si>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</si>
  <si>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</si>
  <si>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</si>
  <si>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</si>
  <si>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</si>
  <si>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</si>
  <si>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</si>
  <si>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</si>
  <si>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</si>
  <si>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</si>
  <si>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</si>
  <si>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</si>
  <si>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</si>
  <si>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</si>
  <si>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</si>
  <si>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</si>
  <si>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</si>
  <si>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</si>
  <si>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</si>
  <si>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</si>
  <si>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</si>
  <si>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</si>
  <si>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</si>
  <si>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</si>
  <si>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</si>
  <si>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</si>
  <si>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</si>
  <si>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</si>
  <si>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</si>
  <si>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</si>
  <si>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</si>
  <si>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</si>
  <si>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</si>
  <si>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</si>
  <si>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</si>
  <si>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</si>
  <si>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</si>
  <si>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</si>
  <si>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</si>
  <si>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</si>
  <si>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</si>
  <si>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</si>
  <si>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</si>
  <si>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</si>
  <si>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</si>
  <si>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</si>
  <si>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</si>
  <si>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</si>
  <si>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</si>
  <si>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</si>
  <si>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</si>
  <si>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</si>
  <si>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</si>
  <si>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</si>
  <si>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</si>
  <si>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</si>
  <si>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</si>
  <si>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</si>
  <si>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</si>
  <si>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</si>
  <si>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</si>
  <si>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</si>
  <si>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</si>
  <si>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</si>
  <si>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</si>
  <si>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</si>
  <si>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</si>
  <si>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</si>
  <si>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</si>
  <si>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</si>
  <si>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</si>
  <si>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</si>
  <si>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</si>
  <si>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</si>
  <si>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</si>
  <si>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</si>
  <si>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</si>
  <si>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</si>
  <si>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</si>
  <si>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</si>
  <si>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</si>
  <si>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</si>
  <si>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</si>
  <si>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</si>
  <si>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</si>
  <si>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</si>
  <si>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</si>
  <si>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</si>
  <si>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</si>
  <si>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</si>
  <si>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</si>
  <si>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</si>
  <si>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</si>
  <si>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</si>
  <si>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</si>
  <si>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</si>
  <si>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</si>
  <si>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</si>
  <si>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</si>
  <si>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</si>
  <si>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</si>
  <si>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</si>
  <si>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</si>
  <si>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</si>
  <si>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</si>
  <si>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</si>
  <si>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</si>
  <si>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</si>
  <si>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</si>
  <si>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</si>
  <si>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</si>
  <si>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</si>
  <si>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</si>
  <si>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</si>
  <si>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</si>
  <si>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</si>
  <si>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</si>
  <si>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</si>
  <si>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</si>
  <si>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</si>
  <si>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</si>
  <si>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</si>
  <si>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</si>
  <si>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</si>
  <si>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</si>
  <si>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</si>
  <si>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</si>
  <si>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</si>
  <si>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</si>
  <si>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</si>
  <si>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</si>
  <si>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</si>
  <si>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</si>
  <si>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</si>
  <si>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</si>
  <si>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</si>
  <si>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</si>
  <si>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</si>
  <si>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</si>
  <si>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</si>
  <si>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</si>
  <si>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</si>
  <si>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</si>
  <si>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</si>
  <si>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</si>
  <si>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</si>
  <si>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</si>
  <si>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</si>
  <si>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</si>
  <si>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</si>
  <si>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</si>
  <si>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</si>
  <si>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</si>
  <si>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</si>
  <si>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</si>
  <si>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</si>
  <si>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</si>
  <si>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</si>
  <si>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</si>
  <si>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</si>
  <si>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</si>
  <si>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</si>
  <si>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</si>
  <si>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</si>
  <si>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</si>
  <si>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</si>
  <si>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</si>
  <si>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</si>
  <si>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</si>
  <si>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</si>
  <si>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</si>
  <si>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</si>
  <si>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</si>
  <si>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</si>
  <si>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</si>
  <si>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</si>
  <si>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</si>
  <si>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</si>
  <si>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</si>
  <si>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</si>
  <si>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</si>
  <si>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</si>
  <si>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</si>
  <si>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</si>
  <si>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</si>
  <si>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</si>
  <si>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</si>
  <si>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</si>
  <si>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</si>
  <si>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</si>
  <si>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</si>
  <si>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</si>
  <si>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</si>
  <si>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</si>
  <si>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</si>
  <si>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</si>
  <si>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</si>
  <si>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</si>
  <si>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</si>
  <si>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</si>
  <si>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</si>
  <si>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</si>
  <si>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</si>
  <si>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</si>
  <si>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</si>
  <si>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</si>
  <si>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</si>
  <si>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</si>
  <si>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</si>
  <si>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</si>
  <si>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</si>
  <si>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</si>
  <si>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</si>
  <si>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</si>
  <si>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</si>
  <si>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</si>
  <si>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</si>
  <si>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</si>
  <si>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</si>
  <si>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</si>
  <si>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</si>
  <si>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</si>
  <si>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</si>
  <si>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</si>
  <si>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</si>
  <si>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</si>
  <si>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</si>
  <si>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</si>
  <si>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</si>
  <si>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</si>
  <si>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</si>
  <si>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</si>
  <si>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</si>
  <si>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</si>
  <si>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</si>
  <si>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</si>
  <si>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</si>
  <si>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</si>
  <si>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</si>
  <si>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</si>
  <si>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</si>
  <si>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</si>
  <si>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</si>
  <si>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</si>
  <si>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</si>
  <si>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</si>
  <si>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</si>
  <si>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</si>
  <si>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</si>
  <si>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</si>
  <si>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</si>
  <si>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</si>
  <si>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</si>
  <si>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</si>
  <si>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</si>
  <si>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</si>
  <si>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</si>
  <si>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</si>
  <si>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</si>
  <si>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</si>
  <si>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</si>
  <si>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</si>
  <si>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</si>
  <si>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</si>
  <si>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</si>
  <si>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</si>
  <si>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</si>
  <si>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</si>
  <si>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</si>
  <si>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</si>
  <si>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</si>
  <si>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</si>
  <si>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</si>
  <si>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</si>
  <si>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</si>
  <si>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</si>
  <si>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</si>
  <si>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</si>
  <si>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</si>
  <si>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</si>
  <si>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</si>
  <si>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</si>
  <si>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</si>
  <si>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</si>
  <si>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</si>
  <si>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</si>
  <si>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</si>
  <si>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</si>
  <si>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</si>
  <si>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</si>
  <si>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</si>
  <si>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</si>
  <si>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</si>
  <si>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</si>
  <si>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</si>
  <si>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</si>
  <si>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</si>
  <si>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</si>
  <si>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</si>
  <si>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</si>
  <si>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</si>
  <si>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</si>
  <si>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</si>
  <si>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</si>
  <si>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</si>
  <si>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</si>
  <si>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</si>
  <si>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</si>
  <si>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</si>
  <si>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</si>
  <si>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</si>
  <si>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</si>
  <si>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</si>
  <si>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</si>
  <si>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</si>
  <si>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</si>
  <si>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</si>
  <si>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</si>
  <si>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</si>
  <si>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</si>
  <si>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</si>
  <si>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</si>
  <si>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</si>
  <si>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</si>
  <si>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</si>
  <si>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r>
      <t>2020-5-4</t>
    </r>
    <r>
      <rPr>
        <sz val="10"/>
        <rFont val="宋体"/>
        <family val="3"/>
        <charset val="134"/>
      </rPr>
      <t xml:space="preserve">：
</t>
    </r>
    <r>
      <rPr>
        <sz val="10"/>
        <rFont val="Arial"/>
        <family val="2"/>
      </rPr>
      <t>2020-6-29</t>
    </r>
    <r>
      <rPr>
        <sz val="10"/>
        <rFont val="宋体"/>
        <family val="3"/>
        <charset val="134"/>
      </rPr>
      <t xml:space="preserve">：
</t>
    </r>
    <r>
      <rPr>
        <sz val="10"/>
        <rFont val="Arial"/>
        <family val="2"/>
      </rPr>
      <t>2020-7-6</t>
    </r>
    <r>
      <rPr>
        <sz val="10"/>
        <rFont val="宋体"/>
        <family val="3"/>
        <charset val="134"/>
      </rPr>
      <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</si>
  <si>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</si>
  <si>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</si>
  <si>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</si>
  <si>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</si>
  <si>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</si>
  <si>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</si>
  <si>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</si>
  <si>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</si>
  <si>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</si>
  <si>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</si>
  <si>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</si>
  <si>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</si>
  <si>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</si>
  <si>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Pan Rongtao</t>
    <phoneticPr fontId="34" type="noConversion"/>
  </si>
  <si>
    <t>模型demo问题解决：cubemap效果调整，倒影贴图，座位渲染不完整问题，
放大缩小按钮</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</si>
  <si>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：挂起，后续联调</t>
    </r>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</si>
  <si>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</si>
  <si>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</si>
  <si>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</si>
  <si>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</si>
  <si>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</si>
  <si>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</si>
  <si>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</si>
  <si>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</si>
  <si>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t>架构设计文档</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</si>
  <si>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</si>
  <si>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</si>
  <si>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</si>
  <si>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</si>
  <si>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</si>
  <si>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</si>
  <si>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：等待原平台解决协调人员、历史各种问题</t>
    </r>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</si>
  <si>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</si>
  <si>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</si>
  <si>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</si>
  <si>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</si>
  <si>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</si>
  <si>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</si>
  <si>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</si>
  <si>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</si>
  <si>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</si>
  <si>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</si>
  <si>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</si>
  <si>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</si>
  <si>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</si>
  <si>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</si>
  <si>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</si>
  <si>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</si>
  <si>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</si>
  <si>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2020-9-28</t>
    </r>
    <r>
      <rPr>
        <sz val="10"/>
        <rFont val="宋体"/>
        <family val="3"/>
        <charset val="134"/>
      </rPr>
      <t>：国庆假期后开始</t>
    </r>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</si>
  <si>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</si>
  <si>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部分</t>
    </r>
    <phoneticPr fontId="34" type="noConversion"/>
  </si>
  <si>
    <t>创新大赛两个参赛作品</t>
    <phoneticPr fontId="34" type="noConversion"/>
  </si>
  <si>
    <t>PC版本输出纹理</t>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</si>
</sst>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182">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453">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452"/>
      <tableStyleElement type="headerRow" dxfId="451"/>
      <tableStyleElement type="firstRowStripe" dxfId="450"/>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52</xdr:row>
          <xdr:rowOff>85725</xdr:rowOff>
        </xdr:from>
        <xdr:to>
          <xdr:col>1</xdr:col>
          <xdr:colOff>800100</xdr:colOff>
          <xdr:row>53</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446" dataDxfId="445">
  <tableColumns count="4">
    <tableColumn id="1" name="日期" dataDxfId="444"/>
    <tableColumn id="2" name="里程碑" dataDxfId="443"/>
    <tableColumn id="4" name="位置" dataDxfId="442"/>
    <tableColumn id="5" name="比较基准" dataDxfId="441">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175" t="s">
        <v>328</v>
      </c>
      <c r="D3" s="176"/>
      <c r="E3" s="174">
        <v>43647</v>
      </c>
      <c r="F3" s="174"/>
    </row>
    <row r="4" spans="1:65" ht="30" customHeight="1" x14ac:dyDescent="0.3">
      <c r="A4" s="59" t="s">
        <v>327</v>
      </c>
      <c r="C4" s="175" t="s">
        <v>326</v>
      </c>
      <c r="D4" s="176"/>
      <c r="E4" s="113">
        <v>25</v>
      </c>
      <c r="J4" s="171">
        <f>J5</f>
        <v>43814</v>
      </c>
      <c r="K4" s="172"/>
      <c r="L4" s="172"/>
      <c r="M4" s="172"/>
      <c r="N4" s="172"/>
      <c r="O4" s="172"/>
      <c r="P4" s="173"/>
      <c r="Q4" s="171">
        <f>Q5</f>
        <v>43821</v>
      </c>
      <c r="R4" s="172"/>
      <c r="S4" s="172"/>
      <c r="T4" s="172"/>
      <c r="U4" s="172"/>
      <c r="V4" s="172"/>
      <c r="W4" s="173"/>
      <c r="X4" s="171">
        <f>X5</f>
        <v>43828</v>
      </c>
      <c r="Y4" s="172"/>
      <c r="Z4" s="172"/>
      <c r="AA4" s="172"/>
      <c r="AB4" s="172"/>
      <c r="AC4" s="172"/>
      <c r="AD4" s="173"/>
      <c r="AE4" s="171">
        <f>AE5</f>
        <v>43835</v>
      </c>
      <c r="AF4" s="172"/>
      <c r="AG4" s="172"/>
      <c r="AH4" s="172"/>
      <c r="AI4" s="172"/>
      <c r="AJ4" s="172"/>
      <c r="AK4" s="173"/>
      <c r="AL4" s="171">
        <f>AL5</f>
        <v>43842</v>
      </c>
      <c r="AM4" s="172"/>
      <c r="AN4" s="172"/>
      <c r="AO4" s="172"/>
      <c r="AP4" s="172"/>
      <c r="AQ4" s="172"/>
      <c r="AR4" s="173"/>
      <c r="AS4" s="171">
        <f>AS5</f>
        <v>43849</v>
      </c>
      <c r="AT4" s="172"/>
      <c r="AU4" s="172"/>
      <c r="AV4" s="172"/>
      <c r="AW4" s="172"/>
      <c r="AX4" s="172"/>
      <c r="AY4" s="173"/>
      <c r="AZ4" s="171">
        <f>AZ5</f>
        <v>43856</v>
      </c>
      <c r="BA4" s="172"/>
      <c r="BB4" s="172"/>
      <c r="BC4" s="172"/>
      <c r="BD4" s="172"/>
      <c r="BE4" s="172"/>
      <c r="BF4" s="173"/>
      <c r="BG4" s="171">
        <f>BG5</f>
        <v>43863</v>
      </c>
      <c r="BH4" s="172"/>
      <c r="BI4" s="172"/>
      <c r="BJ4" s="172"/>
      <c r="BK4" s="172"/>
      <c r="BL4" s="172"/>
      <c r="BM4" s="173"/>
    </row>
    <row r="5" spans="1:65" ht="15" customHeight="1" x14ac:dyDescent="0.3">
      <c r="A5" s="59" t="s">
        <v>325</v>
      </c>
      <c r="B5" s="177"/>
      <c r="C5" s="177"/>
      <c r="D5" s="177"/>
      <c r="E5" s="177"/>
      <c r="F5" s="177"/>
      <c r="G5" s="177"/>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449" priority="4">
      <formula>AND(TODAY()&gt;=J$5,TODAY()&lt;K$5)</formula>
    </cfRule>
  </conditionalFormatting>
  <conditionalFormatting sqref="J7:BM187">
    <cfRule type="expression" dxfId="448" priority="2">
      <formula>AND(task_start&lt;=J$5,ROUNDDOWN((task_end-task_start+1)*task_progress,0)+task_start-1&gt;=J$5)</formula>
    </cfRule>
    <cfRule type="expression" dxfId="447"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175" t="s">
        <v>328</v>
      </c>
      <c r="D3" s="176"/>
      <c r="E3" s="174">
        <v>43922</v>
      </c>
      <c r="F3" s="174"/>
    </row>
    <row r="4" spans="1:65" ht="30" customHeight="1" x14ac:dyDescent="0.3">
      <c r="A4" s="59" t="s">
        <v>327</v>
      </c>
      <c r="C4" s="175" t="s">
        <v>326</v>
      </c>
      <c r="D4" s="176"/>
      <c r="E4" s="113">
        <v>1</v>
      </c>
      <c r="J4" s="171">
        <f>J5</f>
        <v>43919</v>
      </c>
      <c r="K4" s="172"/>
      <c r="L4" s="172"/>
      <c r="M4" s="172"/>
      <c r="N4" s="172"/>
      <c r="O4" s="172"/>
      <c r="P4" s="173"/>
      <c r="Q4" s="171">
        <f>Q5</f>
        <v>43926</v>
      </c>
      <c r="R4" s="172"/>
      <c r="S4" s="172"/>
      <c r="T4" s="172"/>
      <c r="U4" s="172"/>
      <c r="V4" s="172"/>
      <c r="W4" s="173"/>
      <c r="X4" s="171">
        <f>X5</f>
        <v>43933</v>
      </c>
      <c r="Y4" s="172"/>
      <c r="Z4" s="172"/>
      <c r="AA4" s="172"/>
      <c r="AB4" s="172"/>
      <c r="AC4" s="172"/>
      <c r="AD4" s="173"/>
      <c r="AE4" s="171">
        <f>AE5</f>
        <v>43940</v>
      </c>
      <c r="AF4" s="172"/>
      <c r="AG4" s="172"/>
      <c r="AH4" s="172"/>
      <c r="AI4" s="172"/>
      <c r="AJ4" s="172"/>
      <c r="AK4" s="173"/>
      <c r="AL4" s="171">
        <f>AL5</f>
        <v>43947</v>
      </c>
      <c r="AM4" s="172"/>
      <c r="AN4" s="172"/>
      <c r="AO4" s="172"/>
      <c r="AP4" s="172"/>
      <c r="AQ4" s="172"/>
      <c r="AR4" s="173"/>
      <c r="AS4" s="171">
        <f>AS5</f>
        <v>43954</v>
      </c>
      <c r="AT4" s="172"/>
      <c r="AU4" s="172"/>
      <c r="AV4" s="172"/>
      <c r="AW4" s="172"/>
      <c r="AX4" s="172"/>
      <c r="AY4" s="173"/>
      <c r="AZ4" s="171">
        <f>AZ5</f>
        <v>43961</v>
      </c>
      <c r="BA4" s="172"/>
      <c r="BB4" s="172"/>
      <c r="BC4" s="172"/>
      <c r="BD4" s="172"/>
      <c r="BE4" s="172"/>
      <c r="BF4" s="173"/>
      <c r="BG4" s="171">
        <f>BG5</f>
        <v>43968</v>
      </c>
      <c r="BH4" s="172"/>
      <c r="BI4" s="172"/>
      <c r="BJ4" s="172"/>
      <c r="BK4" s="172"/>
      <c r="BL4" s="172"/>
      <c r="BM4" s="173"/>
    </row>
    <row r="5" spans="1:65" ht="15" customHeight="1" x14ac:dyDescent="0.3">
      <c r="A5" s="59" t="s">
        <v>325</v>
      </c>
      <c r="B5" s="177"/>
      <c r="C5" s="177"/>
      <c r="D5" s="177"/>
      <c r="E5" s="177"/>
      <c r="F5" s="177"/>
      <c r="G5" s="177"/>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440" priority="4">
      <formula>AND(TODAY()&gt;=J$5,TODAY()&lt;K$5)</formula>
    </cfRule>
  </conditionalFormatting>
  <conditionalFormatting sqref="J7:BM187">
    <cfRule type="expression" dxfId="439" priority="2">
      <formula>AND(task_start&lt;=J$5,ROUNDDOWN((task_end-task_start+1)*task_progress,0)+task_start-1&gt;=J$5)</formula>
    </cfRule>
    <cfRule type="expression" dxfId="438"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4" activePane="bottomLeft" state="frozen"/>
      <selection pane="bottomLeft" activeCell="F20" sqref="F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8" t="s">
        <v>0</v>
      </c>
      <c r="B1" s="178"/>
      <c r="C1" s="178"/>
      <c r="D1" s="178"/>
      <c r="E1" s="178"/>
      <c r="F1" s="178"/>
      <c r="G1" s="178"/>
      <c r="H1" s="178"/>
      <c r="I1" s="178"/>
      <c r="J1" s="178"/>
      <c r="K1" s="178"/>
      <c r="L1" s="178"/>
      <c r="M1" s="178"/>
      <c r="N1" s="178"/>
      <c r="O1" s="178"/>
      <c r="P1" s="178"/>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9" t="s">
        <v>1</v>
      </c>
      <c r="B2" s="179"/>
      <c r="C2" s="5">
        <f ca="1">TODAY()</f>
        <v>44102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-426</v>
      </c>
      <c r="L4" s="13">
        <f t="shared" ref="L4" ca="1" si="2">IF(J4="OVERDUE",1,0)</f>
        <v>0</v>
      </c>
      <c r="M4" s="13">
        <f t="shared" ref="M4" ca="1" si="3">IF(J4="IN TIME",1,0)</f>
        <v>0</v>
      </c>
      <c r="N4" s="13">
        <f t="shared" ref="N4" ca="1" si="4">IF(J4="DONE",1,0)</f>
        <v>1</v>
      </c>
      <c r="O4" s="13">
        <f t="shared" ref="O4" ca="1" si="5">IF(G4&gt;0,G4-$C$2,"")</f>
        <v>-434</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-449</v>
      </c>
      <c r="L5" s="13">
        <f t="shared" ref="L5" ca="1" si="8">IF(J5="OVERDUE",1,0)</f>
        <v>0</v>
      </c>
      <c r="M5" s="13">
        <f t="shared" ref="M5" ca="1" si="9">IF(J5="IN TIME",1,0)</f>
        <v>0</v>
      </c>
      <c r="N5" s="13">
        <f t="shared" ref="N5" ca="1" si="10">IF(J5="DONE",1,0)</f>
        <v>1</v>
      </c>
      <c r="O5" s="13">
        <f t="shared" ref="O5" ca="1" si="11">IF(G5&gt;0,G5-$C$2,"")</f>
        <v>-456</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-455</v>
      </c>
      <c r="L6" s="13">
        <f t="shared" ref="L6" ca="1" si="14">IF(J6="OVERDUE",1,0)</f>
        <v>0</v>
      </c>
      <c r="M6" s="13">
        <f t="shared" ref="M6" ca="1" si="15">IF(J6="IN TIME",1,0)</f>
        <v>0</v>
      </c>
      <c r="N6" s="13">
        <f t="shared" ref="N6" ca="1" si="16">IF(J6="DONE",1,0)</f>
        <v>1</v>
      </c>
      <c r="O6" s="13">
        <f t="shared" ref="O6" ca="1" si="17">IF(G6&gt;0,G6-$C$2,"")</f>
        <v>-462</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-441</v>
      </c>
      <c r="L7" s="13">
        <f t="shared" ref="L7" ca="1" si="20">IF(J7="OVERDUE",1,0)</f>
        <v>0</v>
      </c>
      <c r="M7" s="13">
        <f t="shared" ref="M7" ca="1" si="21">IF(J7="IN TIME",1,0)</f>
        <v>0</v>
      </c>
      <c r="N7" s="13">
        <f t="shared" ref="N7" ca="1" si="22">IF(J7="DONE",1,0)</f>
        <v>1</v>
      </c>
      <c r="O7" s="13">
        <f t="shared" ref="O7" ca="1" si="23">IF(G7&gt;0,G7-$C$2,"")</f>
        <v>-454</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-424</v>
      </c>
      <c r="L8" s="13">
        <f t="shared" ref="L8" ca="1" si="26">IF(J8="OVERDUE",1,0)</f>
        <v>0</v>
      </c>
      <c r="M8" s="13">
        <f t="shared" ref="M8" ca="1" si="27">IF(J8="IN TIME",1,0)</f>
        <v>0</v>
      </c>
      <c r="N8" s="13">
        <f t="shared" ref="N8" ca="1" si="28">IF(J8="DONE",1,0)</f>
        <v>1</v>
      </c>
      <c r="O8" s="13">
        <f t="shared" ref="O8" ca="1" si="29">IF(G8&gt;0,G8-$C$2,"")</f>
        <v>-455</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-405</v>
      </c>
      <c r="L9" s="13">
        <f t="shared" ref="L9" ca="1" si="32">IF(J9="OVERDUE",1,0)</f>
        <v>0</v>
      </c>
      <c r="M9" s="13">
        <f t="shared" ref="M9" ca="1" si="33">IF(J9="IN TIME",1,0)</f>
        <v>0</v>
      </c>
      <c r="N9" s="13">
        <f t="shared" ref="N9" ca="1" si="34">IF(J9="DONE",1,0)</f>
        <v>1</v>
      </c>
      <c r="O9" s="13">
        <f t="shared" ref="O9" ca="1" si="35">IF(G9&gt;0,G9-$C$2,"")</f>
        <v>-424</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-426</v>
      </c>
      <c r="L10" s="13">
        <f t="shared" ref="L10" ca="1" si="38">IF(J10="OVERDUE",1,0)</f>
        <v>0</v>
      </c>
      <c r="M10" s="13">
        <f t="shared" ref="M10" ca="1" si="39">IF(J10="IN TIME",1,0)</f>
        <v>0</v>
      </c>
      <c r="N10" s="13">
        <f t="shared" ref="N10" ca="1" si="40">IF(J10="DONE",1,0)</f>
        <v>1</v>
      </c>
      <c r="O10" s="13">
        <f t="shared" ref="O10" ca="1" si="41">IF(G10&gt;0,G10-$C$2,"")</f>
        <v>-441</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-411</v>
      </c>
      <c r="L11" s="13">
        <f t="shared" ref="L11" ca="1" si="44">IF(J11="OVERDUE",1,0)</f>
        <v>0</v>
      </c>
      <c r="M11" s="13">
        <f t="shared" ref="M11" ca="1" si="45">IF(J11="IN TIME",1,0)</f>
        <v>0</v>
      </c>
      <c r="N11" s="13">
        <f t="shared" ref="N11" ca="1" si="46">IF(J11="DONE",1,0)</f>
        <v>1</v>
      </c>
      <c r="O11" s="13">
        <f t="shared" ref="O11" ca="1" si="47">IF(G11&gt;0,G11-$C$2,"")</f>
        <v>-418</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-399</v>
      </c>
      <c r="L12" s="13">
        <f t="shared" ref="L12" ca="1" si="50">IF(J12="OVERDUE",1,0)</f>
        <v>0</v>
      </c>
      <c r="M12" s="13">
        <f t="shared" ref="M12" ca="1" si="51">IF(J12="IN TIME",1,0)</f>
        <v>0</v>
      </c>
      <c r="N12" s="13">
        <f t="shared" ref="N12" ca="1" si="52">IF(J12="DONE",1,0)</f>
        <v>1</v>
      </c>
      <c r="O12" s="13">
        <f t="shared" ref="O12" ca="1" si="53">IF(G12&gt;0,G12-$C$2,"")</f>
        <v>-406</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-416</v>
      </c>
      <c r="L13" s="13">
        <f t="shared" ref="L13" ca="1" si="56">IF(J13="OVERDUE",1,0)</f>
        <v>0</v>
      </c>
      <c r="M13" s="13">
        <f t="shared" ref="M13" ca="1" si="57">IF(J13="IN TIME",1,0)</f>
        <v>0</v>
      </c>
      <c r="N13" s="13">
        <f t="shared" ref="N13" ca="1" si="58">IF(J13="DONE",1,0)</f>
        <v>1</v>
      </c>
      <c r="O13" s="13">
        <f t="shared" ref="O13" ca="1" si="59">IF(G13&gt;0,G13-$C$2,"")</f>
        <v>-419</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-379</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-310</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-303</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-191</v>
      </c>
      <c r="P17" s="20" t="s">
        <v>515</v>
      </c>
      <c r="Q17" s="27"/>
      <c r="R17" s="27"/>
      <c r="S17" s="27"/>
      <c r="T17" s="27"/>
      <c r="U17" s="27"/>
      <c r="V17" s="27"/>
      <c r="W17" s="27"/>
      <c r="X17" s="27"/>
      <c r="Y17" s="27"/>
      <c r="Z17" s="27"/>
      <c r="AA17" s="27"/>
      <c r="AB17" s="27"/>
      <c r="AC17" s="27"/>
      <c r="AD17" s="27"/>
    </row>
    <row r="18" spans="1:30" ht="24.6" customHeight="1" x14ac:dyDescent="0.15">
      <c r="A18" s="15">
        <v>248</v>
      </c>
      <c r="B18" s="13"/>
      <c r="C18" s="12" t="s">
        <v>526</v>
      </c>
      <c r="D18" s="13" t="s">
        <v>24</v>
      </c>
      <c r="E18" s="13" t="s">
        <v>527</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-38</v>
      </c>
      <c r="P18" s="20" t="s">
        <v>530</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t="str">
        <f t="shared" ref="J20" ca="1" si="96">IF(AND(I20&lt;=$C$2,I20&lt;&gt;0),"DONE",IF(K20&lt;0,"OVERDUE",IF(AND(K20="",O20&lt;0),"OVERDUE","IN TIME")))</f>
        <v>IN TIME</v>
      </c>
      <c r="K20" s="13" t="str">
        <f t="shared" ref="K20" si="97">IF(H20&gt;0,H20-$C$2,"")</f>
        <v/>
      </c>
      <c r="L20" s="13">
        <f t="shared" ref="L20" ca="1" si="98">IF(J20="OVERDUE",1,0)</f>
        <v>0</v>
      </c>
      <c r="M20" s="13">
        <f t="shared" ref="M20" ca="1" si="99">IF(J20="IN TIME",1,0)</f>
        <v>1</v>
      </c>
      <c r="N20" s="13">
        <f t="shared" ref="N20" ca="1" si="100">IF(J20="DONE",1,0)</f>
        <v>0</v>
      </c>
      <c r="O20" s="13" t="str">
        <f t="shared" ref="O20" si="101">IF(G20&gt;0,G20-$C$2,"")</f>
        <v/>
      </c>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437" priority="52" operator="equal">
      <formula>"OVERDUE"</formula>
    </cfRule>
    <cfRule type="cellIs" dxfId="436" priority="53" operator="equal">
      <formula>"DONE"</formula>
    </cfRule>
    <cfRule type="cellIs" dxfId="435" priority="54" operator="equal">
      <formula>"DONE"</formula>
    </cfRule>
  </conditionalFormatting>
  <conditionalFormatting sqref="J5">
    <cfRule type="cellIs" dxfId="434" priority="49" operator="equal">
      <formula>"OVERDUE"</formula>
    </cfRule>
    <cfRule type="cellIs" dxfId="433" priority="50" operator="equal">
      <formula>"DONE"</formula>
    </cfRule>
    <cfRule type="cellIs" dxfId="432" priority="51" operator="equal">
      <formula>"DONE"</formula>
    </cfRule>
  </conditionalFormatting>
  <conditionalFormatting sqref="J6">
    <cfRule type="cellIs" dxfId="431" priority="46" operator="equal">
      <formula>"OVERDUE"</formula>
    </cfRule>
    <cfRule type="cellIs" dxfId="430" priority="47" operator="equal">
      <formula>"DONE"</formula>
    </cfRule>
    <cfRule type="cellIs" dxfId="429" priority="48" operator="equal">
      <formula>"DONE"</formula>
    </cfRule>
  </conditionalFormatting>
  <conditionalFormatting sqref="J7">
    <cfRule type="cellIs" dxfId="428" priority="43" operator="equal">
      <formula>"OVERDUE"</formula>
    </cfRule>
    <cfRule type="cellIs" dxfId="427" priority="44" operator="equal">
      <formula>"DONE"</formula>
    </cfRule>
    <cfRule type="cellIs" dxfId="426" priority="45" operator="equal">
      <formula>"DONE"</formula>
    </cfRule>
  </conditionalFormatting>
  <conditionalFormatting sqref="J8">
    <cfRule type="cellIs" dxfId="425" priority="40" operator="equal">
      <formula>"OVERDUE"</formula>
    </cfRule>
    <cfRule type="cellIs" dxfId="424" priority="41" operator="equal">
      <formula>"DONE"</formula>
    </cfRule>
    <cfRule type="cellIs" dxfId="423" priority="42" operator="equal">
      <formula>"DONE"</formula>
    </cfRule>
  </conditionalFormatting>
  <conditionalFormatting sqref="J9">
    <cfRule type="cellIs" dxfId="422" priority="37" operator="equal">
      <formula>"OVERDUE"</formula>
    </cfRule>
    <cfRule type="cellIs" dxfId="421" priority="38" operator="equal">
      <formula>"DONE"</formula>
    </cfRule>
    <cfRule type="cellIs" dxfId="420" priority="39" operator="equal">
      <formula>"DONE"</formula>
    </cfRule>
  </conditionalFormatting>
  <conditionalFormatting sqref="J10">
    <cfRule type="cellIs" dxfId="419" priority="34" operator="equal">
      <formula>"OVERDUE"</formula>
    </cfRule>
    <cfRule type="cellIs" dxfId="418" priority="35" operator="equal">
      <formula>"DONE"</formula>
    </cfRule>
    <cfRule type="cellIs" dxfId="417" priority="36" operator="equal">
      <formula>"DONE"</formula>
    </cfRule>
  </conditionalFormatting>
  <conditionalFormatting sqref="J11">
    <cfRule type="cellIs" dxfId="416" priority="31" operator="equal">
      <formula>"OVERDUE"</formula>
    </cfRule>
    <cfRule type="cellIs" dxfId="415" priority="32" operator="equal">
      <formula>"DONE"</formula>
    </cfRule>
    <cfRule type="cellIs" dxfId="414" priority="33" operator="equal">
      <formula>"DONE"</formula>
    </cfRule>
  </conditionalFormatting>
  <conditionalFormatting sqref="J12">
    <cfRule type="cellIs" dxfId="413" priority="28" operator="equal">
      <formula>"OVERDUE"</formula>
    </cfRule>
    <cfRule type="cellIs" dxfId="412" priority="29" operator="equal">
      <formula>"DONE"</formula>
    </cfRule>
    <cfRule type="cellIs" dxfId="411" priority="30" operator="equal">
      <formula>"DONE"</formula>
    </cfRule>
  </conditionalFormatting>
  <conditionalFormatting sqref="J13">
    <cfRule type="cellIs" dxfId="410" priority="25" operator="equal">
      <formula>"OVERDUE"</formula>
    </cfRule>
    <cfRule type="cellIs" dxfId="409" priority="26" operator="equal">
      <formula>"DONE"</formula>
    </cfRule>
    <cfRule type="cellIs" dxfId="408" priority="27" operator="equal">
      <formula>"DONE"</formula>
    </cfRule>
  </conditionalFormatting>
  <conditionalFormatting sqref="J14">
    <cfRule type="cellIs" dxfId="407" priority="22" operator="equal">
      <formula>"OVERDUE"</formula>
    </cfRule>
    <cfRule type="cellIs" dxfId="406" priority="23" operator="equal">
      <formula>"DONE"</formula>
    </cfRule>
    <cfRule type="cellIs" dxfId="405" priority="24" operator="equal">
      <formula>"DONE"</formula>
    </cfRule>
  </conditionalFormatting>
  <conditionalFormatting sqref="J15">
    <cfRule type="cellIs" dxfId="404" priority="19" operator="equal">
      <formula>"OVERDUE"</formula>
    </cfRule>
    <cfRule type="cellIs" dxfId="403" priority="20" operator="equal">
      <formula>"DONE"</formula>
    </cfRule>
    <cfRule type="cellIs" dxfId="402" priority="21" operator="equal">
      <formula>"DONE"</formula>
    </cfRule>
  </conditionalFormatting>
  <conditionalFormatting sqref="J16">
    <cfRule type="cellIs" dxfId="401" priority="16" operator="equal">
      <formula>"OVERDUE"</formula>
    </cfRule>
    <cfRule type="cellIs" dxfId="400" priority="17" operator="equal">
      <formula>"DONE"</formula>
    </cfRule>
    <cfRule type="cellIs" dxfId="399" priority="18" operator="equal">
      <formula>"DONE"</formula>
    </cfRule>
  </conditionalFormatting>
  <conditionalFormatting sqref="J17">
    <cfRule type="cellIs" dxfId="398" priority="13" operator="equal">
      <formula>"OVERDUE"</formula>
    </cfRule>
    <cfRule type="cellIs" dxfId="397" priority="14" operator="equal">
      <formula>"DONE"</formula>
    </cfRule>
    <cfRule type="cellIs" dxfId="396" priority="15" operator="equal">
      <formula>"DONE"</formula>
    </cfRule>
  </conditionalFormatting>
  <conditionalFormatting sqref="J18">
    <cfRule type="cellIs" dxfId="395" priority="10" operator="equal">
      <formula>"OVERDUE"</formula>
    </cfRule>
    <cfRule type="cellIs" dxfId="394" priority="11" operator="equal">
      <formula>"DONE"</formula>
    </cfRule>
    <cfRule type="cellIs" dxfId="393" priority="12" operator="equal">
      <formula>"DONE"</formula>
    </cfRule>
  </conditionalFormatting>
  <conditionalFormatting sqref="J2:J3 J22:J1048576">
    <cfRule type="cellIs" dxfId="392" priority="910" operator="equal">
      <formula>"OVERDUE"</formula>
    </cfRule>
    <cfRule type="cellIs" dxfId="391" priority="911" operator="equal">
      <formula>"DONE"</formula>
    </cfRule>
    <cfRule type="cellIs" dxfId="390" priority="912" operator="equal">
      <formula>"DONE"</formula>
    </cfRule>
  </conditionalFormatting>
  <conditionalFormatting sqref="J19">
    <cfRule type="cellIs" dxfId="389" priority="7" operator="equal">
      <formula>"OVERDUE"</formula>
    </cfRule>
    <cfRule type="cellIs" dxfId="388" priority="8" operator="equal">
      <formula>"DONE"</formula>
    </cfRule>
    <cfRule type="cellIs" dxfId="387" priority="9" operator="equal">
      <formula>"DONE"</formula>
    </cfRule>
  </conditionalFormatting>
  <conditionalFormatting sqref="J20">
    <cfRule type="cellIs" dxfId="386" priority="4" operator="equal">
      <formula>"OVERDUE"</formula>
    </cfRule>
    <cfRule type="cellIs" dxfId="385" priority="5" operator="equal">
      <formula>"DONE"</formula>
    </cfRule>
    <cfRule type="cellIs" dxfId="384" priority="6" operator="equal">
      <formula>"DONE"</formula>
    </cfRule>
  </conditionalFormatting>
  <conditionalFormatting sqref="J21">
    <cfRule type="cellIs" dxfId="383" priority="1" operator="equal">
      <formula>"OVERDUE"</formula>
    </cfRule>
    <cfRule type="cellIs" dxfId="382" priority="2" operator="equal">
      <formula>"DONE"</formula>
    </cfRule>
    <cfRule type="cellIs" dxfId="381"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8" t="s">
        <v>0</v>
      </c>
      <c r="B1" s="178"/>
      <c r="C1" s="178"/>
      <c r="D1" s="178"/>
      <c r="E1" s="178"/>
      <c r="F1" s="178"/>
      <c r="G1" s="178"/>
      <c r="H1" s="178"/>
      <c r="I1" s="178"/>
      <c r="J1" s="178"/>
      <c r="K1" s="178"/>
      <c r="L1" s="178"/>
      <c r="M1" s="178"/>
      <c r="N1" s="178"/>
      <c r="O1" s="178"/>
      <c r="P1" s="178"/>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9" t="s">
        <v>1</v>
      </c>
      <c r="B2" s="179"/>
      <c r="C2" s="5">
        <f ca="1">TODAY()</f>
        <v>44102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-409</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-395</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-388</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-381</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-376</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-367</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-364</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380" priority="31" operator="equal">
      <formula>"OVERDUE"</formula>
    </cfRule>
    <cfRule type="cellIs" dxfId="379" priority="32" operator="equal">
      <formula>"DONE"</formula>
    </cfRule>
    <cfRule type="cellIs" dxfId="378" priority="33" operator="equal">
      <formula>"DONE"</formula>
    </cfRule>
  </conditionalFormatting>
  <conditionalFormatting sqref="J5">
    <cfRule type="cellIs" dxfId="377" priority="28" operator="equal">
      <formula>"OVERDUE"</formula>
    </cfRule>
    <cfRule type="cellIs" dxfId="376" priority="29" operator="equal">
      <formula>"DONE"</formula>
    </cfRule>
    <cfRule type="cellIs" dxfId="375" priority="30" operator="equal">
      <formula>"DONE"</formula>
    </cfRule>
  </conditionalFormatting>
  <conditionalFormatting sqref="J6">
    <cfRule type="cellIs" dxfId="374" priority="25" operator="equal">
      <formula>"OVERDUE"</formula>
    </cfRule>
    <cfRule type="cellIs" dxfId="373" priority="26" operator="equal">
      <formula>"DONE"</formula>
    </cfRule>
    <cfRule type="cellIs" dxfId="372" priority="27" operator="equal">
      <formula>"DONE"</formula>
    </cfRule>
  </conditionalFormatting>
  <conditionalFormatting sqref="J7">
    <cfRule type="cellIs" dxfId="371" priority="22" operator="equal">
      <formula>"OVERDUE"</formula>
    </cfRule>
    <cfRule type="cellIs" dxfId="370" priority="23" operator="equal">
      <formula>"DONE"</formula>
    </cfRule>
    <cfRule type="cellIs" dxfId="369" priority="24" operator="equal">
      <formula>"DONE"</formula>
    </cfRule>
  </conditionalFormatting>
  <conditionalFormatting sqref="J8">
    <cfRule type="cellIs" dxfId="368" priority="19" operator="equal">
      <formula>"OVERDUE"</formula>
    </cfRule>
    <cfRule type="cellIs" dxfId="367" priority="20" operator="equal">
      <formula>"DONE"</formula>
    </cfRule>
    <cfRule type="cellIs" dxfId="366" priority="21" operator="equal">
      <formula>"DONE"</formula>
    </cfRule>
  </conditionalFormatting>
  <conditionalFormatting sqref="J9">
    <cfRule type="cellIs" dxfId="365" priority="16" operator="equal">
      <formula>"OVERDUE"</formula>
    </cfRule>
    <cfRule type="cellIs" dxfId="364" priority="17" operator="equal">
      <formula>"DONE"</formula>
    </cfRule>
    <cfRule type="cellIs" dxfId="363" priority="18" operator="equal">
      <formula>"DONE"</formula>
    </cfRule>
  </conditionalFormatting>
  <conditionalFormatting sqref="J10">
    <cfRule type="cellIs" dxfId="362" priority="13" operator="equal">
      <formula>"OVERDUE"</formula>
    </cfRule>
    <cfRule type="cellIs" dxfId="361" priority="14" operator="equal">
      <formula>"DONE"</formula>
    </cfRule>
    <cfRule type="cellIs" dxfId="360" priority="15" operator="equal">
      <formula>"DONE"</formula>
    </cfRule>
  </conditionalFormatting>
  <conditionalFormatting sqref="J11">
    <cfRule type="cellIs" dxfId="359" priority="10" operator="equal">
      <formula>"OVERDUE"</formula>
    </cfRule>
    <cfRule type="cellIs" dxfId="358" priority="11" operator="equal">
      <formula>"DONE"</formula>
    </cfRule>
    <cfRule type="cellIs" dxfId="357" priority="12" operator="equal">
      <formula>"DONE"</formula>
    </cfRule>
  </conditionalFormatting>
  <conditionalFormatting sqref="J12">
    <cfRule type="cellIs" dxfId="356" priority="7" operator="equal">
      <formula>"OVERDUE"</formula>
    </cfRule>
    <cfRule type="cellIs" dxfId="355" priority="8" operator="equal">
      <formula>"DONE"</formula>
    </cfRule>
    <cfRule type="cellIs" dxfId="354" priority="9" operator="equal">
      <formula>"DONE"</formula>
    </cfRule>
  </conditionalFormatting>
  <conditionalFormatting sqref="J13">
    <cfRule type="cellIs" dxfId="353" priority="4" operator="equal">
      <formula>"OVERDUE"</formula>
    </cfRule>
    <cfRule type="cellIs" dxfId="352" priority="5" operator="equal">
      <formula>"DONE"</formula>
    </cfRule>
    <cfRule type="cellIs" dxfId="351" priority="6" operator="equal">
      <formula>"DONE"</formula>
    </cfRule>
  </conditionalFormatting>
  <conditionalFormatting sqref="J14">
    <cfRule type="cellIs" dxfId="350" priority="1" operator="equal">
      <formula>"OVERDUE"</formula>
    </cfRule>
    <cfRule type="cellIs" dxfId="349" priority="2" operator="equal">
      <formula>"DONE"</formula>
    </cfRule>
    <cfRule type="cellIs" dxfId="348" priority="3" operator="equal">
      <formula>"DONE"</formula>
    </cfRule>
  </conditionalFormatting>
  <conditionalFormatting sqref="J2:J3 J15:J1048576">
    <cfRule type="cellIs" dxfId="347" priority="34" operator="equal">
      <formula>"OVERDUE"</formula>
    </cfRule>
    <cfRule type="cellIs" dxfId="346" priority="35" operator="equal">
      <formula>"DONE"</formula>
    </cfRule>
    <cfRule type="cellIs" dxfId="345"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I15" sqref="I1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8" t="s">
        <v>0</v>
      </c>
      <c r="B1" s="178"/>
      <c r="C1" s="178"/>
      <c r="D1" s="178"/>
      <c r="E1" s="178"/>
      <c r="F1" s="178"/>
      <c r="G1" s="178"/>
      <c r="H1" s="178"/>
      <c r="I1" s="178"/>
      <c r="J1" s="178"/>
      <c r="K1" s="178"/>
      <c r="L1" s="178"/>
      <c r="M1" s="178"/>
      <c r="N1" s="178"/>
      <c r="O1" s="178"/>
      <c r="P1" s="178"/>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9" t="s">
        <v>1</v>
      </c>
      <c r="B2" s="179"/>
      <c r="C2" s="5">
        <f ca="1">TODAY()</f>
        <v>44102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-399</v>
      </c>
      <c r="L4" s="13">
        <f t="shared" ref="L4:L13" ca="1" si="2">IF(J4="OVERDUE",1,0)</f>
        <v>0</v>
      </c>
      <c r="M4" s="13">
        <f t="shared" ref="M4:M13" ca="1" si="3">IF(J4="IN TIME",1,0)</f>
        <v>0</v>
      </c>
      <c r="N4" s="13">
        <f t="shared" ref="N4:N13" ca="1" si="4">IF(J4="DONE",1,0)</f>
        <v>1</v>
      </c>
      <c r="O4" s="13">
        <f t="shared" ref="O4:O13" ca="1" si="5">IF(G4&gt;0,G4-$C$2,"")</f>
        <v>-426</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DONE</v>
      </c>
      <c r="K5" s="32">
        <f t="shared" ca="1" si="1"/>
        <v>-375</v>
      </c>
      <c r="L5" s="32">
        <f t="shared" ca="1" si="2"/>
        <v>0</v>
      </c>
      <c r="M5" s="32">
        <f t="shared" ca="1" si="3"/>
        <v>0</v>
      </c>
      <c r="N5" s="32">
        <f t="shared" ca="1" si="4"/>
        <v>1</v>
      </c>
      <c r="O5" s="32">
        <f t="shared" ca="1" si="5"/>
        <v>-449</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-395</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-326</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-326</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-326</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-326</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524</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525</v>
      </c>
      <c r="Q12" s="161"/>
      <c r="R12" s="161"/>
      <c r="S12" s="161"/>
      <c r="T12" s="161"/>
      <c r="U12" s="161"/>
      <c r="V12" s="161"/>
      <c r="W12" s="161"/>
      <c r="X12" s="161"/>
      <c r="Y12" s="161"/>
      <c r="Z12" s="161"/>
      <c r="AA12" s="161"/>
      <c r="AB12" s="161"/>
      <c r="AC12" s="161"/>
      <c r="AD12" s="161"/>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344" priority="34" operator="equal">
      <formula>"OVERDUE"</formula>
    </cfRule>
    <cfRule type="cellIs" dxfId="343" priority="35" operator="equal">
      <formula>"DONE"</formula>
    </cfRule>
    <cfRule type="cellIs" dxfId="342" priority="36" operator="equal">
      <formula>"DONE"</formula>
    </cfRule>
  </conditionalFormatting>
  <conditionalFormatting sqref="J5">
    <cfRule type="cellIs" dxfId="341" priority="31" operator="equal">
      <formula>"OVERDUE"</formula>
    </cfRule>
    <cfRule type="cellIs" dxfId="340" priority="32" operator="equal">
      <formula>"DONE"</formula>
    </cfRule>
    <cfRule type="cellIs" dxfId="339" priority="33" operator="equal">
      <formula>"DONE"</formula>
    </cfRule>
  </conditionalFormatting>
  <conditionalFormatting sqref="J6">
    <cfRule type="cellIs" dxfId="338" priority="28" operator="equal">
      <formula>"OVERDUE"</formula>
    </cfRule>
    <cfRule type="cellIs" dxfId="337" priority="29" operator="equal">
      <formula>"DONE"</formula>
    </cfRule>
    <cfRule type="cellIs" dxfId="336" priority="30" operator="equal">
      <formula>"DONE"</formula>
    </cfRule>
  </conditionalFormatting>
  <conditionalFormatting sqref="J7">
    <cfRule type="cellIs" dxfId="335" priority="25" operator="equal">
      <formula>"OVERDUE"</formula>
    </cfRule>
    <cfRule type="cellIs" dxfId="334" priority="26" operator="equal">
      <formula>"DONE"</formula>
    </cfRule>
    <cfRule type="cellIs" dxfId="333" priority="27" operator="equal">
      <formula>"DONE"</formula>
    </cfRule>
  </conditionalFormatting>
  <conditionalFormatting sqref="J8">
    <cfRule type="cellIs" dxfId="332" priority="22" operator="equal">
      <formula>"OVERDUE"</formula>
    </cfRule>
    <cfRule type="cellIs" dxfId="331" priority="23" operator="equal">
      <formula>"DONE"</formula>
    </cfRule>
    <cfRule type="cellIs" dxfId="330" priority="24" operator="equal">
      <formula>"DONE"</formula>
    </cfRule>
  </conditionalFormatting>
  <conditionalFormatting sqref="J9">
    <cfRule type="cellIs" dxfId="329" priority="19" operator="equal">
      <formula>"OVERDUE"</formula>
    </cfRule>
    <cfRule type="cellIs" dxfId="328" priority="20" operator="equal">
      <formula>"DONE"</formula>
    </cfRule>
    <cfRule type="cellIs" dxfId="327" priority="21" operator="equal">
      <formula>"DONE"</formula>
    </cfRule>
  </conditionalFormatting>
  <conditionalFormatting sqref="J10">
    <cfRule type="cellIs" dxfId="326" priority="16" operator="equal">
      <formula>"OVERDUE"</formula>
    </cfRule>
    <cfRule type="cellIs" dxfId="325" priority="17" operator="equal">
      <formula>"DONE"</formula>
    </cfRule>
    <cfRule type="cellIs" dxfId="324" priority="18" operator="equal">
      <formula>"DONE"</formula>
    </cfRule>
  </conditionalFormatting>
  <conditionalFormatting sqref="J11">
    <cfRule type="cellIs" dxfId="323" priority="13" operator="equal">
      <formula>"OVERDUE"</formula>
    </cfRule>
    <cfRule type="cellIs" dxfId="322" priority="14" operator="equal">
      <formula>"DONE"</formula>
    </cfRule>
    <cfRule type="cellIs" dxfId="321" priority="15" operator="equal">
      <formula>"DONE"</formula>
    </cfRule>
  </conditionalFormatting>
  <conditionalFormatting sqref="J12">
    <cfRule type="cellIs" dxfId="320" priority="10" operator="equal">
      <formula>"OVERDUE"</formula>
    </cfRule>
    <cfRule type="cellIs" dxfId="319" priority="11" operator="equal">
      <formula>"DONE"</formula>
    </cfRule>
    <cfRule type="cellIs" dxfId="318" priority="12" operator="equal">
      <formula>"DONE"</formula>
    </cfRule>
  </conditionalFormatting>
  <conditionalFormatting sqref="J13">
    <cfRule type="cellIs" dxfId="317" priority="7" operator="equal">
      <formula>"OVERDUE"</formula>
    </cfRule>
    <cfRule type="cellIs" dxfId="316" priority="8" operator="equal">
      <formula>"DONE"</formula>
    </cfRule>
    <cfRule type="cellIs" dxfId="315" priority="9" operator="equal">
      <formula>"DONE"</formula>
    </cfRule>
  </conditionalFormatting>
  <conditionalFormatting sqref="J14">
    <cfRule type="cellIs" dxfId="314" priority="4" operator="equal">
      <formula>"OVERDUE"</formula>
    </cfRule>
    <cfRule type="cellIs" dxfId="313" priority="5" operator="equal">
      <formula>"DONE"</formula>
    </cfRule>
    <cfRule type="cellIs" dxfId="312" priority="6" operator="equal">
      <formula>"DONE"</formula>
    </cfRule>
  </conditionalFormatting>
  <conditionalFormatting sqref="J15">
    <cfRule type="cellIs" dxfId="311" priority="1" operator="equal">
      <formula>"OVERDUE"</formula>
    </cfRule>
    <cfRule type="cellIs" dxfId="310" priority="2" operator="equal">
      <formula>"DONE"</formula>
    </cfRule>
    <cfRule type="cellIs" dxfId="309" priority="3" operator="equal">
      <formula>"DONE"</formula>
    </cfRule>
  </conditionalFormatting>
  <conditionalFormatting sqref="J2:J3 J16:J1048576">
    <cfRule type="cellIs" dxfId="308" priority="37" operator="equal">
      <formula>"OVERDUE"</formula>
    </cfRule>
    <cfRule type="cellIs" dxfId="307" priority="38" operator="equal">
      <formula>"DONE"</formula>
    </cfRule>
    <cfRule type="cellIs" dxfId="306"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52"/>
  <sheetViews>
    <sheetView workbookViewId="0">
      <pane ySplit="3" topLeftCell="A46" activePane="bottomLeft" state="frozen"/>
      <selection pane="bottomLeft" activeCell="G51" sqref="G51"/>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8" t="s">
        <v>356</v>
      </c>
      <c r="B1" s="178"/>
      <c r="C1" s="178"/>
      <c r="D1" s="178"/>
      <c r="E1" s="178"/>
      <c r="F1" s="178"/>
      <c r="G1" s="178"/>
      <c r="H1" s="178"/>
      <c r="I1" s="178"/>
      <c r="J1" s="178"/>
      <c r="K1" s="178"/>
      <c r="L1" s="178"/>
      <c r="M1" s="178"/>
      <c r="N1" s="178"/>
      <c r="O1" s="178"/>
      <c r="P1" s="178"/>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9" t="s">
        <v>1</v>
      </c>
      <c r="B2" s="179"/>
      <c r="C2" s="5">
        <f ca="1">TODAY()</f>
        <v>44102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80"/>
      <c r="R3" s="181"/>
      <c r="S3" s="181"/>
      <c r="T3" s="181"/>
      <c r="U3" s="181"/>
      <c r="V3" s="181"/>
      <c r="W3" s="181"/>
      <c r="X3" s="181"/>
      <c r="Y3" s="181"/>
      <c r="Z3" s="181"/>
      <c r="AA3" s="181"/>
      <c r="AB3" s="181"/>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-252</v>
      </c>
      <c r="P4" s="20" t="s">
        <v>84</v>
      </c>
      <c r="Q4" s="180"/>
      <c r="R4" s="181"/>
      <c r="S4" s="181"/>
      <c r="T4" s="181"/>
      <c r="U4" s="181"/>
      <c r="V4" s="181"/>
      <c r="W4" s="181"/>
      <c r="X4" s="181"/>
      <c r="Y4" s="181"/>
      <c r="Z4" s="181"/>
      <c r="AA4" s="181"/>
      <c r="AB4" s="181"/>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-212</v>
      </c>
      <c r="P5" s="20" t="s">
        <v>363</v>
      </c>
      <c r="Q5" s="180"/>
      <c r="R5" s="181"/>
      <c r="S5" s="181"/>
      <c r="T5" s="181"/>
      <c r="U5" s="181"/>
      <c r="V5" s="181"/>
      <c r="W5" s="181"/>
      <c r="X5" s="181"/>
      <c r="Y5" s="181"/>
      <c r="Z5" s="181"/>
      <c r="AA5" s="181"/>
      <c r="AB5" s="181"/>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-262</v>
      </c>
      <c r="P6" s="20" t="s">
        <v>89</v>
      </c>
      <c r="Q6" s="180"/>
      <c r="R6" s="181"/>
      <c r="S6" s="181"/>
      <c r="T6" s="181"/>
      <c r="U6" s="181"/>
      <c r="V6" s="181"/>
      <c r="W6" s="181"/>
      <c r="X6" s="181"/>
      <c r="Y6" s="181"/>
      <c r="Z6" s="181"/>
      <c r="AA6" s="181"/>
      <c r="AB6" s="181"/>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-262</v>
      </c>
      <c r="P7" s="20" t="s">
        <v>92</v>
      </c>
      <c r="Q7" s="180"/>
      <c r="R7" s="181"/>
      <c r="S7" s="181"/>
      <c r="T7" s="181"/>
      <c r="U7" s="181"/>
      <c r="V7" s="181"/>
      <c r="W7" s="181"/>
      <c r="X7" s="181"/>
      <c r="Y7" s="181"/>
      <c r="Z7" s="181"/>
      <c r="AA7" s="181"/>
      <c r="AB7" s="181"/>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-252</v>
      </c>
      <c r="P8" s="20" t="s">
        <v>96</v>
      </c>
      <c r="Q8" s="180"/>
      <c r="R8" s="181"/>
      <c r="S8" s="181"/>
      <c r="T8" s="181"/>
      <c r="U8" s="181"/>
      <c r="V8" s="181"/>
      <c r="W8" s="181"/>
      <c r="X8" s="181"/>
      <c r="Y8" s="181"/>
      <c r="Z8" s="181"/>
      <c r="AA8" s="181"/>
      <c r="AB8" s="181"/>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-212</v>
      </c>
      <c r="P9" s="20" t="s">
        <v>100</v>
      </c>
      <c r="Q9" s="180"/>
      <c r="R9" s="181"/>
      <c r="S9" s="181"/>
      <c r="T9" s="181"/>
      <c r="U9" s="181"/>
      <c r="V9" s="181"/>
      <c r="W9" s="181"/>
      <c r="X9" s="181"/>
      <c r="Y9" s="181"/>
      <c r="Z9" s="181"/>
      <c r="AA9" s="181"/>
      <c r="AB9" s="181"/>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-212</v>
      </c>
      <c r="P10" s="20" t="s">
        <v>102</v>
      </c>
      <c r="Q10" s="180"/>
      <c r="R10" s="181"/>
      <c r="S10" s="181"/>
      <c r="T10" s="181"/>
      <c r="U10" s="181"/>
      <c r="V10" s="181"/>
      <c r="W10" s="181"/>
      <c r="X10" s="181"/>
      <c r="Y10" s="181"/>
      <c r="Z10" s="181"/>
      <c r="AA10" s="181"/>
      <c r="AB10" s="181"/>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-212</v>
      </c>
      <c r="P11" s="20" t="s">
        <v>104</v>
      </c>
      <c r="Q11" s="180"/>
      <c r="R11" s="181"/>
      <c r="S11" s="181"/>
      <c r="T11" s="181"/>
      <c r="U11" s="181"/>
      <c r="V11" s="181"/>
      <c r="W11" s="181"/>
      <c r="X11" s="181"/>
      <c r="Y11" s="181"/>
      <c r="Z11" s="181"/>
      <c r="AA11" s="181"/>
      <c r="AB11" s="181"/>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-212</v>
      </c>
      <c r="P12" s="20" t="s">
        <v>391</v>
      </c>
      <c r="Q12" s="180"/>
      <c r="R12" s="181"/>
      <c r="S12" s="181"/>
      <c r="T12" s="181"/>
      <c r="U12" s="181"/>
      <c r="V12" s="181"/>
      <c r="W12" s="181"/>
      <c r="X12" s="181"/>
      <c r="Y12" s="181"/>
      <c r="Z12" s="181"/>
      <c r="AA12" s="181"/>
      <c r="AB12" s="181"/>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80"/>
      <c r="R13" s="181"/>
      <c r="S13" s="181"/>
      <c r="T13" s="181"/>
      <c r="U13" s="181"/>
      <c r="V13" s="181"/>
      <c r="W13" s="181"/>
      <c r="X13" s="181"/>
      <c r="Y13" s="181"/>
      <c r="Z13" s="181"/>
      <c r="AA13" s="181"/>
      <c r="AB13" s="181"/>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-220</v>
      </c>
      <c r="P14" s="20" t="s">
        <v>109</v>
      </c>
      <c r="Q14" s="180"/>
      <c r="R14" s="181"/>
      <c r="S14" s="181"/>
      <c r="T14" s="181"/>
      <c r="U14" s="181"/>
      <c r="V14" s="181"/>
      <c r="W14" s="181"/>
      <c r="X14" s="181"/>
      <c r="Y14" s="181"/>
      <c r="Z14" s="181"/>
      <c r="AA14" s="181"/>
      <c r="AB14" s="181"/>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-212</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-203</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-171</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-171</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-171</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-171</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-171</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-171</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-171</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-151</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-150</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-149</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-157</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-157</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-146</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-131</v>
      </c>
      <c r="P30" s="20" t="s">
        <v>520</v>
      </c>
      <c r="Q30" s="25"/>
      <c r="R30" s="26"/>
      <c r="S30" s="26"/>
      <c r="T30" s="26"/>
      <c r="U30" s="26"/>
      <c r="V30" s="26"/>
      <c r="W30" s="26"/>
      <c r="X30" s="26"/>
      <c r="Y30" s="26"/>
      <c r="Z30" s="26"/>
      <c r="AA30" s="26"/>
      <c r="AB30" s="26"/>
      <c r="AC30" s="27"/>
      <c r="AD30" s="27"/>
    </row>
    <row r="31" spans="1:30" ht="43.5" customHeight="1" x14ac:dyDescent="0.15">
      <c r="A31" s="15">
        <v>266</v>
      </c>
      <c r="B31" s="11" t="s">
        <v>486</v>
      </c>
      <c r="C31" s="16" t="s">
        <v>487</v>
      </c>
      <c r="D31" s="13" t="s">
        <v>24</v>
      </c>
      <c r="E31" s="13" t="s">
        <v>478</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-129</v>
      </c>
      <c r="P31" s="20" t="s">
        <v>513</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516</v>
      </c>
      <c r="D33" s="13" t="s">
        <v>24</v>
      </c>
      <c r="E33" s="13" t="s">
        <v>514</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-65</v>
      </c>
      <c r="P33" s="20" t="s">
        <v>531</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517</v>
      </c>
      <c r="D34" s="13" t="s">
        <v>24</v>
      </c>
      <c r="E34" s="13" t="s">
        <v>518</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-50</v>
      </c>
      <c r="P34" s="20" t="s">
        <v>522</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519</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521</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528</v>
      </c>
      <c r="D36" s="13" t="s">
        <v>37</v>
      </c>
      <c r="E36" s="13" t="s">
        <v>365</v>
      </c>
      <c r="F36" s="14">
        <v>44053</v>
      </c>
      <c r="G36" s="14">
        <v>44073</v>
      </c>
      <c r="H36" s="14"/>
      <c r="I36" s="14">
        <v>44073</v>
      </c>
      <c r="J36" s="13" t="str">
        <f t="shared" ca="1" si="168"/>
        <v>DONE</v>
      </c>
      <c r="K36" s="13"/>
      <c r="L36" s="13"/>
      <c r="M36" s="13"/>
      <c r="N36" s="13"/>
      <c r="O36" s="13"/>
      <c r="P36" s="20" t="s">
        <v>539</v>
      </c>
      <c r="Q36" s="154"/>
      <c r="R36" s="155"/>
      <c r="S36" s="155"/>
      <c r="T36" s="155"/>
      <c r="U36" s="155"/>
      <c r="V36" s="155"/>
      <c r="W36" s="155"/>
      <c r="X36" s="155"/>
      <c r="Y36" s="155"/>
      <c r="Z36" s="155"/>
      <c r="AA36" s="155"/>
      <c r="AB36" s="155"/>
      <c r="AC36" s="27"/>
      <c r="AD36" s="27"/>
    </row>
    <row r="37" spans="1:30" ht="24.6" customHeight="1" x14ac:dyDescent="0.15">
      <c r="A37" s="15">
        <v>272</v>
      </c>
      <c r="B37" s="11"/>
      <c r="C37" s="16" t="s">
        <v>532</v>
      </c>
      <c r="D37" s="13" t="s">
        <v>24</v>
      </c>
      <c r="E37" s="13" t="s">
        <v>533</v>
      </c>
      <c r="F37" s="14">
        <v>44067</v>
      </c>
      <c r="G37" s="14">
        <v>44074</v>
      </c>
      <c r="H37" s="14"/>
      <c r="I37" s="14">
        <v>44073</v>
      </c>
      <c r="J37" s="13" t="str">
        <f t="shared" ca="1" si="168"/>
        <v>DONE</v>
      </c>
      <c r="K37" s="13"/>
      <c r="L37" s="13"/>
      <c r="M37" s="13"/>
      <c r="N37" s="13"/>
      <c r="O37" s="13"/>
      <c r="P37" s="20" t="s">
        <v>540</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534</v>
      </c>
      <c r="D38" s="13" t="s">
        <v>24</v>
      </c>
      <c r="E38" s="13" t="s">
        <v>358</v>
      </c>
      <c r="F38" s="14">
        <v>44067</v>
      </c>
      <c r="G38" s="14">
        <v>44074</v>
      </c>
      <c r="H38" s="14"/>
      <c r="I38" s="14">
        <v>44073</v>
      </c>
      <c r="J38" s="13" t="str">
        <f t="shared" ca="1" si="168"/>
        <v>DONE</v>
      </c>
      <c r="K38" s="13"/>
      <c r="L38" s="13"/>
      <c r="M38" s="13"/>
      <c r="N38" s="13"/>
      <c r="O38" s="13"/>
      <c r="P38" s="20" t="s">
        <v>540</v>
      </c>
      <c r="Q38" s="154"/>
      <c r="R38" s="155"/>
      <c r="S38" s="155"/>
      <c r="T38" s="155"/>
      <c r="U38" s="155"/>
      <c r="V38" s="155"/>
      <c r="W38" s="155"/>
      <c r="X38" s="155"/>
      <c r="Y38" s="155"/>
      <c r="Z38" s="155"/>
      <c r="AA38" s="155"/>
      <c r="AB38" s="155"/>
      <c r="AC38" s="27"/>
      <c r="AD38" s="27"/>
    </row>
    <row r="39" spans="1:30" ht="24.6" customHeight="1" x14ac:dyDescent="0.15">
      <c r="A39" s="15">
        <v>274</v>
      </c>
      <c r="B39" s="11"/>
      <c r="C39" s="16" t="s">
        <v>541</v>
      </c>
      <c r="D39" s="13" t="s">
        <v>24</v>
      </c>
      <c r="E39" s="13" t="s">
        <v>542</v>
      </c>
      <c r="F39" s="14">
        <v>44074</v>
      </c>
      <c r="G39" s="14">
        <v>44081</v>
      </c>
      <c r="H39" s="14"/>
      <c r="I39" s="14">
        <v>44081</v>
      </c>
      <c r="J39" s="13" t="str">
        <f t="shared" ca="1" si="168"/>
        <v>DONE</v>
      </c>
      <c r="K39" s="13"/>
      <c r="L39" s="13"/>
      <c r="M39" s="13"/>
      <c r="N39" s="13"/>
      <c r="O39" s="13"/>
      <c r="P39" s="20" t="s">
        <v>546</v>
      </c>
      <c r="Q39" s="163"/>
      <c r="R39" s="164"/>
      <c r="S39" s="164"/>
      <c r="T39" s="164"/>
      <c r="U39" s="164"/>
      <c r="V39" s="164"/>
      <c r="W39" s="164"/>
      <c r="X39" s="164"/>
      <c r="Y39" s="164"/>
      <c r="Z39" s="164"/>
      <c r="AA39" s="164"/>
      <c r="AB39" s="164"/>
      <c r="AC39" s="27"/>
      <c r="AD39" s="27"/>
    </row>
    <row r="40" spans="1:30" ht="24.6" customHeight="1" x14ac:dyDescent="0.15">
      <c r="A40" s="15">
        <v>275</v>
      </c>
      <c r="B40" s="11"/>
      <c r="C40" s="16" t="s">
        <v>543</v>
      </c>
      <c r="D40" s="13" t="s">
        <v>24</v>
      </c>
      <c r="E40" s="13" t="s">
        <v>542</v>
      </c>
      <c r="F40" s="14">
        <v>44074</v>
      </c>
      <c r="G40" s="14">
        <v>44088</v>
      </c>
      <c r="H40" s="14"/>
      <c r="I40" s="14">
        <v>44095</v>
      </c>
      <c r="J40" s="13" t="str">
        <f t="shared" ca="1" si="168"/>
        <v>DONE</v>
      </c>
      <c r="K40" s="13"/>
      <c r="L40" s="13"/>
      <c r="M40" s="13"/>
      <c r="N40" s="13"/>
      <c r="O40" s="13"/>
      <c r="P40" s="20" t="s">
        <v>557</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544</v>
      </c>
      <c r="D41" s="13" t="s">
        <v>24</v>
      </c>
      <c r="E41" s="13" t="s">
        <v>542</v>
      </c>
      <c r="F41" s="14">
        <v>44073</v>
      </c>
      <c r="G41" s="14"/>
      <c r="H41" s="14"/>
      <c r="I41" s="14">
        <v>44081</v>
      </c>
      <c r="J41" s="13" t="str">
        <f t="shared" ca="1" si="168"/>
        <v>DONE</v>
      </c>
      <c r="K41" s="13"/>
      <c r="L41" s="13"/>
      <c r="M41" s="13"/>
      <c r="N41" s="13"/>
      <c r="O41" s="13"/>
      <c r="P41" s="20" t="s">
        <v>550</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548</v>
      </c>
      <c r="D42" s="13" t="s">
        <v>24</v>
      </c>
      <c r="E42" s="13" t="s">
        <v>549</v>
      </c>
      <c r="F42" s="14">
        <v>44081</v>
      </c>
      <c r="G42" s="14">
        <v>44094</v>
      </c>
      <c r="H42" s="14"/>
      <c r="I42" s="14">
        <v>44095</v>
      </c>
      <c r="J42" s="13" t="str">
        <f t="shared" ca="1" si="168"/>
        <v>DONE</v>
      </c>
      <c r="K42" s="13"/>
      <c r="L42" s="13"/>
      <c r="M42" s="13"/>
      <c r="N42" s="13"/>
      <c r="O42" s="13"/>
      <c r="P42" s="20" t="s">
        <v>554</v>
      </c>
      <c r="Q42" s="165"/>
      <c r="R42" s="166"/>
      <c r="S42" s="166"/>
      <c r="T42" s="166"/>
      <c r="U42" s="166"/>
      <c r="V42" s="166"/>
      <c r="W42" s="166"/>
      <c r="X42" s="166"/>
      <c r="Y42" s="166"/>
      <c r="Z42" s="166"/>
      <c r="AA42" s="166"/>
      <c r="AB42" s="166"/>
      <c r="AC42" s="27"/>
      <c r="AD42" s="27"/>
    </row>
    <row r="43" spans="1:30" ht="24.6" customHeight="1" x14ac:dyDescent="0.15">
      <c r="A43" s="15">
        <v>278</v>
      </c>
      <c r="B43" s="11"/>
      <c r="C43" s="16" t="s">
        <v>553</v>
      </c>
      <c r="D43" s="13" t="s">
        <v>24</v>
      </c>
      <c r="E43" s="13" t="s">
        <v>549</v>
      </c>
      <c r="F43" s="14">
        <v>44081</v>
      </c>
      <c r="G43" s="14">
        <v>44094</v>
      </c>
      <c r="H43" s="14"/>
      <c r="I43" s="14">
        <v>44095</v>
      </c>
      <c r="J43" s="13" t="str">
        <f t="shared" ca="1" si="168"/>
        <v>DONE</v>
      </c>
      <c r="K43" s="13"/>
      <c r="L43" s="13"/>
      <c r="M43" s="13"/>
      <c r="N43" s="13"/>
      <c r="O43" s="13"/>
      <c r="P43" s="20" t="s">
        <v>555</v>
      </c>
      <c r="Q43" s="167"/>
      <c r="R43" s="168"/>
      <c r="S43" s="168"/>
      <c r="T43" s="168"/>
      <c r="U43" s="168"/>
      <c r="V43" s="168"/>
      <c r="W43" s="168"/>
      <c r="X43" s="168"/>
      <c r="Y43" s="168"/>
      <c r="Z43" s="168"/>
      <c r="AA43" s="168"/>
      <c r="AB43" s="168"/>
      <c r="AC43" s="27"/>
      <c r="AD43" s="27"/>
    </row>
    <row r="44" spans="1:30" ht="24.6" customHeight="1" x14ac:dyDescent="0.15">
      <c r="A44" s="15">
        <v>279</v>
      </c>
      <c r="B44" s="11"/>
      <c r="C44" s="16" t="s">
        <v>551</v>
      </c>
      <c r="D44" s="13" t="s">
        <v>37</v>
      </c>
      <c r="E44" s="13" t="s">
        <v>552</v>
      </c>
      <c r="F44" s="14">
        <v>44081</v>
      </c>
      <c r="G44" s="14">
        <v>44094</v>
      </c>
      <c r="H44" s="14"/>
      <c r="I44" s="14">
        <v>44088</v>
      </c>
      <c r="J44" s="13" t="str">
        <f t="shared" ref="J44:J45" ca="1" si="174">IF(AND(I44&lt;=$C$2,I44&lt;&gt;0),"DONE",IF(K44&lt;0,"OVERDUE",IF(AND(K44="",O44&lt;0),"OVERDUE","IN TIME")))</f>
        <v>DONE</v>
      </c>
      <c r="K44" s="13"/>
      <c r="L44" s="13"/>
      <c r="M44" s="13"/>
      <c r="N44" s="13"/>
      <c r="O44" s="13"/>
      <c r="P44" s="20" t="s">
        <v>556</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547</v>
      </c>
      <c r="D45" s="13" t="s">
        <v>37</v>
      </c>
      <c r="E45" s="13" t="s">
        <v>365</v>
      </c>
      <c r="F45" s="14">
        <v>44073</v>
      </c>
      <c r="G45" s="14">
        <v>44081</v>
      </c>
      <c r="H45" s="14"/>
      <c r="I45" s="14">
        <v>44102</v>
      </c>
      <c r="J45" s="13" t="str">
        <f t="shared" ca="1" si="174"/>
        <v>DONE</v>
      </c>
      <c r="K45" s="13"/>
      <c r="L45" s="13"/>
      <c r="M45" s="13"/>
      <c r="N45" s="13"/>
      <c r="O45" s="13"/>
      <c r="P45" s="20" t="s">
        <v>558</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535</v>
      </c>
      <c r="D46" s="13" t="s">
        <v>37</v>
      </c>
      <c r="E46" s="13" t="s">
        <v>536</v>
      </c>
      <c r="F46" s="14">
        <v>44112</v>
      </c>
      <c r="G46" s="14"/>
      <c r="H46" s="14"/>
      <c r="I46" s="14"/>
      <c r="J46" s="13"/>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15">
      <c r="A47" s="15">
        <v>282</v>
      </c>
      <c r="B47" s="11"/>
      <c r="C47" s="16" t="s">
        <v>538</v>
      </c>
      <c r="D47" s="13" t="s">
        <v>37</v>
      </c>
      <c r="E47" s="13" t="s">
        <v>537</v>
      </c>
      <c r="F47" s="14">
        <v>44112</v>
      </c>
      <c r="G47" s="14"/>
      <c r="H47" s="14"/>
      <c r="I47" s="14"/>
      <c r="J47" s="13"/>
      <c r="K47" s="13"/>
      <c r="L47" s="13"/>
      <c r="M47" s="13"/>
      <c r="N47" s="13"/>
      <c r="O47" s="13"/>
      <c r="P47" s="20" t="s">
        <v>563</v>
      </c>
      <c r="Q47" s="167"/>
      <c r="R47" s="168"/>
      <c r="S47" s="168"/>
      <c r="T47" s="168"/>
      <c r="U47" s="168"/>
      <c r="V47" s="168"/>
      <c r="W47" s="168"/>
      <c r="X47" s="168"/>
      <c r="Y47" s="168"/>
      <c r="Z47" s="168"/>
      <c r="AA47" s="168"/>
      <c r="AB47" s="168"/>
      <c r="AC47" s="27"/>
      <c r="AD47" s="27"/>
    </row>
    <row r="48" spans="1:30" ht="24.6" customHeight="1" x14ac:dyDescent="0.15">
      <c r="A48" s="15">
        <v>283</v>
      </c>
      <c r="B48" s="11"/>
      <c r="C48" s="16" t="s">
        <v>559</v>
      </c>
      <c r="D48" s="13" t="s">
        <v>37</v>
      </c>
      <c r="E48" s="13" t="s">
        <v>560</v>
      </c>
      <c r="F48" s="14">
        <v>44095</v>
      </c>
      <c r="G48" s="14">
        <v>44104</v>
      </c>
      <c r="H48" s="14"/>
      <c r="I48" s="14">
        <v>44102</v>
      </c>
      <c r="J48" s="13" t="str">
        <f t="shared" ref="J48" ca="1" si="175">IF(AND(I48&lt;=$C$2,I48&lt;&gt;0),"DONE",IF(K48&lt;0,"OVERDUE",IF(AND(K48="",O48&lt;0),"OVERDUE","IN TIME")))</f>
        <v>DONE</v>
      </c>
      <c r="K48" s="13"/>
      <c r="L48" s="13"/>
      <c r="M48" s="13"/>
      <c r="N48" s="13"/>
      <c r="O48" s="13"/>
      <c r="P48" s="20" t="s">
        <v>564</v>
      </c>
      <c r="Q48" s="169"/>
      <c r="R48" s="170"/>
      <c r="S48" s="170"/>
      <c r="T48" s="170"/>
      <c r="U48" s="170"/>
      <c r="V48" s="170"/>
      <c r="W48" s="170"/>
      <c r="X48" s="170"/>
      <c r="Y48" s="170"/>
      <c r="Z48" s="170"/>
      <c r="AA48" s="170"/>
      <c r="AB48" s="170"/>
      <c r="AC48" s="27"/>
      <c r="AD48" s="27"/>
    </row>
    <row r="49" spans="1:30" ht="24.6" customHeight="1" x14ac:dyDescent="0.15">
      <c r="A49" s="15">
        <v>284</v>
      </c>
      <c r="B49" s="11"/>
      <c r="C49" s="16" t="s">
        <v>561</v>
      </c>
      <c r="D49" s="13" t="s">
        <v>24</v>
      </c>
      <c r="E49" s="13" t="s">
        <v>562</v>
      </c>
      <c r="F49" s="14">
        <v>44095</v>
      </c>
      <c r="G49" s="14">
        <v>44104</v>
      </c>
      <c r="H49" s="14"/>
      <c r="I49" s="14"/>
      <c r="J49" s="13"/>
      <c r="K49" s="13"/>
      <c r="L49" s="13"/>
      <c r="M49" s="13"/>
      <c r="N49" s="13"/>
      <c r="O49" s="13"/>
      <c r="P49" s="20" t="s">
        <v>565</v>
      </c>
      <c r="Q49" s="169"/>
      <c r="R49" s="170"/>
      <c r="S49" s="170"/>
      <c r="T49" s="170"/>
      <c r="U49" s="170"/>
      <c r="V49" s="170"/>
      <c r="W49" s="170"/>
      <c r="X49" s="170"/>
      <c r="Y49" s="170"/>
      <c r="Z49" s="170"/>
      <c r="AA49" s="170"/>
      <c r="AB49" s="170"/>
      <c r="AC49" s="27"/>
      <c r="AD49" s="27"/>
    </row>
    <row r="50" spans="1:30" ht="24.6" customHeight="1" x14ac:dyDescent="0.15">
      <c r="A50" s="15">
        <v>285</v>
      </c>
      <c r="B50" s="11"/>
      <c r="C50" s="16" t="s">
        <v>566</v>
      </c>
      <c r="D50" s="13" t="s">
        <v>37</v>
      </c>
      <c r="E50" s="13" t="s">
        <v>374</v>
      </c>
      <c r="F50" s="14"/>
      <c r="G50" s="14"/>
      <c r="H50" s="14"/>
      <c r="I50" s="14"/>
      <c r="J50" s="13"/>
      <c r="K50" s="13"/>
      <c r="L50" s="13"/>
      <c r="M50" s="13"/>
      <c r="N50" s="13"/>
      <c r="O50" s="13"/>
      <c r="P50" s="20"/>
      <c r="Q50" s="169"/>
      <c r="R50" s="170"/>
      <c r="S50" s="170"/>
      <c r="T50" s="170"/>
      <c r="U50" s="170"/>
      <c r="V50" s="170"/>
      <c r="W50" s="170"/>
      <c r="X50" s="170"/>
      <c r="Y50" s="170"/>
      <c r="Z50" s="170"/>
      <c r="AA50" s="170"/>
      <c r="AB50" s="170"/>
      <c r="AC50" s="27"/>
      <c r="AD50" s="27"/>
    </row>
    <row r="51" spans="1:30" ht="24.6" customHeight="1" x14ac:dyDescent="0.15">
      <c r="A51" s="15">
        <v>286</v>
      </c>
      <c r="B51" s="11"/>
      <c r="C51" s="16"/>
      <c r="D51" s="13"/>
      <c r="E51" s="13"/>
      <c r="F51" s="14"/>
      <c r="G51" s="14"/>
      <c r="H51" s="14"/>
      <c r="I51" s="14"/>
      <c r="J51" s="13"/>
      <c r="K51" s="13"/>
      <c r="L51" s="13"/>
      <c r="M51" s="13"/>
      <c r="N51" s="13"/>
      <c r="O51" s="13"/>
      <c r="P51" s="20"/>
      <c r="Q51" s="169"/>
      <c r="R51" s="170"/>
      <c r="S51" s="170"/>
      <c r="T51" s="170"/>
      <c r="U51" s="170"/>
      <c r="V51" s="170"/>
      <c r="W51" s="170"/>
      <c r="X51" s="170"/>
      <c r="Y51" s="170"/>
      <c r="Z51" s="170"/>
      <c r="AA51" s="170"/>
      <c r="AB51" s="170"/>
      <c r="AC51" s="27"/>
      <c r="AD51" s="27"/>
    </row>
    <row r="52" spans="1:30" ht="24.6" customHeight="1" x14ac:dyDescent="0.15">
      <c r="A52" s="15">
        <v>287</v>
      </c>
      <c r="B52" s="11"/>
      <c r="C52" s="16"/>
      <c r="D52" s="13"/>
      <c r="E52" s="13"/>
      <c r="F52" s="14"/>
      <c r="G52" s="14"/>
      <c r="H52" s="14"/>
      <c r="I52" s="14"/>
      <c r="J52" s="13"/>
      <c r="K52" s="13"/>
      <c r="L52" s="13"/>
      <c r="M52" s="13"/>
      <c r="N52" s="13"/>
      <c r="O52" s="13"/>
      <c r="P52" s="20"/>
      <c r="Q52" s="169"/>
      <c r="R52" s="170"/>
      <c r="S52" s="170"/>
      <c r="T52" s="170"/>
      <c r="U52" s="170"/>
      <c r="V52" s="170"/>
      <c r="W52" s="170"/>
      <c r="X52" s="170"/>
      <c r="Y52" s="170"/>
      <c r="Z52" s="170"/>
      <c r="AA52" s="170"/>
      <c r="AB52" s="170"/>
      <c r="AC52" s="27"/>
      <c r="AD52" s="27"/>
    </row>
  </sheetData>
  <autoFilter ref="A3:P30"/>
  <mergeCells count="3">
    <mergeCell ref="A1:P1"/>
    <mergeCell ref="A2:B2"/>
    <mergeCell ref="Q3:AB14"/>
  </mergeCells>
  <phoneticPr fontId="34" type="noConversion"/>
  <conditionalFormatting sqref="J4">
    <cfRule type="cellIs" dxfId="305" priority="163" operator="equal">
      <formula>"OVERDUE"</formula>
    </cfRule>
    <cfRule type="cellIs" dxfId="304" priority="164" operator="equal">
      <formula>"DONE"</formula>
    </cfRule>
    <cfRule type="cellIs" dxfId="303" priority="165" operator="equal">
      <formula>"DONE"</formula>
    </cfRule>
  </conditionalFormatting>
  <conditionalFormatting sqref="J5">
    <cfRule type="cellIs" dxfId="302" priority="160" operator="equal">
      <formula>"OVERDUE"</formula>
    </cfRule>
    <cfRule type="cellIs" dxfId="301" priority="161" operator="equal">
      <formula>"DONE"</formula>
    </cfRule>
    <cfRule type="cellIs" dxfId="300" priority="162" operator="equal">
      <formula>"DONE"</formula>
    </cfRule>
  </conditionalFormatting>
  <conditionalFormatting sqref="J6">
    <cfRule type="cellIs" dxfId="299" priority="157" operator="equal">
      <formula>"OVERDUE"</formula>
    </cfRule>
    <cfRule type="cellIs" dxfId="298" priority="158" operator="equal">
      <formula>"DONE"</formula>
    </cfRule>
    <cfRule type="cellIs" dxfId="297" priority="159" operator="equal">
      <formula>"DONE"</formula>
    </cfRule>
  </conditionalFormatting>
  <conditionalFormatting sqref="J7">
    <cfRule type="cellIs" dxfId="296" priority="154" operator="equal">
      <formula>"OVERDUE"</formula>
    </cfRule>
    <cfRule type="cellIs" dxfId="295" priority="155" operator="equal">
      <formula>"DONE"</formula>
    </cfRule>
    <cfRule type="cellIs" dxfId="294" priority="156" operator="equal">
      <formula>"DONE"</formula>
    </cfRule>
  </conditionalFormatting>
  <conditionalFormatting sqref="J8">
    <cfRule type="cellIs" dxfId="293" priority="151" operator="equal">
      <formula>"OVERDUE"</formula>
    </cfRule>
    <cfRule type="cellIs" dxfId="292" priority="152" operator="equal">
      <formula>"DONE"</formula>
    </cfRule>
    <cfRule type="cellIs" dxfId="291" priority="153" operator="equal">
      <formula>"DONE"</formula>
    </cfRule>
  </conditionalFormatting>
  <conditionalFormatting sqref="J9">
    <cfRule type="cellIs" dxfId="290" priority="148" operator="equal">
      <formula>"OVERDUE"</formula>
    </cfRule>
    <cfRule type="cellIs" dxfId="289" priority="149" operator="equal">
      <formula>"DONE"</formula>
    </cfRule>
    <cfRule type="cellIs" dxfId="288" priority="150" operator="equal">
      <formula>"DONE"</formula>
    </cfRule>
  </conditionalFormatting>
  <conditionalFormatting sqref="J10">
    <cfRule type="cellIs" dxfId="287" priority="145" operator="equal">
      <formula>"OVERDUE"</formula>
    </cfRule>
    <cfRule type="cellIs" dxfId="286" priority="146" operator="equal">
      <formula>"DONE"</formula>
    </cfRule>
    <cfRule type="cellIs" dxfId="285" priority="147" operator="equal">
      <formula>"DONE"</formula>
    </cfRule>
  </conditionalFormatting>
  <conditionalFormatting sqref="J11">
    <cfRule type="cellIs" dxfId="284" priority="142" operator="equal">
      <formula>"OVERDUE"</formula>
    </cfRule>
    <cfRule type="cellIs" dxfId="283" priority="143" operator="equal">
      <formula>"DONE"</formula>
    </cfRule>
    <cfRule type="cellIs" dxfId="282" priority="144" operator="equal">
      <formula>"DONE"</formula>
    </cfRule>
  </conditionalFormatting>
  <conditionalFormatting sqref="J12">
    <cfRule type="cellIs" dxfId="281" priority="139" operator="equal">
      <formula>"OVERDUE"</formula>
    </cfRule>
    <cfRule type="cellIs" dxfId="280" priority="140" operator="equal">
      <formula>"DONE"</formula>
    </cfRule>
    <cfRule type="cellIs" dxfId="279" priority="141" operator="equal">
      <formula>"DONE"</formula>
    </cfRule>
  </conditionalFormatting>
  <conditionalFormatting sqref="J13">
    <cfRule type="cellIs" dxfId="278" priority="136" operator="equal">
      <formula>"OVERDUE"</formula>
    </cfRule>
    <cfRule type="cellIs" dxfId="277" priority="137" operator="equal">
      <formula>"DONE"</formula>
    </cfRule>
    <cfRule type="cellIs" dxfId="276" priority="138" operator="equal">
      <formula>"DONE"</formula>
    </cfRule>
  </conditionalFormatting>
  <conditionalFormatting sqref="J14">
    <cfRule type="cellIs" dxfId="275" priority="133" operator="equal">
      <formula>"OVERDUE"</formula>
    </cfRule>
    <cfRule type="cellIs" dxfId="274" priority="134" operator="equal">
      <formula>"DONE"</formula>
    </cfRule>
    <cfRule type="cellIs" dxfId="273" priority="135" operator="equal">
      <formula>"DONE"</formula>
    </cfRule>
  </conditionalFormatting>
  <conditionalFormatting sqref="J15">
    <cfRule type="cellIs" dxfId="272" priority="130" operator="equal">
      <formula>"OVERDUE"</formula>
    </cfRule>
    <cfRule type="cellIs" dxfId="271" priority="131" operator="equal">
      <formula>"DONE"</formula>
    </cfRule>
    <cfRule type="cellIs" dxfId="270" priority="132" operator="equal">
      <formula>"DONE"</formula>
    </cfRule>
  </conditionalFormatting>
  <conditionalFormatting sqref="J16">
    <cfRule type="cellIs" dxfId="269" priority="127" operator="equal">
      <formula>"OVERDUE"</formula>
    </cfRule>
    <cfRule type="cellIs" dxfId="268" priority="128" operator="equal">
      <formula>"DONE"</formula>
    </cfRule>
    <cfRule type="cellIs" dxfId="267" priority="129" operator="equal">
      <formula>"DONE"</formula>
    </cfRule>
  </conditionalFormatting>
  <conditionalFormatting sqref="J17">
    <cfRule type="cellIs" dxfId="266" priority="124" operator="equal">
      <formula>"OVERDUE"</formula>
    </cfRule>
    <cfRule type="cellIs" dxfId="265" priority="125" operator="equal">
      <formula>"DONE"</formula>
    </cfRule>
    <cfRule type="cellIs" dxfId="264" priority="126" operator="equal">
      <formula>"DONE"</formula>
    </cfRule>
  </conditionalFormatting>
  <conditionalFormatting sqref="J18">
    <cfRule type="cellIs" dxfId="263" priority="121" operator="equal">
      <formula>"OVERDUE"</formula>
    </cfRule>
    <cfRule type="cellIs" dxfId="262" priority="122" operator="equal">
      <formula>"DONE"</formula>
    </cfRule>
    <cfRule type="cellIs" dxfId="261" priority="123" operator="equal">
      <formula>"DONE"</formula>
    </cfRule>
  </conditionalFormatting>
  <conditionalFormatting sqref="J19">
    <cfRule type="cellIs" dxfId="260" priority="118" operator="equal">
      <formula>"OVERDUE"</formula>
    </cfRule>
    <cfRule type="cellIs" dxfId="259" priority="119" operator="equal">
      <formula>"DONE"</formula>
    </cfRule>
    <cfRule type="cellIs" dxfId="258" priority="120" operator="equal">
      <formula>"DONE"</formula>
    </cfRule>
  </conditionalFormatting>
  <conditionalFormatting sqref="J20">
    <cfRule type="cellIs" dxfId="257" priority="115" operator="equal">
      <formula>"OVERDUE"</formula>
    </cfRule>
    <cfRule type="cellIs" dxfId="256" priority="116" operator="equal">
      <formula>"DONE"</formula>
    </cfRule>
    <cfRule type="cellIs" dxfId="255" priority="117" operator="equal">
      <formula>"DONE"</formula>
    </cfRule>
  </conditionalFormatting>
  <conditionalFormatting sqref="J21">
    <cfRule type="cellIs" dxfId="254" priority="112" operator="equal">
      <formula>"OVERDUE"</formula>
    </cfRule>
    <cfRule type="cellIs" dxfId="253" priority="113" operator="equal">
      <formula>"DONE"</formula>
    </cfRule>
    <cfRule type="cellIs" dxfId="252" priority="114" operator="equal">
      <formula>"DONE"</formula>
    </cfRule>
  </conditionalFormatting>
  <conditionalFormatting sqref="J22">
    <cfRule type="cellIs" dxfId="251" priority="109" operator="equal">
      <formula>"OVERDUE"</formula>
    </cfRule>
    <cfRule type="cellIs" dxfId="250" priority="110" operator="equal">
      <formula>"DONE"</formula>
    </cfRule>
    <cfRule type="cellIs" dxfId="249" priority="111" operator="equal">
      <formula>"DONE"</formula>
    </cfRule>
  </conditionalFormatting>
  <conditionalFormatting sqref="J23">
    <cfRule type="cellIs" dxfId="248" priority="106" operator="equal">
      <formula>"OVERDUE"</formula>
    </cfRule>
    <cfRule type="cellIs" dxfId="247" priority="107" operator="equal">
      <formula>"DONE"</formula>
    </cfRule>
    <cfRule type="cellIs" dxfId="246" priority="108" operator="equal">
      <formula>"DONE"</formula>
    </cfRule>
  </conditionalFormatting>
  <conditionalFormatting sqref="J24">
    <cfRule type="cellIs" dxfId="245" priority="103" operator="equal">
      <formula>"OVERDUE"</formula>
    </cfRule>
    <cfRule type="cellIs" dxfId="244" priority="104" operator="equal">
      <formula>"DONE"</formula>
    </cfRule>
    <cfRule type="cellIs" dxfId="243" priority="105" operator="equal">
      <formula>"DONE"</formula>
    </cfRule>
  </conditionalFormatting>
  <conditionalFormatting sqref="J25">
    <cfRule type="cellIs" dxfId="242" priority="100" operator="equal">
      <formula>"OVERDUE"</formula>
    </cfRule>
    <cfRule type="cellIs" dxfId="241" priority="101" operator="equal">
      <formula>"DONE"</formula>
    </cfRule>
    <cfRule type="cellIs" dxfId="240" priority="102" operator="equal">
      <formula>"DONE"</formula>
    </cfRule>
  </conditionalFormatting>
  <conditionalFormatting sqref="J26">
    <cfRule type="cellIs" dxfId="239" priority="97" operator="equal">
      <formula>"OVERDUE"</formula>
    </cfRule>
    <cfRule type="cellIs" dxfId="238" priority="98" operator="equal">
      <formula>"DONE"</formula>
    </cfRule>
    <cfRule type="cellIs" dxfId="237" priority="99" operator="equal">
      <formula>"DONE"</formula>
    </cfRule>
  </conditionalFormatting>
  <conditionalFormatting sqref="J27">
    <cfRule type="cellIs" dxfId="236" priority="94" operator="equal">
      <formula>"OVERDUE"</formula>
    </cfRule>
    <cfRule type="cellIs" dxfId="235" priority="95" operator="equal">
      <formula>"DONE"</formula>
    </cfRule>
    <cfRule type="cellIs" dxfId="234" priority="96" operator="equal">
      <formula>"DONE"</formula>
    </cfRule>
  </conditionalFormatting>
  <conditionalFormatting sqref="J28">
    <cfRule type="cellIs" dxfId="233" priority="91" operator="equal">
      <formula>"OVERDUE"</formula>
    </cfRule>
    <cfRule type="cellIs" dxfId="232" priority="92" operator="equal">
      <formula>"DONE"</formula>
    </cfRule>
    <cfRule type="cellIs" dxfId="231" priority="93" operator="equal">
      <formula>"DONE"</formula>
    </cfRule>
  </conditionalFormatting>
  <conditionalFormatting sqref="J29">
    <cfRule type="cellIs" dxfId="230" priority="88" operator="equal">
      <formula>"OVERDUE"</formula>
    </cfRule>
    <cfRule type="cellIs" dxfId="229" priority="89" operator="equal">
      <formula>"DONE"</formula>
    </cfRule>
    <cfRule type="cellIs" dxfId="228" priority="90" operator="equal">
      <formula>"DONE"</formula>
    </cfRule>
  </conditionalFormatting>
  <conditionalFormatting sqref="J30">
    <cfRule type="cellIs" dxfId="227" priority="85" operator="equal">
      <formula>"OVERDUE"</formula>
    </cfRule>
    <cfRule type="cellIs" dxfId="226" priority="86" operator="equal">
      <formula>"DONE"</formula>
    </cfRule>
    <cfRule type="cellIs" dxfId="225" priority="87" operator="equal">
      <formula>"DONE"</formula>
    </cfRule>
  </conditionalFormatting>
  <conditionalFormatting sqref="J2:J3 J53:J1048576">
    <cfRule type="cellIs" dxfId="224" priority="184" operator="equal">
      <formula>"OVERDUE"</formula>
    </cfRule>
    <cfRule type="cellIs" dxfId="223" priority="185" operator="equal">
      <formula>"DONE"</formula>
    </cfRule>
    <cfRule type="cellIs" dxfId="222" priority="186" operator="equal">
      <formula>"DONE"</formula>
    </cfRule>
  </conditionalFormatting>
  <conditionalFormatting sqref="J31">
    <cfRule type="cellIs" dxfId="221" priority="82" operator="equal">
      <formula>"OVERDUE"</formula>
    </cfRule>
    <cfRule type="cellIs" dxfId="220" priority="83" operator="equal">
      <formula>"DONE"</formula>
    </cfRule>
    <cfRule type="cellIs" dxfId="219" priority="84" operator="equal">
      <formula>"DONE"</formula>
    </cfRule>
  </conditionalFormatting>
  <conditionalFormatting sqref="J32">
    <cfRule type="cellIs" dxfId="218" priority="79" operator="equal">
      <formula>"OVERDUE"</formula>
    </cfRule>
    <cfRule type="cellIs" dxfId="217" priority="80" operator="equal">
      <formula>"DONE"</formula>
    </cfRule>
    <cfRule type="cellIs" dxfId="216" priority="81" operator="equal">
      <formula>"DONE"</formula>
    </cfRule>
  </conditionalFormatting>
  <conditionalFormatting sqref="J33">
    <cfRule type="cellIs" dxfId="215" priority="76" operator="equal">
      <formula>"OVERDUE"</formula>
    </cfRule>
    <cfRule type="cellIs" dxfId="214" priority="77" operator="equal">
      <formula>"DONE"</formula>
    </cfRule>
    <cfRule type="cellIs" dxfId="213" priority="78" operator="equal">
      <formula>"DONE"</formula>
    </cfRule>
  </conditionalFormatting>
  <conditionalFormatting sqref="J34">
    <cfRule type="cellIs" dxfId="212" priority="73" operator="equal">
      <formula>"OVERDUE"</formula>
    </cfRule>
    <cfRule type="cellIs" dxfId="211" priority="74" operator="equal">
      <formula>"DONE"</formula>
    </cfRule>
    <cfRule type="cellIs" dxfId="210" priority="75" operator="equal">
      <formula>"DONE"</formula>
    </cfRule>
  </conditionalFormatting>
  <conditionalFormatting sqref="J35:J38">
    <cfRule type="cellIs" dxfId="209" priority="70" operator="equal">
      <formula>"OVERDUE"</formula>
    </cfRule>
    <cfRule type="cellIs" dxfId="208" priority="71" operator="equal">
      <formula>"DONE"</formula>
    </cfRule>
    <cfRule type="cellIs" dxfId="207" priority="72" operator="equal">
      <formula>"DONE"</formula>
    </cfRule>
  </conditionalFormatting>
  <conditionalFormatting sqref="J39">
    <cfRule type="cellIs" dxfId="206" priority="58" operator="equal">
      <formula>"OVERDUE"</formula>
    </cfRule>
    <cfRule type="cellIs" dxfId="205" priority="59" operator="equal">
      <formula>"DONE"</formula>
    </cfRule>
    <cfRule type="cellIs" dxfId="204" priority="60" operator="equal">
      <formula>"DONE"</formula>
    </cfRule>
  </conditionalFormatting>
  <conditionalFormatting sqref="J40">
    <cfRule type="cellIs" dxfId="203" priority="55" operator="equal">
      <formula>"OVERDUE"</formula>
    </cfRule>
    <cfRule type="cellIs" dxfId="202" priority="56" operator="equal">
      <formula>"DONE"</formula>
    </cfRule>
    <cfRule type="cellIs" dxfId="201" priority="57" operator="equal">
      <formula>"DONE"</formula>
    </cfRule>
  </conditionalFormatting>
  <conditionalFormatting sqref="J46">
    <cfRule type="cellIs" dxfId="197" priority="37" operator="equal">
      <formula>"OVERDUE"</formula>
    </cfRule>
    <cfRule type="cellIs" dxfId="196" priority="38" operator="equal">
      <formula>"DONE"</formula>
    </cfRule>
    <cfRule type="cellIs" dxfId="195" priority="39" operator="equal">
      <formula>"DONE"</formula>
    </cfRule>
  </conditionalFormatting>
  <conditionalFormatting sqref="J47">
    <cfRule type="cellIs" dxfId="194" priority="34" operator="equal">
      <formula>"OVERDUE"</formula>
    </cfRule>
    <cfRule type="cellIs" dxfId="193" priority="35" operator="equal">
      <formula>"DONE"</formula>
    </cfRule>
    <cfRule type="cellIs" dxfId="192" priority="36" operator="equal">
      <formula>"DONE"</formula>
    </cfRule>
  </conditionalFormatting>
  <conditionalFormatting sqref="J41">
    <cfRule type="cellIs" dxfId="191" priority="31" operator="equal">
      <formula>"OVERDUE"</formula>
    </cfRule>
    <cfRule type="cellIs" dxfId="190" priority="32" operator="equal">
      <formula>"DONE"</formula>
    </cfRule>
    <cfRule type="cellIs" dxfId="189" priority="33" operator="equal">
      <formula>"DONE"</formula>
    </cfRule>
  </conditionalFormatting>
  <conditionalFormatting sqref="J44">
    <cfRule type="cellIs" dxfId="188" priority="28" operator="equal">
      <formula>"OVERDUE"</formula>
    </cfRule>
    <cfRule type="cellIs" dxfId="187" priority="29" operator="equal">
      <formula>"DONE"</formula>
    </cfRule>
    <cfRule type="cellIs" dxfId="186" priority="30" operator="equal">
      <formula>"DONE"</formula>
    </cfRule>
  </conditionalFormatting>
  <conditionalFormatting sqref="J49">
    <cfRule type="cellIs" dxfId="182" priority="22" operator="equal">
      <formula>"OVERDUE"</formula>
    </cfRule>
    <cfRule type="cellIs" dxfId="181" priority="23" operator="equal">
      <formula>"DONE"</formula>
    </cfRule>
    <cfRule type="cellIs" dxfId="180" priority="24" operator="equal">
      <formula>"DONE"</formula>
    </cfRule>
  </conditionalFormatting>
  <conditionalFormatting sqref="J50">
    <cfRule type="cellIs" dxfId="179" priority="19" operator="equal">
      <formula>"OVERDUE"</formula>
    </cfRule>
    <cfRule type="cellIs" dxfId="178" priority="20" operator="equal">
      <formula>"DONE"</formula>
    </cfRule>
    <cfRule type="cellIs" dxfId="177" priority="21" operator="equal">
      <formula>"DONE"</formula>
    </cfRule>
  </conditionalFormatting>
  <conditionalFormatting sqref="J51">
    <cfRule type="cellIs" dxfId="176" priority="16" operator="equal">
      <formula>"OVERDUE"</formula>
    </cfRule>
    <cfRule type="cellIs" dxfId="175" priority="17" operator="equal">
      <formula>"DONE"</formula>
    </cfRule>
    <cfRule type="cellIs" dxfId="174" priority="18" operator="equal">
      <formula>"DONE"</formula>
    </cfRule>
  </conditionalFormatting>
  <conditionalFormatting sqref="J52">
    <cfRule type="cellIs" dxfId="173" priority="13" operator="equal">
      <formula>"OVERDUE"</formula>
    </cfRule>
    <cfRule type="cellIs" dxfId="172" priority="14" operator="equal">
      <formula>"DONE"</formula>
    </cfRule>
    <cfRule type="cellIs" dxfId="171" priority="15" operator="equal">
      <formula>"DONE"</formula>
    </cfRule>
  </conditionalFormatting>
  <conditionalFormatting sqref="J42">
    <cfRule type="cellIs" dxfId="170" priority="10" operator="equal">
      <formula>"OVERDUE"</formula>
    </cfRule>
    <cfRule type="cellIs" dxfId="169" priority="11" operator="equal">
      <formula>"DONE"</formula>
    </cfRule>
    <cfRule type="cellIs" dxfId="168" priority="12" operator="equal">
      <formula>"DONE"</formula>
    </cfRule>
  </conditionalFormatting>
  <conditionalFormatting sqref="J43">
    <cfRule type="cellIs" dxfId="167" priority="7" operator="equal">
      <formula>"OVERDUE"</formula>
    </cfRule>
    <cfRule type="cellIs" dxfId="166" priority="8" operator="equal">
      <formula>"DONE"</formula>
    </cfRule>
    <cfRule type="cellIs" dxfId="165" priority="9" operator="equal">
      <formula>"DONE"</formula>
    </cfRule>
  </conditionalFormatting>
  <conditionalFormatting sqref="J45">
    <cfRule type="cellIs" dxfId="5" priority="4" operator="equal">
      <formula>"OVERDUE"</formula>
    </cfRule>
    <cfRule type="cellIs" dxfId="4" priority="5" operator="equal">
      <formula>"DONE"</formula>
    </cfRule>
    <cfRule type="cellIs" dxfId="3" priority="6" operator="equal">
      <formula>"DONE"</formula>
    </cfRule>
  </conditionalFormatting>
  <conditionalFormatting sqref="J48">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52</xdr:row>
                    <xdr:rowOff>85725</xdr:rowOff>
                  </from>
                  <to>
                    <xdr:col>1</xdr:col>
                    <xdr:colOff>800100</xdr:colOff>
                    <xdr:row>53</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10" activePane="bottomLeft" state="frozen"/>
      <selection pane="bottomLeft" activeCell="I7" sqref="I7"/>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8" t="s">
        <v>357</v>
      </c>
      <c r="B1" s="178"/>
      <c r="C1" s="178"/>
      <c r="D1" s="178"/>
      <c r="E1" s="178"/>
      <c r="F1" s="178"/>
      <c r="G1" s="178"/>
      <c r="H1" s="178"/>
      <c r="I1" s="178"/>
      <c r="J1" s="178"/>
      <c r="K1" s="178"/>
      <c r="L1" s="178"/>
      <c r="M1" s="178"/>
      <c r="N1" s="178"/>
      <c r="O1" s="178"/>
      <c r="P1" s="178"/>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9" t="s">
        <v>1</v>
      </c>
      <c r="B2" s="179"/>
      <c r="C2" s="5">
        <f ca="1">TODAY()</f>
        <v>44102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80"/>
      <c r="R3" s="181"/>
      <c r="S3" s="181"/>
      <c r="T3" s="181"/>
      <c r="U3" s="181"/>
      <c r="V3" s="181"/>
      <c r="W3" s="181"/>
      <c r="X3" s="181"/>
      <c r="Y3" s="181"/>
      <c r="Z3" s="181"/>
      <c r="AA3" s="181"/>
      <c r="AB3" s="181"/>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80"/>
      <c r="R4" s="181"/>
      <c r="S4" s="181"/>
      <c r="T4" s="181"/>
      <c r="U4" s="181"/>
      <c r="V4" s="181"/>
      <c r="W4" s="181"/>
      <c r="X4" s="181"/>
      <c r="Y4" s="181"/>
      <c r="Z4" s="181"/>
      <c r="AA4" s="181"/>
      <c r="AB4" s="181"/>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-151</v>
      </c>
      <c r="P5" s="20"/>
      <c r="Q5" s="180"/>
      <c r="R5" s="181"/>
      <c r="S5" s="181"/>
      <c r="T5" s="181"/>
      <c r="U5" s="181"/>
      <c r="V5" s="181"/>
      <c r="W5" s="181"/>
      <c r="X5" s="181"/>
      <c r="Y5" s="181"/>
      <c r="Z5" s="181"/>
      <c r="AA5" s="181"/>
      <c r="AB5" s="181"/>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-151</v>
      </c>
      <c r="P6" s="20"/>
      <c r="Q6" s="180"/>
      <c r="R6" s="181"/>
      <c r="S6" s="181"/>
      <c r="T6" s="181"/>
      <c r="U6" s="181"/>
      <c r="V6" s="181"/>
      <c r="W6" s="181"/>
      <c r="X6" s="181"/>
      <c r="Y6" s="181"/>
      <c r="Z6" s="181"/>
      <c r="AA6" s="181"/>
      <c r="AB6" s="181"/>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523</v>
      </c>
      <c r="Q7" s="180"/>
      <c r="R7" s="181"/>
      <c r="S7" s="181"/>
      <c r="T7" s="181"/>
      <c r="U7" s="181"/>
      <c r="V7" s="181"/>
      <c r="W7" s="181"/>
      <c r="X7" s="181"/>
      <c r="Y7" s="181"/>
      <c r="Z7" s="181"/>
      <c r="AA7" s="181"/>
      <c r="AB7" s="181"/>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-151</v>
      </c>
      <c r="P8" s="20"/>
      <c r="Q8" s="180"/>
      <c r="R8" s="181"/>
      <c r="S8" s="181"/>
      <c r="T8" s="181"/>
      <c r="U8" s="181"/>
      <c r="V8" s="181"/>
      <c r="W8" s="181"/>
      <c r="X8" s="181"/>
      <c r="Y8" s="181"/>
      <c r="Z8" s="181"/>
      <c r="AA8" s="181"/>
      <c r="AB8" s="181"/>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80"/>
      <c r="R9" s="181"/>
      <c r="S9" s="181"/>
      <c r="T9" s="181"/>
      <c r="U9" s="181"/>
      <c r="V9" s="181"/>
      <c r="W9" s="181"/>
      <c r="X9" s="181"/>
      <c r="Y9" s="181"/>
      <c r="Z9" s="181"/>
      <c r="AA9" s="181"/>
      <c r="AB9" s="181"/>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-108</v>
      </c>
      <c r="P10" s="20" t="s">
        <v>506</v>
      </c>
      <c r="Q10" s="180"/>
      <c r="R10" s="181"/>
      <c r="S10" s="181"/>
      <c r="T10" s="181"/>
      <c r="U10" s="181"/>
      <c r="V10" s="181"/>
      <c r="W10" s="181"/>
      <c r="X10" s="181"/>
      <c r="Y10" s="181"/>
      <c r="Z10" s="181"/>
      <c r="AA10" s="181"/>
      <c r="AB10" s="181"/>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-101</v>
      </c>
      <c r="P11" s="20" t="s">
        <v>507</v>
      </c>
      <c r="Q11" s="180"/>
      <c r="R11" s="181"/>
      <c r="S11" s="181"/>
      <c r="T11" s="181"/>
      <c r="U11" s="181"/>
      <c r="V11" s="181"/>
      <c r="W11" s="181"/>
      <c r="X11" s="181"/>
      <c r="Y11" s="181"/>
      <c r="Z11" s="181"/>
      <c r="AA11" s="181"/>
      <c r="AB11" s="181"/>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-93</v>
      </c>
      <c r="P12" s="20" t="s">
        <v>509</v>
      </c>
      <c r="Q12" s="180"/>
      <c r="R12" s="181"/>
      <c r="S12" s="181"/>
      <c r="T12" s="181"/>
      <c r="U12" s="181"/>
      <c r="V12" s="181"/>
      <c r="W12" s="181"/>
      <c r="X12" s="181"/>
      <c r="Y12" s="181"/>
      <c r="Z12" s="181"/>
      <c r="AA12" s="181"/>
      <c r="AB12" s="181"/>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-80</v>
      </c>
      <c r="P13" s="20"/>
      <c r="Q13" s="180"/>
      <c r="R13" s="181"/>
      <c r="S13" s="181"/>
      <c r="T13" s="181"/>
      <c r="U13" s="181"/>
      <c r="V13" s="181"/>
      <c r="W13" s="181"/>
      <c r="X13" s="181"/>
      <c r="Y13" s="181"/>
      <c r="Z13" s="181"/>
      <c r="AA13" s="181"/>
      <c r="AB13" s="181"/>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-93</v>
      </c>
      <c r="P14" s="20" t="s">
        <v>509</v>
      </c>
      <c r="Q14" s="180"/>
      <c r="R14" s="181"/>
      <c r="S14" s="181"/>
      <c r="T14" s="181"/>
      <c r="U14" s="181"/>
      <c r="V14" s="181"/>
      <c r="W14" s="181"/>
      <c r="X14" s="181"/>
      <c r="Y14" s="181"/>
      <c r="Z14" s="181"/>
      <c r="AA14" s="181"/>
      <c r="AB14" s="181"/>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164" priority="79" operator="equal">
      <formula>"OVERDUE"</formula>
    </cfRule>
    <cfRule type="cellIs" dxfId="163" priority="80" operator="equal">
      <formula>"DONE"</formula>
    </cfRule>
    <cfRule type="cellIs" dxfId="162" priority="81" operator="equal">
      <formula>"DONE"</formula>
    </cfRule>
  </conditionalFormatting>
  <conditionalFormatting sqref="J5">
    <cfRule type="cellIs" dxfId="161" priority="76" operator="equal">
      <formula>"OVERDUE"</formula>
    </cfRule>
    <cfRule type="cellIs" dxfId="160" priority="77" operator="equal">
      <formula>"DONE"</formula>
    </cfRule>
    <cfRule type="cellIs" dxfId="159" priority="78" operator="equal">
      <formula>"DONE"</formula>
    </cfRule>
  </conditionalFormatting>
  <conditionalFormatting sqref="J6">
    <cfRule type="cellIs" dxfId="158" priority="73" operator="equal">
      <formula>"OVERDUE"</formula>
    </cfRule>
    <cfRule type="cellIs" dxfId="157" priority="74" operator="equal">
      <formula>"DONE"</formula>
    </cfRule>
    <cfRule type="cellIs" dxfId="156" priority="75" operator="equal">
      <formula>"DONE"</formula>
    </cfRule>
  </conditionalFormatting>
  <conditionalFormatting sqref="J7">
    <cfRule type="cellIs" dxfId="155" priority="70" operator="equal">
      <formula>"OVERDUE"</formula>
    </cfRule>
    <cfRule type="cellIs" dxfId="154" priority="71" operator="equal">
      <formula>"DONE"</formula>
    </cfRule>
    <cfRule type="cellIs" dxfId="153" priority="72" operator="equal">
      <formula>"DONE"</formula>
    </cfRule>
  </conditionalFormatting>
  <conditionalFormatting sqref="J8">
    <cfRule type="cellIs" dxfId="152" priority="67" operator="equal">
      <formula>"OVERDUE"</formula>
    </cfRule>
    <cfRule type="cellIs" dxfId="151" priority="68" operator="equal">
      <formula>"DONE"</formula>
    </cfRule>
    <cfRule type="cellIs" dxfId="150" priority="69" operator="equal">
      <formula>"DONE"</formula>
    </cfRule>
  </conditionalFormatting>
  <conditionalFormatting sqref="J9">
    <cfRule type="cellIs" dxfId="149" priority="64" operator="equal">
      <formula>"OVERDUE"</formula>
    </cfRule>
    <cfRule type="cellIs" dxfId="148" priority="65" operator="equal">
      <formula>"DONE"</formula>
    </cfRule>
    <cfRule type="cellIs" dxfId="147" priority="66" operator="equal">
      <formula>"DONE"</formula>
    </cfRule>
  </conditionalFormatting>
  <conditionalFormatting sqref="J10">
    <cfRule type="cellIs" dxfId="146" priority="61" operator="equal">
      <formula>"OVERDUE"</formula>
    </cfRule>
    <cfRule type="cellIs" dxfId="145" priority="62" operator="equal">
      <formula>"DONE"</formula>
    </cfRule>
    <cfRule type="cellIs" dxfId="144" priority="63" operator="equal">
      <formula>"DONE"</formula>
    </cfRule>
  </conditionalFormatting>
  <conditionalFormatting sqref="J11">
    <cfRule type="cellIs" dxfId="143" priority="58" operator="equal">
      <formula>"OVERDUE"</formula>
    </cfRule>
    <cfRule type="cellIs" dxfId="142" priority="59" operator="equal">
      <formula>"DONE"</formula>
    </cfRule>
    <cfRule type="cellIs" dxfId="141" priority="60" operator="equal">
      <formula>"DONE"</formula>
    </cfRule>
  </conditionalFormatting>
  <conditionalFormatting sqref="J12">
    <cfRule type="cellIs" dxfId="140" priority="55" operator="equal">
      <formula>"OVERDUE"</formula>
    </cfRule>
    <cfRule type="cellIs" dxfId="139" priority="56" operator="equal">
      <formula>"DONE"</formula>
    </cfRule>
    <cfRule type="cellIs" dxfId="138" priority="57" operator="equal">
      <formula>"DONE"</formula>
    </cfRule>
  </conditionalFormatting>
  <conditionalFormatting sqref="J13">
    <cfRule type="cellIs" dxfId="137" priority="52" operator="equal">
      <formula>"OVERDUE"</formula>
    </cfRule>
    <cfRule type="cellIs" dxfId="136" priority="53" operator="equal">
      <formula>"DONE"</formula>
    </cfRule>
    <cfRule type="cellIs" dxfId="135" priority="54" operator="equal">
      <formula>"DONE"</formula>
    </cfRule>
  </conditionalFormatting>
  <conditionalFormatting sqref="J14">
    <cfRule type="cellIs" dxfId="134" priority="49" operator="equal">
      <formula>"OVERDUE"</formula>
    </cfRule>
    <cfRule type="cellIs" dxfId="133" priority="50" operator="equal">
      <formula>"DONE"</formula>
    </cfRule>
    <cfRule type="cellIs" dxfId="132" priority="51" operator="equal">
      <formula>"DONE"</formula>
    </cfRule>
  </conditionalFormatting>
  <conditionalFormatting sqref="J15">
    <cfRule type="cellIs" dxfId="131" priority="46" operator="equal">
      <formula>"OVERDUE"</formula>
    </cfRule>
    <cfRule type="cellIs" dxfId="130" priority="47" operator="equal">
      <formula>"DONE"</formula>
    </cfRule>
    <cfRule type="cellIs" dxfId="129" priority="48" operator="equal">
      <formula>"DONE"</formula>
    </cfRule>
  </conditionalFormatting>
  <conditionalFormatting sqref="J16">
    <cfRule type="cellIs" dxfId="128" priority="43" operator="equal">
      <formula>"OVERDUE"</formula>
    </cfRule>
    <cfRule type="cellIs" dxfId="127" priority="44" operator="equal">
      <formula>"DONE"</formula>
    </cfRule>
    <cfRule type="cellIs" dxfId="126" priority="45" operator="equal">
      <formula>"DONE"</formula>
    </cfRule>
  </conditionalFormatting>
  <conditionalFormatting sqref="J17">
    <cfRule type="cellIs" dxfId="125" priority="40" operator="equal">
      <formula>"OVERDUE"</formula>
    </cfRule>
    <cfRule type="cellIs" dxfId="124" priority="41" operator="equal">
      <formula>"DONE"</formula>
    </cfRule>
    <cfRule type="cellIs" dxfId="123" priority="42" operator="equal">
      <formula>"DONE"</formula>
    </cfRule>
  </conditionalFormatting>
  <conditionalFormatting sqref="J18">
    <cfRule type="cellIs" dxfId="122" priority="37" operator="equal">
      <formula>"OVERDUE"</formula>
    </cfRule>
    <cfRule type="cellIs" dxfId="121" priority="38" operator="equal">
      <formula>"DONE"</formula>
    </cfRule>
    <cfRule type="cellIs" dxfId="120" priority="39" operator="equal">
      <formula>"DONE"</formula>
    </cfRule>
  </conditionalFormatting>
  <conditionalFormatting sqref="J19">
    <cfRule type="cellIs" dxfId="119" priority="34" operator="equal">
      <formula>"OVERDUE"</formula>
    </cfRule>
    <cfRule type="cellIs" dxfId="118" priority="35" operator="equal">
      <formula>"DONE"</formula>
    </cfRule>
    <cfRule type="cellIs" dxfId="117" priority="36" operator="equal">
      <formula>"DONE"</formula>
    </cfRule>
  </conditionalFormatting>
  <conditionalFormatting sqref="J20">
    <cfRule type="cellIs" dxfId="116" priority="31" operator="equal">
      <formula>"OVERDUE"</formula>
    </cfRule>
    <cfRule type="cellIs" dxfId="115" priority="32" operator="equal">
      <formula>"DONE"</formula>
    </cfRule>
    <cfRule type="cellIs" dxfId="114" priority="33" operator="equal">
      <formula>"DONE"</formula>
    </cfRule>
  </conditionalFormatting>
  <conditionalFormatting sqref="J21">
    <cfRule type="cellIs" dxfId="113" priority="28" operator="equal">
      <formula>"OVERDUE"</formula>
    </cfRule>
    <cfRule type="cellIs" dxfId="112" priority="29" operator="equal">
      <formula>"DONE"</formula>
    </cfRule>
    <cfRule type="cellIs" dxfId="111" priority="30" operator="equal">
      <formula>"DONE"</formula>
    </cfRule>
  </conditionalFormatting>
  <conditionalFormatting sqref="J22">
    <cfRule type="cellIs" dxfId="110" priority="25" operator="equal">
      <formula>"OVERDUE"</formula>
    </cfRule>
    <cfRule type="cellIs" dxfId="109" priority="26" operator="equal">
      <formula>"DONE"</formula>
    </cfRule>
    <cfRule type="cellIs" dxfId="108" priority="27" operator="equal">
      <formula>"DONE"</formula>
    </cfRule>
  </conditionalFormatting>
  <conditionalFormatting sqref="J23">
    <cfRule type="cellIs" dxfId="107" priority="22" operator="equal">
      <formula>"OVERDUE"</formula>
    </cfRule>
    <cfRule type="cellIs" dxfId="106" priority="23" operator="equal">
      <formula>"DONE"</formula>
    </cfRule>
    <cfRule type="cellIs" dxfId="105" priority="24" operator="equal">
      <formula>"DONE"</formula>
    </cfRule>
  </conditionalFormatting>
  <conditionalFormatting sqref="J24">
    <cfRule type="cellIs" dxfId="104" priority="19" operator="equal">
      <formula>"OVERDUE"</formula>
    </cfRule>
    <cfRule type="cellIs" dxfId="103" priority="20" operator="equal">
      <formula>"DONE"</formula>
    </cfRule>
    <cfRule type="cellIs" dxfId="102" priority="21" operator="equal">
      <formula>"DONE"</formula>
    </cfRule>
  </conditionalFormatting>
  <conditionalFormatting sqref="J25">
    <cfRule type="cellIs" dxfId="101" priority="16" operator="equal">
      <formula>"OVERDUE"</formula>
    </cfRule>
    <cfRule type="cellIs" dxfId="100" priority="17" operator="equal">
      <formula>"DONE"</formula>
    </cfRule>
    <cfRule type="cellIs" dxfId="99" priority="18" operator="equal">
      <formula>"DONE"</formula>
    </cfRule>
  </conditionalFormatting>
  <conditionalFormatting sqref="J26">
    <cfRule type="cellIs" dxfId="98" priority="13" operator="equal">
      <formula>"OVERDUE"</formula>
    </cfRule>
    <cfRule type="cellIs" dxfId="97" priority="14" operator="equal">
      <formula>"DONE"</formula>
    </cfRule>
    <cfRule type="cellIs" dxfId="96" priority="15" operator="equal">
      <formula>"DONE"</formula>
    </cfRule>
  </conditionalFormatting>
  <conditionalFormatting sqref="J27">
    <cfRule type="cellIs" dxfId="95" priority="10" operator="equal">
      <formula>"OVERDUE"</formula>
    </cfRule>
    <cfRule type="cellIs" dxfId="94" priority="11" operator="equal">
      <formula>"DONE"</formula>
    </cfRule>
    <cfRule type="cellIs" dxfId="93" priority="12" operator="equal">
      <formula>"DONE"</formula>
    </cfRule>
  </conditionalFormatting>
  <conditionalFormatting sqref="J28">
    <cfRule type="cellIs" dxfId="92" priority="7" operator="equal">
      <formula>"OVERDUE"</formula>
    </cfRule>
    <cfRule type="cellIs" dxfId="91" priority="8" operator="equal">
      <formula>"DONE"</formula>
    </cfRule>
    <cfRule type="cellIs" dxfId="90" priority="9" operator="equal">
      <formula>"DONE"</formula>
    </cfRule>
  </conditionalFormatting>
  <conditionalFormatting sqref="J29">
    <cfRule type="cellIs" dxfId="89" priority="4" operator="equal">
      <formula>"OVERDUE"</formula>
    </cfRule>
    <cfRule type="cellIs" dxfId="88" priority="5" operator="equal">
      <formula>"DONE"</formula>
    </cfRule>
    <cfRule type="cellIs" dxfId="87" priority="6" operator="equal">
      <formula>"DONE"</formula>
    </cfRule>
  </conditionalFormatting>
  <conditionalFormatting sqref="J30">
    <cfRule type="cellIs" dxfId="86" priority="1" operator="equal">
      <formula>"OVERDUE"</formula>
    </cfRule>
    <cfRule type="cellIs" dxfId="85" priority="2" operator="equal">
      <formula>"DONE"</formula>
    </cfRule>
    <cfRule type="cellIs" dxfId="84" priority="3" operator="equal">
      <formula>"DONE"</formula>
    </cfRule>
  </conditionalFormatting>
  <conditionalFormatting sqref="J2:J3 J31:J1048576">
    <cfRule type="cellIs" dxfId="83" priority="82" operator="equal">
      <formula>"OVERDUE"</formula>
    </cfRule>
    <cfRule type="cellIs" dxfId="82" priority="83" operator="equal">
      <formula>"DONE"</formula>
    </cfRule>
    <cfRule type="cellIs" dxfId="81"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abSelected="1" topLeftCell="C1" workbookViewId="0">
      <pane ySplit="3" topLeftCell="A4" activePane="bottomLeft" state="frozen"/>
      <selection pane="bottomLeft" activeCell="C5" sqref="C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8" t="s">
        <v>512</v>
      </c>
      <c r="B1" s="178"/>
      <c r="C1" s="178"/>
      <c r="D1" s="178"/>
      <c r="E1" s="178"/>
      <c r="F1" s="178"/>
      <c r="G1" s="178"/>
      <c r="H1" s="178"/>
      <c r="I1" s="178"/>
      <c r="J1" s="178"/>
      <c r="K1" s="178"/>
      <c r="L1" s="178"/>
      <c r="M1" s="178"/>
      <c r="N1" s="178"/>
      <c r="O1" s="178"/>
      <c r="P1" s="178"/>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9" t="s">
        <v>1</v>
      </c>
      <c r="B2" s="179"/>
      <c r="C2" s="5">
        <f ca="1">TODAY()</f>
        <v>44102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80"/>
      <c r="R3" s="181"/>
      <c r="S3" s="181"/>
      <c r="T3" s="181"/>
      <c r="U3" s="181"/>
      <c r="V3" s="181"/>
      <c r="W3" s="181"/>
      <c r="X3" s="181"/>
      <c r="Y3" s="181"/>
      <c r="Z3" s="181"/>
      <c r="AA3" s="181"/>
      <c r="AB3" s="181"/>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c r="J4" s="13" t="str">
        <f ca="1">IF(AND(I4&lt;=$C$2,I4&lt;&gt;0),"DONE",IF(K4&lt;0,"OVERDUE",IF(AND(K4="",O4&lt;0),"OVERDUE","IN TIME")))</f>
        <v>OVERDUE</v>
      </c>
      <c r="K4" s="13" t="str">
        <f t="shared" ref="K4:K27" si="0">IF(H4&gt;0,H4-$C$2,"")</f>
        <v/>
      </c>
      <c r="L4" s="13">
        <f t="shared" ref="L4:L27" ca="1" si="1">IF(J4="OVERDUE",1,0)</f>
        <v>1</v>
      </c>
      <c r="M4" s="13">
        <f t="shared" ref="M4:M27" ca="1" si="2">IF(J4="IN TIME",1,0)</f>
        <v>0</v>
      </c>
      <c r="N4" s="13">
        <f t="shared" ref="N4:N27" ca="1" si="3">IF(J4="DONE",1,0)</f>
        <v>0</v>
      </c>
      <c r="O4" s="13">
        <f t="shared" ref="O4:O27" ca="1" si="4">IF(G4&gt;0,G4-$C$2,"")</f>
        <v>-58</v>
      </c>
      <c r="P4" s="20" t="s">
        <v>545</v>
      </c>
      <c r="Q4" s="180"/>
      <c r="R4" s="181"/>
      <c r="S4" s="181"/>
      <c r="T4" s="181"/>
      <c r="U4" s="181"/>
      <c r="V4" s="181"/>
      <c r="W4" s="181"/>
      <c r="X4" s="181"/>
      <c r="Y4" s="181"/>
      <c r="Z4" s="181"/>
      <c r="AA4" s="181"/>
      <c r="AB4" s="181"/>
      <c r="AC4" s="27"/>
      <c r="AD4" s="27"/>
    </row>
    <row r="5" spans="1:246" ht="106.5" customHeight="1" x14ac:dyDescent="0.15">
      <c r="A5" s="10" t="s">
        <v>93</v>
      </c>
      <c r="B5" s="11"/>
      <c r="C5" s="16" t="s">
        <v>502</v>
      </c>
      <c r="D5" s="13" t="s">
        <v>24</v>
      </c>
      <c r="E5" s="13" t="s">
        <v>503</v>
      </c>
      <c r="F5" s="14">
        <v>44011</v>
      </c>
      <c r="G5" s="14">
        <v>44044</v>
      </c>
      <c r="H5" s="14"/>
      <c r="I5" s="14"/>
      <c r="J5" s="13" t="str">
        <f t="shared" ref="J4:J27" ca="1" si="5">IF(AND(I5&lt;=$C$2,I5&lt;&gt;0),"DONE",IF(K5&lt;0,"OVERDUE",IF(AND(K5="",O5&lt;0),"OVERDUE","IN TIME")))</f>
        <v>OVERDUE</v>
      </c>
      <c r="K5" s="13" t="str">
        <f t="shared" si="0"/>
        <v/>
      </c>
      <c r="L5" s="13">
        <f t="shared" ca="1" si="1"/>
        <v>1</v>
      </c>
      <c r="M5" s="13">
        <f t="shared" ca="1" si="2"/>
        <v>0</v>
      </c>
      <c r="N5" s="13">
        <f t="shared" ca="1" si="3"/>
        <v>0</v>
      </c>
      <c r="O5" s="13">
        <f t="shared" ca="1" si="4"/>
        <v>-58</v>
      </c>
      <c r="P5" s="20" t="s">
        <v>529</v>
      </c>
      <c r="Q5" s="180"/>
      <c r="R5" s="181"/>
      <c r="S5" s="181"/>
      <c r="T5" s="181"/>
      <c r="U5" s="181"/>
      <c r="V5" s="181"/>
      <c r="W5" s="181"/>
      <c r="X5" s="181"/>
      <c r="Y5" s="181"/>
      <c r="Z5" s="181"/>
      <c r="AA5" s="181"/>
      <c r="AB5" s="181"/>
      <c r="AC5" s="27"/>
      <c r="AD5" s="27"/>
    </row>
    <row r="6" spans="1:246" ht="24.6" customHeight="1" x14ac:dyDescent="0.15">
      <c r="A6" s="10" t="s">
        <v>97</v>
      </c>
      <c r="B6" s="11"/>
      <c r="C6" s="16" t="s">
        <v>567</v>
      </c>
      <c r="D6" s="13" t="s">
        <v>24</v>
      </c>
      <c r="E6" s="13" t="s">
        <v>365</v>
      </c>
      <c r="F6" s="14"/>
      <c r="G6" s="14"/>
      <c r="H6" s="14"/>
      <c r="I6" s="14"/>
      <c r="J6" s="13" t="str">
        <f t="shared" ca="1" si="5"/>
        <v>IN TIME</v>
      </c>
      <c r="K6" s="13" t="str">
        <f t="shared" si="0"/>
        <v/>
      </c>
      <c r="L6" s="13">
        <f t="shared" ca="1" si="1"/>
        <v>0</v>
      </c>
      <c r="M6" s="13">
        <f t="shared" ca="1" si="2"/>
        <v>1</v>
      </c>
      <c r="N6" s="13">
        <f t="shared" ca="1" si="3"/>
        <v>0</v>
      </c>
      <c r="O6" s="13" t="str">
        <f t="shared" si="4"/>
        <v/>
      </c>
      <c r="P6" s="20"/>
      <c r="Q6" s="180"/>
      <c r="R6" s="181"/>
      <c r="S6" s="181"/>
      <c r="T6" s="181"/>
      <c r="U6" s="181"/>
      <c r="V6" s="181"/>
      <c r="W6" s="181"/>
      <c r="X6" s="181"/>
      <c r="Y6" s="181"/>
      <c r="Z6" s="181"/>
      <c r="AA6" s="181"/>
      <c r="AB6" s="181"/>
      <c r="AC6" s="27"/>
      <c r="AD6" s="27"/>
    </row>
    <row r="7" spans="1:246" ht="24.6" customHeight="1" x14ac:dyDescent="0.15">
      <c r="A7" s="15">
        <v>246</v>
      </c>
      <c r="B7" s="11"/>
      <c r="C7" s="16"/>
      <c r="D7" s="13"/>
      <c r="E7" s="13"/>
      <c r="F7" s="14"/>
      <c r="G7" s="14"/>
      <c r="H7" s="14"/>
      <c r="I7" s="14"/>
      <c r="J7" s="13"/>
      <c r="K7" s="13"/>
      <c r="L7" s="13"/>
      <c r="M7" s="13"/>
      <c r="N7" s="13"/>
      <c r="O7" s="13"/>
      <c r="P7" s="20"/>
      <c r="Q7" s="180"/>
      <c r="R7" s="181"/>
      <c r="S7" s="181"/>
      <c r="T7" s="181"/>
      <c r="U7" s="181"/>
      <c r="V7" s="181"/>
      <c r="W7" s="181"/>
      <c r="X7" s="181"/>
      <c r="Y7" s="181"/>
      <c r="Z7" s="181"/>
      <c r="AA7" s="181"/>
      <c r="AB7" s="181"/>
      <c r="AC7" s="27"/>
      <c r="AD7" s="27"/>
    </row>
    <row r="8" spans="1:246" ht="24.6" customHeight="1" x14ac:dyDescent="0.15">
      <c r="A8" s="15">
        <v>247</v>
      </c>
      <c r="B8" s="11"/>
      <c r="C8" s="16"/>
      <c r="D8" s="13"/>
      <c r="E8" s="13"/>
      <c r="F8" s="14"/>
      <c r="G8" s="14"/>
      <c r="H8" s="14"/>
      <c r="I8" s="14"/>
      <c r="J8" s="13"/>
      <c r="K8" s="13"/>
      <c r="L8" s="13"/>
      <c r="M8" s="13"/>
      <c r="N8" s="13"/>
      <c r="O8" s="13"/>
      <c r="P8" s="20"/>
      <c r="Q8" s="180"/>
      <c r="R8" s="181"/>
      <c r="S8" s="181"/>
      <c r="T8" s="181"/>
      <c r="U8" s="181"/>
      <c r="V8" s="181"/>
      <c r="W8" s="181"/>
      <c r="X8" s="181"/>
      <c r="Y8" s="181"/>
      <c r="Z8" s="181"/>
      <c r="AA8" s="181"/>
      <c r="AB8" s="181"/>
      <c r="AC8" s="27"/>
      <c r="AD8" s="27"/>
    </row>
    <row r="9" spans="1:246" ht="39" customHeight="1" x14ac:dyDescent="0.15">
      <c r="A9" s="15">
        <v>248</v>
      </c>
      <c r="B9" s="11"/>
      <c r="C9" s="12"/>
      <c r="D9" s="13" t="s">
        <v>24</v>
      </c>
      <c r="E9" s="13"/>
      <c r="F9" s="14"/>
      <c r="G9" s="14"/>
      <c r="H9" s="14"/>
      <c r="I9" s="14"/>
      <c r="J9" s="13" t="str">
        <f t="shared" ca="1" si="5"/>
        <v>IN TIME</v>
      </c>
      <c r="K9" s="13" t="str">
        <f t="shared" si="0"/>
        <v/>
      </c>
      <c r="L9" s="13">
        <f t="shared" ca="1" si="1"/>
        <v>0</v>
      </c>
      <c r="M9" s="13">
        <f t="shared" ca="1" si="2"/>
        <v>1</v>
      </c>
      <c r="N9" s="13">
        <f t="shared" ca="1" si="3"/>
        <v>0</v>
      </c>
      <c r="O9" s="13" t="str">
        <f t="shared" si="4"/>
        <v/>
      </c>
      <c r="P9" s="20"/>
      <c r="Q9" s="180"/>
      <c r="R9" s="181"/>
      <c r="S9" s="181"/>
      <c r="T9" s="181"/>
      <c r="U9" s="181"/>
      <c r="V9" s="181"/>
      <c r="W9" s="181"/>
      <c r="X9" s="181"/>
      <c r="Y9" s="181"/>
      <c r="Z9" s="181"/>
      <c r="AA9" s="181"/>
      <c r="AB9" s="181"/>
      <c r="AC9" s="27"/>
      <c r="AD9" s="27"/>
    </row>
    <row r="10" spans="1:246" ht="24.6" customHeight="1" x14ac:dyDescent="0.15">
      <c r="A10" s="15">
        <v>249</v>
      </c>
      <c r="B10" s="13"/>
      <c r="C10" s="12"/>
      <c r="D10" s="13"/>
      <c r="E10" s="13"/>
      <c r="F10" s="14"/>
      <c r="G10" s="14"/>
      <c r="H10" s="14"/>
      <c r="I10" s="14"/>
      <c r="J10" s="13" t="str">
        <f t="shared" ca="1" si="5"/>
        <v>IN TIME</v>
      </c>
      <c r="K10" s="13" t="str">
        <f t="shared" si="0"/>
        <v/>
      </c>
      <c r="L10" s="13">
        <f t="shared" ca="1" si="1"/>
        <v>0</v>
      </c>
      <c r="M10" s="13">
        <f t="shared" ca="1" si="2"/>
        <v>1</v>
      </c>
      <c r="N10" s="13">
        <f t="shared" ca="1" si="3"/>
        <v>0</v>
      </c>
      <c r="O10" s="13" t="str">
        <f t="shared" si="4"/>
        <v/>
      </c>
      <c r="P10" s="20"/>
      <c r="Q10" s="180"/>
      <c r="R10" s="181"/>
      <c r="S10" s="181"/>
      <c r="T10" s="181"/>
      <c r="U10" s="181"/>
      <c r="V10" s="181"/>
      <c r="W10" s="181"/>
      <c r="X10" s="181"/>
      <c r="Y10" s="181"/>
      <c r="Z10" s="181"/>
      <c r="AA10" s="181"/>
      <c r="AB10" s="181"/>
      <c r="AC10" s="27"/>
      <c r="AD10" s="27"/>
    </row>
    <row r="11" spans="1:246" ht="24.6" customHeight="1" x14ac:dyDescent="0.1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180"/>
      <c r="R11" s="181"/>
      <c r="S11" s="181"/>
      <c r="T11" s="181"/>
      <c r="U11" s="181"/>
      <c r="V11" s="181"/>
      <c r="W11" s="181"/>
      <c r="X11" s="181"/>
      <c r="Y11" s="181"/>
      <c r="Z11" s="181"/>
      <c r="AA11" s="181"/>
      <c r="AB11" s="181"/>
      <c r="AC11" s="27"/>
      <c r="AD11" s="27"/>
    </row>
    <row r="12" spans="1:246" ht="24.6" customHeight="1" x14ac:dyDescent="0.1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5">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6">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7">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8">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9">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0">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1">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2">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3">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4">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5">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6">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17">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18">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19">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0">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1">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2">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3">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4">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5">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6">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27">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28: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21</vt:i4>
      </vt:variant>
    </vt:vector>
  </HeadingPairs>
  <TitlesOfParts>
    <vt:vector size="30"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'newbrush studio总任务表'!Display_Week</vt:lpstr>
      <vt:lpstr>Display_Week</vt:lpstr>
      <vt:lpstr>'newbrush SDK详细任务跟进'!EOI</vt:lpstr>
      <vt:lpstr>'newbrush studio详细任务跟进'!EOI</vt:lpstr>
      <vt:lpstr>opengl!EOI</vt:lpstr>
      <vt:lpstr>other!EOI</vt:lpstr>
      <vt:lpstr>倒车轨迹线线OpenGL方案!EOI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2020-09-28T01:53:41Z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