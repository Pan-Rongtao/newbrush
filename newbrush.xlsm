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GitHub\newbrush\"/>
    </mc:Choice>
  </mc:AlternateContent>
  <bookViews>
    <workbookView xWindow="0" yWindow="0" windowWidth="0" windowHeight="17490" firstSheet="3" activeTab="5"/>
  </bookViews>
  <sheets>
    <sheet name="framework" sheetId="5" r:id="rId1"/>
    <sheet name="opengl" sheetId="7" r:id="rId2"/>
    <sheet name="other" sheetId="9" r:id="rId3"/>
    <sheet name="newbrush SDK总任务表" sheetId="10" r:id="rId4"/>
    <sheet name="newbrush studio总任务表" sheetId="15" r:id="rId5"/>
    <sheet name="newbrush SDK详细任务跟进" sheetId="8" r:id="rId6"/>
    <sheet name="newbrush studio详细任务跟进" sheetId="12" r:id="rId7"/>
    <sheet name="项目时间表" sheetId="16" r:id="rId8"/>
  </sheets>
  <externalReferences>
    <externalReference r:id="rId9"/>
  </externalReferences>
  <definedNames>
    <definedName name="_xlnm._FilterDatabase" localSheetId="0" hidden="1">framework!$A$3:$P$18</definedName>
    <definedName name="_xlnm._FilterDatabase" localSheetId="5" hidden="1">'newbrush SDK详细任务跟进'!$A$3:$P$30</definedName>
    <definedName name="_xlnm._FilterDatabase" localSheetId="6" hidden="1">'newbrush studio详细任务跟进'!$A$3:$P$30</definedName>
    <definedName name="_xlnm._FilterDatabase" localSheetId="1" hidden="1">opengl!$A$3:$P$14</definedName>
    <definedName name="_xlnm._FilterDatabase" localSheetId="2" hidden="1">other!$A$3:$P$15</definedName>
    <definedName name="ActualBeyond" localSheetId="6">'newbrush studio详细任务跟进'!PeriodInActual*(#REF!&gt;0)</definedName>
    <definedName name="ActualBeyond" localSheetId="4">'newbrush studio总任务表'!PeriodInActual*(#REF!&gt;0)</definedName>
    <definedName name="ActualBeyond">PeriodInActual*(#REF!&gt;0)</definedName>
    <definedName name="Display_Week" localSheetId="4">'newbrush studio总任务表'!$E$4</definedName>
    <definedName name="Display_Week">'newbrush SDK总任务表'!$E$4</definedName>
    <definedName name="EOI" localSheetId="5">'newbrush SDK详细任务跟进'!$A$32</definedName>
    <definedName name="EOI" localSheetId="6">'newbrush studio详细任务跟进'!$A$31</definedName>
    <definedName name="EOI" localSheetId="1">opengl!$A$15</definedName>
    <definedName name="EOI" localSheetId="2">other!$A$16</definedName>
    <definedName name="EOI">framework!$A$19</definedName>
    <definedName name="EOS" localSheetId="3">#REF!</definedName>
    <definedName name="EOS" localSheetId="6">#REF!</definedName>
    <definedName name="EOS" localSheetId="4">#REF!</definedName>
    <definedName name="EOS">#REF!</definedName>
    <definedName name="EOT" localSheetId="3">#REF!</definedName>
    <definedName name="EOT" localSheetId="6">#REF!</definedName>
    <definedName name="EOT" localSheetId="4">#REF!</definedName>
    <definedName name="EOT">#REF!</definedName>
    <definedName name="PercentComplete" localSheetId="6">'newbrush studio详细任务跟进'!PercentCompleteBeyond*'newbrush studio详细任务跟进'!PeriodInPlan</definedName>
    <definedName name="PercentComplete" localSheetId="4">'newbrush studio总任务表'!PercentCompleteBeyond*'newbrush studio总任务表'!PeriodInPlan</definedName>
    <definedName name="PercentComplete">PercentCompleteBeyond*PeriodInPlan</definedName>
    <definedName name="PercentCompleteBeyond" localSheetId="6">(#REF!=MEDIAN(#REF!,#REF!,#REF!+#REF!)*(#REF!&gt;0))*((#REF!&lt;(INT(#REF!+#REF!*#REF!)))+(#REF!=#REF!))*(#REF!&gt;0)</definedName>
    <definedName name="PercentCompleteBeyond" localSheetId="4">(#REF!=MEDIAN(#REF!,#REF!,#REF!+#REF!)*(#REF!&gt;0))*((#REF!&lt;(INT(#REF!+#REF!*#REF!)))+(#REF!=#REF!))*(#REF!&gt;0)</definedName>
    <definedName name="PercentCompleteBeyond">(#REF!=MEDIAN(#REF!,#REF!,#REF!+#REF!)*(#REF!&gt;0))*((#REF!&lt;(INT(#REF!+#REF!*#REF!)))+(#REF!=#REF!))*(#REF!&gt;0)</definedName>
    <definedName name="period_selected" localSheetId="6">#REF!</definedName>
    <definedName name="period_selected" localSheetId="4">#REF!</definedName>
    <definedName name="period_selected">#REF!</definedName>
    <definedName name="PeriodInActual" localSheetId="6">#REF!=MEDIAN(#REF!,#REF!,#REF!+#REF!-1)</definedName>
    <definedName name="PeriodInActual" localSheetId="4">#REF!=MEDIAN(#REF!,#REF!,#REF!+#REF!-1)</definedName>
    <definedName name="PeriodInActual">#REF!=MEDIAN(#REF!,#REF!,#REF!+#REF!-1)</definedName>
    <definedName name="PeriodInPlan" localSheetId="6">#REF!=MEDIAN(#REF!,#REF!,#REF!+#REF!-1)</definedName>
    <definedName name="PeriodInPlan" localSheetId="4">#REF!=MEDIAN(#REF!,#REF!,#REF!+#REF!-1)</definedName>
    <definedName name="PeriodInPlan">#REF!=MEDIAN(#REF!,#REF!,#REF!+#REF!-1)</definedName>
    <definedName name="_xlnm.Print_Area" localSheetId="7">项目时间表!$A$1:$N$17</definedName>
    <definedName name="_xlnm.Print_Titles" localSheetId="3">'newbrush SDK总任务表'!$4:$6</definedName>
    <definedName name="_xlnm.Print_Titles" localSheetId="4">'newbrush studio总任务表'!$4:$6</definedName>
    <definedName name="Project_Start" localSheetId="4">'newbrush studio总任务表'!$E$3</definedName>
    <definedName name="Project_Start">'newbrush SDK总任务表'!$E$3</definedName>
    <definedName name="ProjectEnd" localSheetId="7">项目时间表!$L$21</definedName>
    <definedName name="ProjectEnd">#REF!</definedName>
    <definedName name="ProjectStart" localSheetId="7">项目时间表!$L$19</definedName>
    <definedName name="ProjectStart">#REF!</definedName>
    <definedName name="task_end" localSheetId="3">'newbrush SDK总任务表'!$F1</definedName>
    <definedName name="task_end" localSheetId="4">'newbrush studio总任务表'!$F1</definedName>
    <definedName name="task_progress" localSheetId="3">'newbrush SDK总任务表'!$D1</definedName>
    <definedName name="task_progress" localSheetId="4">'newbrush studio总任务表'!$D1</definedName>
    <definedName name="task_start" localSheetId="3">'newbrush SDK总任务表'!$E1</definedName>
    <definedName name="task_start" localSheetId="4">'newbrush studio总任务表'!$E1</definedName>
    <definedName name="TitleRegion..BO60" localSheetId="6">#REF!</definedName>
    <definedName name="TitleRegion..BO60" localSheetId="4">#REF!</definedName>
    <definedName name="TitleRegion..BO60">#REF!</definedName>
    <definedName name="计划" localSheetId="6">'newbrush studio详细任务跟进'!PeriodInPlan*(#REF!&gt;0)</definedName>
    <definedName name="计划" localSheetId="4">'newbrush studio总任务表'!PeriodInPlan*(#REF!&gt;0)</definedName>
    <definedName name="计划">PeriodInPlan*(#REF!&gt;0)</definedName>
    <definedName name="今天" localSheetId="3">TODAY()</definedName>
    <definedName name="今天" localSheetId="4">TODAY()</definedName>
    <definedName name="实际值" localSheetId="6">('newbrush studio详细任务跟进'!PeriodInActual*(#REF!&gt;0))*'newbrush studio详细任务跟进'!PeriodInPlan</definedName>
    <definedName name="实际值" localSheetId="4">('newbrush studio总任务表'!PeriodInActual*(#REF!&gt;0))*'newbrush studio总任务表'!PeriodInPlan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K31" i="8" l="1"/>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H10" i="15"/>
  <c r="F10" i="15"/>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O13"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N6" i="15" l="1"/>
  <c r="O5" i="15"/>
  <c r="H93" i="15"/>
  <c r="O5" i="12"/>
  <c r="J5" i="12" s="1"/>
  <c r="O11" i="12"/>
  <c r="J11" i="12" s="1"/>
  <c r="J13" i="12"/>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K17" i="5"/>
  <c r="K16" i="5"/>
  <c r="K15" i="5"/>
  <c r="K14" i="5"/>
  <c r="C2" i="5"/>
  <c r="O17" i="5" s="1"/>
  <c r="O18" i="8" l="1"/>
  <c r="O31" i="8"/>
  <c r="J31" i="8" s="1"/>
  <c r="O30" i="8"/>
  <c r="O29" i="8"/>
  <c r="O28" i="8"/>
  <c r="O27" i="8"/>
  <c r="O26" i="8"/>
  <c r="O25" i="8"/>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30" i="8"/>
  <c r="J28" i="8"/>
  <c r="J26" i="8"/>
  <c r="J22" i="8"/>
  <c r="J14" i="8"/>
  <c r="J10" i="8"/>
  <c r="J6" i="8"/>
  <c r="J16" i="8"/>
  <c r="J29" i="8"/>
  <c r="J13" i="8"/>
  <c r="O9" i="8"/>
  <c r="J9" i="8"/>
  <c r="O5" i="8"/>
  <c r="J5" i="8" s="1"/>
  <c r="J8" i="8"/>
  <c r="J27" i="8"/>
  <c r="J25"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N31" i="8" l="1"/>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<sst xmlns="http://schemas.openxmlformats.org/spreadsheetml/2006/main" count="965" uniqueCount="496">
  <si>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</si>
  <si>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</si>
  <si>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</si>
  <si>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</si>
  <si>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</si>
  <si>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</si>
  <si>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</si>
  <si>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</si>
  <si>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</si>
  <si>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</si>
  <si>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</si>
  <si>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</si>
  <si>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</si>
  <si>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</si>
  <si>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</si>
  <si>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</si>
  <si>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</si>
  <si>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</si>
  <si>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</si>
  <si>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</si>
  <si>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</si>
  <si>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</si>
  <si>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</si>
  <si>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</si>
  <si>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</si>
  <si>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</si>
  <si>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</si>
  <si>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</si>
  <si>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</si>
  <si>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</si>
  <si>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</si>
  <si>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</si>
  <si>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</si>
  <si>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</si>
  <si>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</si>
  <si>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</si>
  <si>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</si>
  <si>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</si>
  <si>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</si>
  <si>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</si>
  <si>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</si>
  <si>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</si>
  <si>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</si>
  <si>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</si>
  <si>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</si>
  <si>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</si>
  <si>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</si>
  <si>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</si>
  <si>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</si>
  <si>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</si>
  <si>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</si>
  <si>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</si>
  <si>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</si>
  <si>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</si>
  <si>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</si>
  <si>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</si>
  <si>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</si>
  <si>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</si>
  <si>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</si>
  <si>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</si>
  <si>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</si>
  <si>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</si>
  <si>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</si>
  <si>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</si>
  <si>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</si>
  <si>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</si>
  <si>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</si>
  <si>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</si>
  <si>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</si>
  <si>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</si>
  <si>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</si>
  <si>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</si>
  <si>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</si>
  <si>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</si>
  <si>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</si>
  <si>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</si>
  <si>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</si>
  <si>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</si>
  <si>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</si>
  <si>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</si>
  <si>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</si>
  <si>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</si>
  <si>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</si>
  <si>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</si>
  <si>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</si>
  <si>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</si>
  <si>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</si>
  <si>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</si>
  <si>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</si>
  <si>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</si>
  <si>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</si>
  <si>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</si>
  <si>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</si>
  <si>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</si>
  <si>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</si>
  <si>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</si>
  <si>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</si>
  <si>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</si>
  <si>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</si>
  <si>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</si>
  <si>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</si>
  <si>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</si>
  <si>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</si>
  <si>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</si>
  <si>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</si>
  <si>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</si>
  <si>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</si>
  <si>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</si>
  <si>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</si>
  <si>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</si>
  <si>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</si>
  <si>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</si>
  <si>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</si>
  <si>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</si>
  <si>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</si>
  <si>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</si>
  <si>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</si>
  <si>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</si>
  <si>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</si>
  <si>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</si>
  <si>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</si>
  <si>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2" type="noConversion"/>
  </si>
  <si>
    <t>状态机StateMachine</t>
    <phoneticPr fontId="32" type="noConversion"/>
  </si>
  <si>
    <t>触发器行为TriggerAction</t>
    <phoneticPr fontId="32" type="noConversion"/>
  </si>
  <si>
    <t>事件触发器EventTrigger</t>
    <phoneticPr fontId="32" type="noConversion"/>
  </si>
  <si>
    <t>多条件数据触发器MultiDataTrigger</t>
    <phoneticPr fontId="32" type="noConversion"/>
  </si>
  <si>
    <t>数据触发器DataTrigger</t>
    <phoneticPr fontId="32" type="noConversion"/>
  </si>
  <si>
    <t>多条件属性触发器MultiTrigger</t>
    <phoneticPr fontId="32" type="noConversion"/>
  </si>
  <si>
    <t>属性触发器Trigger</t>
    <phoneticPr fontId="32" type="noConversion"/>
  </si>
  <si>
    <t>触发器基类TriggerBase</t>
    <phoneticPr fontId="32" type="noConversion"/>
  </si>
  <si>
    <t>事件设置器EventSetter</t>
    <phoneticPr fontId="32" type="noConversion"/>
  </si>
  <si>
    <t>普通设置器Setter</t>
    <phoneticPr fontId="32" type="noConversion"/>
  </si>
  <si>
    <t>设置器基类SetterBase</t>
    <phoneticPr fontId="32" type="noConversion"/>
  </si>
  <si>
    <t>样式Style</t>
    <phoneticPr fontId="32" type="noConversion"/>
  </si>
  <si>
    <t>可视树助手VisualTreeHelper</t>
    <phoneticPr fontId="32" type="noConversion"/>
  </si>
  <si>
    <t>装饰类值边框Border</t>
    <phoneticPr fontId="32" type="noConversion"/>
  </si>
  <si>
    <t>装饰类Decorator基类</t>
    <phoneticPr fontId="32" type="noConversion"/>
  </si>
  <si>
    <t>形状UI元素之椭圆Ellipse</t>
    <phoneticPr fontId="32" type="noConversion"/>
  </si>
  <si>
    <t>形状UI元素之矩形Rectangle</t>
    <phoneticPr fontId="32" type="noConversion"/>
  </si>
  <si>
    <t>形状UI元素之路径Path</t>
    <phoneticPr fontId="32" type="noConversion"/>
  </si>
  <si>
    <t>形状UI元素之多边形Polygen</t>
    <phoneticPr fontId="32" type="noConversion"/>
  </si>
  <si>
    <t>形状UI元素之多段线Polyline</t>
    <phoneticPr fontId="32" type="noConversion"/>
  </si>
  <si>
    <t>形状UI元素之线Line</t>
    <phoneticPr fontId="32" type="noConversion"/>
  </si>
  <si>
    <t>形状类基类Shape</t>
    <phoneticPr fontId="32" type="noConversion"/>
  </si>
  <si>
    <t>富文本框控件RickTextBox</t>
    <phoneticPr fontId="32" type="noConversion"/>
  </si>
  <si>
    <t>文本框控件TextBox</t>
    <phoneticPr fontId="32" type="noConversion"/>
  </si>
  <si>
    <t>文本控件基类TextBoxBase</t>
    <phoneticPr fontId="32" type="noConversion"/>
  </si>
  <si>
    <t>范围控件之拖动条SlideBar</t>
    <phoneticPr fontId="32" type="noConversion"/>
  </si>
  <si>
    <t>范围控件之进度条ProgressBar</t>
    <phoneticPr fontId="32" type="noConversion"/>
  </si>
  <si>
    <t>范围控件之滚动条ScrollBar</t>
    <phoneticPr fontId="32" type="noConversion"/>
  </si>
  <si>
    <t>范围控件基类RangeBase</t>
    <phoneticPr fontId="32" type="noConversion"/>
  </si>
  <si>
    <t>多项控件之菜单Menu</t>
    <phoneticPr fontId="32" type="noConversion"/>
  </si>
  <si>
    <t>多项控件之状态栏StatusBar</t>
    <phoneticPr fontId="32" type="noConversion"/>
  </si>
  <si>
    <t>多项控件之树形视图TreeView</t>
    <phoneticPr fontId="32" type="noConversion"/>
  </si>
  <si>
    <t>多项控件之列表框ListBox</t>
    <phoneticPr fontId="32" type="noConversion"/>
  </si>
  <si>
    <t>多项控件之下拉框ComboBox</t>
    <phoneticPr fontId="32" type="noConversion"/>
  </si>
  <si>
    <t>多项控件基类ItemsControl</t>
    <phoneticPr fontId="32" type="noConversion"/>
  </si>
  <si>
    <t>标题内容控件之Tab项TabItem</t>
    <phoneticPr fontId="32" type="noConversion"/>
  </si>
  <si>
    <t>标题内容控件之拓展器Expander</t>
    <phoneticPr fontId="32" type="noConversion"/>
  </si>
  <si>
    <t>标题内容控件之分组框GroupBox</t>
    <phoneticPr fontId="32" type="noConversion"/>
  </si>
  <si>
    <t>内容控件之带标题控件HeaderedContentControl</t>
    <phoneticPr fontId="32" type="noConversion"/>
  </si>
  <si>
    <t>内容控件之列表框项ListBoxItem</t>
    <phoneticPr fontId="32" type="noConversion"/>
  </si>
  <si>
    <t>内容控件之下拉框项ComboBoxItem</t>
    <phoneticPr fontId="32" type="noConversion"/>
  </si>
  <si>
    <t>内容控件之提示栏ToolTip</t>
    <phoneticPr fontId="32" type="noConversion"/>
  </si>
  <si>
    <t>内容控件之内容滚动控件ScrollViewer</t>
    <phoneticPr fontId="32" type="noConversion"/>
  </si>
  <si>
    <t>内容控件之复选框CheckBox</t>
    <phoneticPr fontId="32" type="noConversion"/>
  </si>
  <si>
    <t>内容控件之单选框RadioBox</t>
    <phoneticPr fontId="32" type="noConversion"/>
  </si>
  <si>
    <t>内容控件之开关按钮ToggleButton</t>
    <phoneticPr fontId="32" type="noConversion"/>
  </si>
  <si>
    <t>内容控件之重复按钮RepeatButton</t>
    <phoneticPr fontId="32" type="noConversion"/>
  </si>
  <si>
    <t>内容控件之普通按钮Button</t>
    <phoneticPr fontId="32" type="noConversion"/>
  </si>
  <si>
    <t>内容控件之按钮基类ButtonBase</t>
    <phoneticPr fontId="32" type="noConversion"/>
  </si>
  <si>
    <t>内容控件之标签控件Label</t>
    <phoneticPr fontId="32" type="noConversion"/>
  </si>
  <si>
    <t>内容控件基类ContentControl</t>
    <phoneticPr fontId="32" type="noConversion"/>
  </si>
  <si>
    <t>控件基类Control</t>
    <phoneticPr fontId="32" type="noConversion"/>
  </si>
  <si>
    <t>容器之均匀网格UniformGrid</t>
    <phoneticPr fontId="32" type="noConversion"/>
  </si>
  <si>
    <t>容器之网格Grid</t>
    <phoneticPr fontId="32" type="noConversion"/>
  </si>
  <si>
    <t>容器之栈容器StackPanel</t>
    <phoneticPr fontId="32" type="noConversion"/>
  </si>
  <si>
    <t>容器之自动换行/列容器WrapPanel</t>
    <phoneticPr fontId="32" type="noConversion"/>
  </si>
  <si>
    <t>容器之停靠容器DockPanel</t>
    <phoneticPr fontId="32" type="noConversion"/>
  </si>
  <si>
    <t>容器之画板Cavas</t>
    <phoneticPr fontId="32" type="noConversion"/>
  </si>
  <si>
    <t>容器类型基类Panel</t>
    <phoneticPr fontId="32" type="noConversion"/>
  </si>
  <si>
    <t>潘荣涛</t>
    <phoneticPr fontId="32" type="noConversion"/>
  </si>
  <si>
    <t>UI元素基类UIElement</t>
    <phoneticPr fontId="32" type="noConversion"/>
  </si>
  <si>
    <t>窗口Window</t>
    <phoneticPr fontId="32" type="noConversion"/>
  </si>
  <si>
    <t>应用程序Application</t>
    <phoneticPr fontId="32" type="noConversion"/>
  </si>
  <si>
    <t>GUI高级用户接口</t>
    <phoneticPr fontId="32" type="noConversion"/>
  </si>
  <si>
    <t>示例阶段标题块</t>
  </si>
  <si>
    <t>粒子系统之粒子系统管理ParticleSystem</t>
    <phoneticPr fontId="32" type="noConversion"/>
  </si>
  <si>
    <t>粒子系统之粒子效果器Affector</t>
    <phoneticPr fontId="32" type="noConversion"/>
  </si>
  <si>
    <t>粒子系统之粒子发射器Emitter</t>
    <phoneticPr fontId="32" type="noConversion"/>
  </si>
  <si>
    <t>粒子系统之粒子Particle</t>
    <phoneticPr fontId="32" type="noConversion"/>
  </si>
  <si>
    <t>VAO顶点数组缓存技术VAO</t>
    <phoneticPr fontId="32" type="noConversion"/>
  </si>
  <si>
    <t>VBO顶点缓存VBO</t>
    <phoneticPr fontId="32" type="noConversion"/>
  </si>
  <si>
    <t>字形工厂（字形缓存）GlyphFactory</t>
    <phoneticPr fontId="32" type="noConversion"/>
  </si>
  <si>
    <t>材质Material</t>
    <phoneticPr fontId="32" type="noConversion"/>
  </si>
  <si>
    <t>研究第三方库Clipper用作不规则形状的顶点获取</t>
    <phoneticPr fontId="32" type="noConversion"/>
  </si>
  <si>
    <t>多级纹理TextureMipmap</t>
    <phoneticPr fontId="32" type="noConversion"/>
  </si>
  <si>
    <t>立方体纹理TextureCubmap</t>
    <phoneticPr fontId="32" type="noConversion"/>
  </si>
  <si>
    <t>2D纹理Texture2D</t>
    <phoneticPr fontId="32" type="noConversion"/>
  </si>
  <si>
    <t>纹理基类Texture</t>
    <phoneticPr fontId="32" type="noConversion"/>
  </si>
  <si>
    <t>苏志飞</t>
    <phoneticPr fontId="32" type="noConversion"/>
  </si>
  <si>
    <t>渲染物：从外部模型加载（依赖于assimp）</t>
    <phoneticPr fontId="32" type="noConversion"/>
  </si>
  <si>
    <t>渲染物RenderObject</t>
    <phoneticPr fontId="32" type="noConversion"/>
  </si>
  <si>
    <t>投射Projection</t>
    <phoneticPr fontId="32" type="noConversion"/>
  </si>
  <si>
    <t>摄像头Camera</t>
    <phoneticPr fontId="32" type="noConversion"/>
  </si>
  <si>
    <t>未有实际应用</t>
    <phoneticPr fontId="32" type="noConversion"/>
  </si>
  <si>
    <t>GLSL程序实体之立方体程序</t>
    <phoneticPr fontId="32" type="noConversion"/>
  </si>
  <si>
    <t>多光源未做考虑</t>
    <phoneticPr fontId="32" type="noConversion"/>
  </si>
  <si>
    <t>GLSL程序实体之光照程序</t>
    <phoneticPr fontId="32" type="noConversion"/>
  </si>
  <si>
    <t>GLSL程序实体之图片程序</t>
    <phoneticPr fontId="32" type="noConversion"/>
  </si>
  <si>
    <t>GLSL程序实体之渐变程序</t>
    <phoneticPr fontId="32" type="noConversion"/>
  </si>
  <si>
    <t>GLSL程序实体之图元程序</t>
    <phoneticPr fontId="32" type="noConversion"/>
  </si>
  <si>
    <t>GLSL程序Program</t>
    <phoneticPr fontId="32" type="noConversion"/>
  </si>
  <si>
    <t>片段着色器FragmentShader</t>
    <phoneticPr fontId="32" type="noConversion"/>
  </si>
  <si>
    <t>顶点着色器VertexShader</t>
    <phoneticPr fontId="32" type="noConversion"/>
  </si>
  <si>
    <t>着色器基类Shader</t>
    <phoneticPr fontId="32" type="noConversion"/>
  </si>
  <si>
    <t>Opengl 渲染实现</t>
    <phoneticPr fontId="32" type="noConversion"/>
  </si>
  <si>
    <t>矩阵组TransformGroup</t>
    <phoneticPr fontId="32" type="noConversion"/>
  </si>
  <si>
    <t>旋转矩阵RotateTransform</t>
    <phoneticPr fontId="32" type="noConversion"/>
  </si>
  <si>
    <t>伸缩矩阵ScaleTransform</t>
    <phoneticPr fontId="32" type="noConversion"/>
  </si>
  <si>
    <t>平移矩阵TranslateTransform</t>
    <phoneticPr fontId="32" type="noConversion"/>
  </si>
  <si>
    <t>矩阵Transform</t>
    <phoneticPr fontId="32" type="noConversion"/>
  </si>
  <si>
    <t>字体相关信息目前应用较少，
仅研究了可生产Bitmap的基础api</t>
    <phoneticPr fontId="32" type="noConversion"/>
  </si>
  <si>
    <t>字形信息GlyphMetrics</t>
    <phoneticPr fontId="32" type="noConversion"/>
  </si>
  <si>
    <t>潘荣涛</t>
    <phoneticPr fontId="32" type="noConversion"/>
  </si>
  <si>
    <t>字体（依赖于FreeType）</t>
    <phoneticPr fontId="32" type="noConversion"/>
  </si>
  <si>
    <t>故事板动画Storyboard</t>
  </si>
  <si>
    <t>点路径动画-PointAnimationUsingPath</t>
    <phoneticPr fontId="32" type="noConversion"/>
  </si>
  <si>
    <t>矩阵路径动画-MatrixAnimationUsingPath</t>
    <phoneticPr fontId="32" type="noConversion"/>
  </si>
  <si>
    <t>浮点路径动画-DoubleAnimationUsingPath</t>
    <phoneticPr fontId="32" type="noConversion"/>
  </si>
  <si>
    <t>浮点路径动画-FloatAnimationUsingPath</t>
    <phoneticPr fontId="32" type="noConversion"/>
  </si>
  <si>
    <t>字符串关键帧动画-StringAnimationUsingKeyFrames</t>
    <phoneticPr fontId="32" type="noConversion"/>
  </si>
  <si>
    <t>颜色关键帧动画-ColorAnimationUsingKeyFrames</t>
    <phoneticPr fontId="32" type="noConversion"/>
  </si>
  <si>
    <t>厚度关键帧动画-ThicknessAnimationUsingKeyFrames</t>
    <phoneticPr fontId="32" type="noConversion"/>
  </si>
  <si>
    <t>矩形关键帧动画-RectAnimationUsingKeyFrames</t>
    <phoneticPr fontId="32" type="noConversion"/>
  </si>
  <si>
    <t>尺寸关键帧动画-SizeAnimationUsingKeyFrames</t>
    <phoneticPr fontId="32" type="noConversion"/>
  </si>
  <si>
    <t>点关键帧动画-PointAnimationUsingKeyFrames</t>
    <phoneticPr fontId="32" type="noConversion"/>
  </si>
  <si>
    <t>浮点关键帧动画-DoubleAnimationUsingKeyFrames</t>
    <phoneticPr fontId="32" type="noConversion"/>
  </si>
  <si>
    <t>浮点关键帧动画-FloatAnimationUsingKeyFrames</t>
    <phoneticPr fontId="32" type="noConversion"/>
  </si>
  <si>
    <t>整型关键帧动画-Int64AnimationUsingKeyFrames</t>
    <phoneticPr fontId="32" type="noConversion"/>
  </si>
  <si>
    <t>整型关键帧动画-Int32AnimationUsingKeyFrames</t>
    <phoneticPr fontId="32" type="noConversion"/>
  </si>
  <si>
    <t>整型关键帧动画-Int16AnimationUsingKeyFrames</t>
    <phoneticPr fontId="32" type="noConversion"/>
  </si>
  <si>
    <t>整型关键帧动画-Int8AnimationUsingKeyFrames</t>
    <phoneticPr fontId="32" type="noConversion"/>
  </si>
  <si>
    <t>布尔关键帧动画-BoolAnimationUsingKeyFrames</t>
    <phoneticPr fontId="32" type="noConversion"/>
  </si>
  <si>
    <t>关键帧动画KeyFrame</t>
    <phoneticPr fontId="32" type="noConversion"/>
  </si>
  <si>
    <t>颜色属性动画-ColorAnimation</t>
    <phoneticPr fontId="32" type="noConversion"/>
  </si>
  <si>
    <t>厚度属性动画-ThicknessAnimation</t>
    <phoneticPr fontId="32" type="noConversion"/>
  </si>
  <si>
    <t>矩形属性动画-RectAnimation</t>
    <phoneticPr fontId="32" type="noConversion"/>
  </si>
  <si>
    <t>尺寸属性动画-SizeAnimation</t>
    <phoneticPr fontId="32" type="noConversion"/>
  </si>
  <si>
    <t>点属性动画-PointAnimation</t>
    <phoneticPr fontId="32" type="noConversion"/>
  </si>
  <si>
    <t>浮点属性动画-FloatAnimation</t>
    <phoneticPr fontId="32" type="noConversion"/>
  </si>
  <si>
    <t>整型属性动画-Int64Animation</t>
    <phoneticPr fontId="32" type="noConversion"/>
  </si>
  <si>
    <t>整型属性动画-Int32Animation</t>
    <phoneticPr fontId="32" type="noConversion"/>
  </si>
  <si>
    <t>整型属性动画-Int16Animation</t>
    <phoneticPr fontId="32" type="noConversion"/>
  </si>
  <si>
    <t>整型属性动画-Int8Animation</t>
    <phoneticPr fontId="32" type="noConversion"/>
  </si>
  <si>
    <t>属性动画基类AnimationTimeline</t>
    <phoneticPr fontId="32" type="noConversion"/>
  </si>
  <si>
    <t>后期可能需要把变量改成依赖属性，
根据后续Studio或应用的感受后决定</t>
    <phoneticPr fontId="32" type="noConversion"/>
  </si>
  <si>
    <t>时间线Timeline</t>
    <phoneticPr fontId="32" type="noConversion"/>
  </si>
  <si>
    <t>遗留部分参数未调试，但不是必要的。
比如弹簧函数的弹跳次数</t>
    <phoneticPr fontId="32" type="noConversion"/>
  </si>
  <si>
    <t>缓动函数Easing，可让动画呈现各种缓动效果</t>
    <phoneticPr fontId="32" type="noConversion"/>
  </si>
  <si>
    <t>图片画刷ImageBrush</t>
    <phoneticPr fontId="32" type="noConversion"/>
  </si>
  <si>
    <t>后续优化不适用依赖属性，且可能不保留BM为变量</t>
    <phoneticPr fontId="32" type="noConversion"/>
  </si>
  <si>
    <t>图片源ImageSource</t>
    <phoneticPr fontId="32" type="noConversion"/>
  </si>
  <si>
    <t>辐射渐变画刷RadialGradientBrush</t>
    <phoneticPr fontId="32" type="noConversion"/>
  </si>
  <si>
    <t>需要shader的参数配合，
但目前找了资料不太好实现</t>
    <phoneticPr fontId="32" type="noConversion"/>
  </si>
  <si>
    <t>线性渐变画刷LinearGradientBrush</t>
    <phoneticPr fontId="32" type="noConversion"/>
  </si>
  <si>
    <t>颜色画刷SolidColorBrush</t>
    <phoneticPr fontId="32" type="noConversion"/>
  </si>
  <si>
    <t>opacity属性和Transform属性都未调试
但目前不影响主线</t>
    <phoneticPr fontId="32" type="noConversion"/>
  </si>
  <si>
    <t>画刷基类Brush</t>
    <phoneticPr fontId="32" type="noConversion"/>
  </si>
  <si>
    <t>厚度Thickness</t>
    <phoneticPr fontId="32" type="noConversion"/>
  </si>
  <si>
    <t>基于stb_image目前发现某些格式兼容性不好，考虑是否替换成SOLID方案</t>
    <phoneticPr fontId="32" type="noConversion"/>
  </si>
  <si>
    <t>位图Bitmap（基于stb_image）</t>
    <phoneticPr fontId="32" type="noConversion"/>
  </si>
  <si>
    <t>完成度很高，不影响主线</t>
    <phoneticPr fontId="32" type="noConversion"/>
  </si>
  <si>
    <t>颜色Color</t>
    <phoneticPr fontId="32" type="noConversion"/>
  </si>
  <si>
    <t>媒体相关</t>
    <phoneticPr fontId="32"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</si>
  <si>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</si>
  <si>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2" type="noConversion"/>
  </si>
  <si>
    <t>绑定管理BindingMaster</t>
    <phoneticPr fontId="32" type="noConversion"/>
  </si>
  <si>
    <t>还不确定多数据绑定是否要做</t>
    <phoneticPr fontId="32" type="noConversion"/>
  </si>
  <si>
    <t xml:space="preserve">多绑定MultiBinding </t>
    <phoneticPr fontId="32" type="noConversion"/>
  </si>
  <si>
    <t>未考虑属性绑定属性的情况，
双向绑定情况等</t>
    <phoneticPr fontId="32" type="noConversion"/>
  </si>
  <si>
    <t>绑定Bingding</t>
    <phoneticPr fontId="32" type="noConversion"/>
  </si>
  <si>
    <t>可能遗留部分bug</t>
    <phoneticPr fontId="32" type="noConversion"/>
  </si>
  <si>
    <t>数据上下文DataContent</t>
    <phoneticPr fontId="32" type="noConversion"/>
  </si>
  <si>
    <t>不影响主线较高完成度</t>
    <phoneticPr fontId="32" type="noConversion"/>
  </si>
  <si>
    <t>资源字典ResourceDictionary</t>
    <phoneticPr fontId="32" type="noConversion"/>
  </si>
  <si>
    <t>目前仅支持输出到标准输出设备，后续做Studio后，需要考虑重定向输出到工具窗口</t>
    <phoneticPr fontId="32" type="noConversion"/>
  </si>
  <si>
    <t>潘荣涛</t>
    <phoneticPr fontId="40" type="noConversion"/>
  </si>
  <si>
    <t>日志Log</t>
    <phoneticPr fontId="32" type="noConversion"/>
  </si>
  <si>
    <t>字符串整数RandomS</t>
    <phoneticPr fontId="32" type="noConversion"/>
  </si>
  <si>
    <t>浮点数随机器RandomF</t>
    <phoneticPr fontId="32" type="noConversion"/>
  </si>
  <si>
    <t>整数随机器Random</t>
    <phoneticPr fontId="32" type="noConversion"/>
  </si>
  <si>
    <t>未考虑属性值的多种情况，比如动画设置的值，模板设置的值，样式设置的值等优先级区分。后续跟进</t>
    <phoneticPr fontId="32" type="noConversion"/>
  </si>
  <si>
    <t>依赖属性值容器EffectiveValueEntry</t>
    <phoneticPr fontId="32" type="noConversion"/>
  </si>
  <si>
    <t>依赖属性DependencyProperty</t>
    <phoneticPr fontId="32" type="noConversion"/>
  </si>
  <si>
    <t>不影响主线</t>
    <phoneticPr fontId="32" type="noConversion"/>
  </si>
  <si>
    <t>依赖属性DependencyObject</t>
    <phoneticPr fontId="32" type="noConversion"/>
  </si>
  <si>
    <t>按需添加，不影响主线</t>
    <phoneticPr fontId="32" type="noConversion"/>
  </si>
  <si>
    <t>事件参数EventArgs，包含常用的类型如键盘鼠标触摸事件等</t>
    <phoneticPr fontId="32" type="noConversion"/>
  </si>
  <si>
    <t>路由事件贯穿真个框架的使用，
目前仅限于单元测试，未有很多的实际使用</t>
    <phoneticPr fontId="32" type="noConversion"/>
  </si>
  <si>
    <t>路由事件RoutedEvent</t>
    <phoneticPr fontId="32" type="noConversion"/>
  </si>
  <si>
    <t>不影响主线的部分瑕疵，
后续可能优化为不使用模板</t>
    <phoneticPr fontId="32" type="noConversion"/>
  </si>
  <si>
    <t>普通事件Event</t>
    <phoneticPr fontId="32" type="noConversion"/>
  </si>
  <si>
    <t>矩形Rect</t>
    <phoneticPr fontId="32" type="noConversion"/>
  </si>
  <si>
    <t>尺寸Size</t>
    <phoneticPr fontId="32" type="noConversion"/>
  </si>
  <si>
    <t>点Point</t>
    <phoneticPr fontId="32" type="noConversion"/>
  </si>
  <si>
    <t>时间片段TimeSpan</t>
    <phoneticPr fontId="32" type="noConversion"/>
  </si>
  <si>
    <t>剩下时区相关支持，
不影响主线</t>
    <phoneticPr fontId="32" type="noConversion"/>
  </si>
  <si>
    <t>时间日期DateTime</t>
    <phoneticPr fontId="32" type="noConversion"/>
  </si>
  <si>
    <t>定时器Timer</t>
    <phoneticPr fontId="32" type="noConversion"/>
  </si>
  <si>
    <t>单例数据结构Singleton</t>
    <phoneticPr fontId="32"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</si>
  <si>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</si>
  <si>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2" type="noConversion"/>
  </si>
  <si>
    <t>根据后续需要逐步添加某些全局方法</t>
    <phoneticPr fontId="32" type="noConversion"/>
  </si>
  <si>
    <t>全局宏、函数与方法Def</t>
    <phoneticPr fontId="32"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</si>
  <si>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</si>
  <si>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0"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</si>
  <si>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</si>
  <si>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</si>
  <si>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2"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</si>
  <si>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</si>
  <si>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</si>
  <si>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</si>
  <si>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</si>
  <si>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</si>
  <si>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</si>
  <si>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</si>
  <si>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</si>
  <si>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</si>
  <si>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</si>
  <si>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</si>
  <si>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2" type="noConversion"/>
  </si>
  <si>
    <t>在单元格 B3 中输入项目主管的姓名。在单元格 E3 中输入项目开始日期。项目开始：标签位于单元格 C3 中。</t>
  </si>
  <si>
    <t>https://www.vertex42.com/ExcelTemplates/simple-gantt-chart.html</t>
  </si>
  <si>
    <t>德赛西威</t>
    <phoneticPr fontId="32" type="noConversion"/>
  </si>
  <si>
    <t>在单元格 B2 中输入公司名称。</t>
  </si>
  <si>
    <t>Vertex42.com 提供的简单甘特图</t>
  </si>
  <si>
    <t>Newbrush SDK 项目任务管理</t>
    <phoneticPr fontId="32"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</si>
  <si>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</si>
  <si>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2" type="noConversion"/>
  </si>
  <si>
    <t>未处理调试多光源</t>
    <phoneticPr fontId="32" type="noConversion"/>
  </si>
  <si>
    <t>后续调整是否保留BM变量</t>
    <phoneticPr fontId="32" type="noConversion"/>
  </si>
  <si>
    <t>多级纹理不一定需要，看后续需求</t>
    <phoneticPr fontId="32" type="noConversion"/>
  </si>
  <si>
    <t>仅写了代码，体系未建立</t>
    <phoneticPr fontId="32" type="noConversion"/>
  </si>
  <si>
    <t>属于优化内容，后期做</t>
    <phoneticPr fontId="32" type="noConversion"/>
  </si>
  <si>
    <t>不同的字库不同的缓存问题。仍有大量问题需要考虑</t>
    <phoneticPr fontId="32" type="noConversion"/>
  </si>
  <si>
    <t>未处理多窗口的焦点管理等问题</t>
    <phoneticPr fontId="32" type="noConversion"/>
  </si>
  <si>
    <t>遗留焦点问题，滚轮事件，键盘事件等</t>
    <phoneticPr fontId="32" type="noConversion"/>
  </si>
  <si>
    <t>路由事件未调试节点树</t>
    <phoneticPr fontId="32" type="noConversion"/>
  </si>
  <si>
    <t>后续调整附件属性的方式</t>
    <phoneticPr fontId="32" type="noConversion"/>
  </si>
  <si>
    <t>一些参数边界为做判定</t>
    <phoneticPr fontId="32" type="noConversion"/>
  </si>
  <si>
    <t>大多属性并非做处理</t>
    <phoneticPr fontId="32" type="noConversion"/>
  </si>
  <si>
    <t>图片UI元素Image</t>
    <phoneticPr fontId="32" type="noConversion"/>
  </si>
  <si>
    <t>密码框控件PasswordBox</t>
    <phoneticPr fontId="32" type="noConversion"/>
  </si>
  <si>
    <t>文本块UI元素TextBlock</t>
    <phoneticPr fontId="32" type="noConversion"/>
  </si>
  <si>
    <t>很多属性未考虑，仅显示一行文本</t>
    <phoneticPr fontId="32" type="noConversion"/>
  </si>
  <si>
    <t>在Canvas和非Canvas上坐标点不一样</t>
    <phoneticPr fontId="32" type="noConversion"/>
  </si>
  <si>
    <t>控件模板ControlTemplate</t>
    <phoneticPr fontId="32" type="noConversion"/>
  </si>
  <si>
    <t>&lt;newbrush sdk&gt; Action Item List</t>
    <phoneticPr fontId="32" type="noConversion"/>
  </si>
  <si>
    <t>&lt;newbrush studio&gt; Action Item List</t>
    <phoneticPr fontId="32" type="noConversion"/>
  </si>
  <si>
    <t>Pan Rongtao</t>
    <phoneticPr fontId="32" type="noConversion"/>
  </si>
  <si>
    <t>本表仅记录任务的进度，方便全局的观察整个进度。任务细节请查看【详细任务跟进】</t>
    <phoneticPr fontId="32"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</si>
  <si>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</si>
  <si>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2" type="noConversion"/>
  </si>
  <si>
    <r>
      <t>2020-3-9</t>
    </r>
    <r>
      <rPr>
        <sz val="10"/>
        <rFont val="宋体"/>
        <family val="3"/>
        <charset val="134"/>
      </rPr>
      <t>：第一个版本完成，后续更多控件使用样式后进行进一步调试</t>
    </r>
    <phoneticPr fontId="32"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</si>
  <si>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2"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</si>
  <si>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2" type="noConversion"/>
  </si>
  <si>
    <t>Su Zhifei</t>
    <phoneticPr fontId="32" type="noConversion"/>
  </si>
  <si>
    <t>【模型】</t>
    <phoneticPr fontId="32" type="noConversion"/>
  </si>
  <si>
    <t>将模型嵌入到当前框架中</t>
    <phoneticPr fontId="32" type="noConversion"/>
  </si>
  <si>
    <t>Su Zhifei</t>
    <phoneticPr fontId="32" type="noConversion"/>
  </si>
  <si>
    <t>Su Zhifei</t>
    <phoneticPr fontId="32" type="noConversion"/>
  </si>
  <si>
    <t>【矩阵变换】</t>
    <phoneticPr fontId="32" type="noConversion"/>
  </si>
  <si>
    <r>
      <t>Bitmap</t>
    </r>
    <r>
      <rPr>
        <sz val="11"/>
        <color theme="1"/>
        <rFont val="宋体"/>
        <family val="3"/>
        <charset val="134"/>
      </rPr>
      <t>替换原来的stb_image方案为SIOL</t>
    </r>
    <phoneticPr fontId="32" type="noConversion"/>
  </si>
  <si>
    <t>【Bitmap图片加载解析】</t>
    <phoneticPr fontId="32" type="noConversion"/>
  </si>
  <si>
    <t>Su Zhifei</t>
    <phoneticPr fontId="32" type="noConversion"/>
  </si>
  <si>
    <t>Suz Zhifei</t>
    <phoneticPr fontId="32" type="noConversion"/>
  </si>
  <si>
    <t>256</t>
    <phoneticPr fontId="32" type="noConversion"/>
  </si>
  <si>
    <t>【控件|Button】</t>
    <phoneticPr fontId="32" type="noConversion"/>
  </si>
  <si>
    <t>Pan Rongtao</t>
    <phoneticPr fontId="32" type="noConversion"/>
  </si>
  <si>
    <t>【控件|RepeatButton】</t>
    <phoneticPr fontId="32"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</si>
  <si>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2"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</si>
  <si>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2" type="noConversion"/>
  </si>
  <si>
    <t>【控件|Image】</t>
    <phoneticPr fontId="32" type="noConversion"/>
  </si>
  <si>
    <t>实现图片类Image</t>
    <phoneticPr fontId="32" type="noConversion"/>
  </si>
  <si>
    <t>【控件|Slider】</t>
    <phoneticPr fontId="32" type="noConversion"/>
  </si>
  <si>
    <r>
      <rPr>
        <sz val="11"/>
        <color theme="1"/>
        <rFont val="宋体"/>
        <family val="3"/>
        <charset val="134"/>
      </rPr>
      <t>实现</t>
    </r>
    <r>
      <rPr>
        <sz val="11"/>
        <color theme="1"/>
        <rFont val="Arial"/>
        <family val="2"/>
      </rPr>
      <t>Slider</t>
    </r>
    <phoneticPr fontId="32" type="noConversion"/>
  </si>
  <si>
    <t>Pan Rongtao</t>
    <phoneticPr fontId="32" type="noConversion"/>
  </si>
  <si>
    <r>
      <t>2020-3-9</t>
    </r>
    <r>
      <rPr>
        <sz val="10"/>
        <rFont val="宋体"/>
        <family val="3"/>
        <charset val="134"/>
      </rPr>
      <t>：使用catch2完善原来的测试案例
2020-3-23：已处理了单元测试用例，还需要统计覆盖率输出</t>
    </r>
    <phoneticPr fontId="32"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</si>
  <si>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2"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</si>
  <si>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</si>
  <si>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2" type="noConversion"/>
  </si>
  <si>
    <t>实现Transform、ScaleTransform、RotationTransform、TranslateTransform、TransformGroup</t>
    <phoneticPr fontId="32"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</si>
  <si>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2"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</si>
  <si>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</si>
  <si>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</si>
  <si>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2" type="noConversion"/>
  </si>
  <si>
    <r>
      <t>2020-3-9</t>
    </r>
    <r>
      <rPr>
        <sz val="10"/>
        <rFont val="宋体"/>
        <family val="3"/>
        <charset val="134"/>
      </rPr>
      <t xml:space="preserve">：本周开始
</t>
    </r>
    <r>
      <rPr>
        <sz val="10"/>
        <rFont val="Arial"/>
        <family val="2"/>
      </rPr>
      <t>2020-4-3</t>
    </r>
    <r>
      <rPr>
        <sz val="10"/>
        <rFont val="宋体"/>
        <family val="3"/>
        <charset val="134"/>
      </rPr>
      <t>：下周开始</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</si>
  <si>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2" type="noConversion"/>
  </si>
  <si>
    <t>主菜单栏设计与命令，要求实现完整的菜单外观，在每个菜单项执行log操作输出</t>
    <phoneticPr fontId="32" type="noConversion"/>
  </si>
  <si>
    <t>Su Zhifei</t>
    <phoneticPr fontId="32" type="noConversion"/>
  </si>
  <si>
    <t>底部状态栏的设计与外观实现</t>
    <phoneticPr fontId="32" type="noConversion"/>
  </si>
  <si>
    <t>Su Zhifei</t>
    <phoneticPr fontId="32" type="noConversion"/>
  </si>
  <si>
    <t>起始页</t>
    <phoneticPr fontId="32" type="noConversion"/>
  </si>
  <si>
    <t>Su Zhifei</t>
    <phoneticPr fontId="32" type="noConversion"/>
  </si>
  <si>
    <t>启动开机界面</t>
    <phoneticPr fontId="32" type="noConversion"/>
  </si>
  <si>
    <t>设计主窗口布局，包括菜单栏区域，节点树区域，nbPlayer区域</t>
    <phoneticPr fontId="32"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</si>
  <si>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2" type="noConversion"/>
  </si>
  <si>
    <r>
      <t>2020-4-7</t>
    </r>
    <r>
      <rPr>
        <sz val="10"/>
        <rFont val="宋体"/>
        <family val="3"/>
        <charset val="134"/>
      </rPr>
      <t>：本周开始</t>
    </r>
    <phoneticPr fontId="32" type="noConversion"/>
  </si>
  <si>
    <t>提供给studio读取控件属性的能力和接口</t>
    <phoneticPr fontId="32"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</si>
  <si>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2" type="noConversion"/>
  </si>
  <si>
    <t>苏志飞</t>
    <phoneticPr fontId="40" type="noConversion"/>
  </si>
  <si>
    <t>苏志飞</t>
    <phoneticPr fontId="40" type="noConversion"/>
  </si>
  <si>
    <t>开机启动界面</t>
    <phoneticPr fontId="32" type="noConversion"/>
  </si>
  <si>
    <t>初始界面（打开项目、新建项目、example等）</t>
    <phoneticPr fontId="32" type="noConversion"/>
  </si>
  <si>
    <t>新建项目界面</t>
    <phoneticPr fontId="32" type="noConversion"/>
  </si>
  <si>
    <t>打开项目界面</t>
    <phoneticPr fontId="32" type="noConversion"/>
  </si>
  <si>
    <t>文档加载与显示</t>
    <phoneticPr fontId="32" type="noConversion"/>
  </si>
  <si>
    <t>开机、项目与状态</t>
    <phoneticPr fontId="40" type="noConversion"/>
  </si>
  <si>
    <t>项目另存为</t>
    <phoneticPr fontId="32" type="noConversion"/>
  </si>
  <si>
    <t>项目设置/状态的保存与设置</t>
    <phoneticPr fontId="32" type="noConversion"/>
  </si>
  <si>
    <t>菜单、工作区、状态栏</t>
    <phoneticPr fontId="32" type="noConversion"/>
  </si>
  <si>
    <t>主菜单</t>
    <phoneticPr fontId="32" type="noConversion"/>
  </si>
  <si>
    <t>状态栏</t>
    <phoneticPr fontId="32" type="noConversion"/>
  </si>
  <si>
    <t>苏志飞</t>
    <phoneticPr fontId="32" type="noConversion"/>
  </si>
  <si>
    <t>可视化节点树界面</t>
  </si>
  <si>
    <t>工作区的整体布局（窗口可内嵌、浮动、伸缩、添加、删除）</t>
    <phoneticPr fontId="32" type="noConversion"/>
  </si>
  <si>
    <t>属性展示与编辑窗口</t>
    <phoneticPr fontId="32" type="noConversion"/>
  </si>
  <si>
    <t>预览渲染窗口</t>
    <phoneticPr fontId="32" type="noConversion"/>
  </si>
  <si>
    <t>潘荣涛</t>
    <phoneticPr fontId="32" type="noConversion"/>
  </si>
  <si>
    <t>输出窗口</t>
    <phoneticPr fontId="32" type="noConversion"/>
  </si>
  <si>
    <t>Resource字典窗口</t>
    <phoneticPr fontId="32" type="noConversion"/>
  </si>
  <si>
    <t>动画编辑窗口</t>
    <phoneticPr fontId="32" type="noConversion"/>
  </si>
  <si>
    <t>动画列表窗口</t>
    <phoneticPr fontId="32" type="noConversion"/>
  </si>
  <si>
    <t>模板窗口</t>
    <phoneticPr fontId="32" type="noConversion"/>
  </si>
  <si>
    <t>资源字典窗口</t>
    <phoneticPr fontId="32" type="noConversion"/>
  </si>
  <si>
    <t>资产窗口（整合各窗口）</t>
    <phoneticPr fontId="32" type="noConversion"/>
  </si>
  <si>
    <t>样式窗口</t>
    <phoneticPr fontId="32" type="noConversion"/>
  </si>
  <si>
    <t>纹理和材质窗口</t>
    <phoneticPr fontId="32" type="noConversion"/>
  </si>
  <si>
    <t>媒体文件窗口</t>
    <phoneticPr fontId="32" type="noConversion"/>
  </si>
  <si>
    <t>状态机窗口</t>
    <phoneticPr fontId="32" type="noConversion"/>
  </si>
  <si>
    <t>数据上下文窗口</t>
    <phoneticPr fontId="32" type="noConversion"/>
  </si>
  <si>
    <t>Newbrush Studio 项目任务管理</t>
    <phoneticPr fontId="32" type="noConversion"/>
  </si>
  <si>
    <t>数据与后台</t>
    <phoneticPr fontId="32" type="noConversion"/>
  </si>
  <si>
    <t>控件元素管理</t>
    <phoneticPr fontId="32" type="noConversion"/>
  </si>
  <si>
    <t>可视化节点树数据</t>
    <phoneticPr fontId="32" type="noConversion"/>
  </si>
  <si>
    <t>模板数据管理</t>
    <phoneticPr fontId="32" type="noConversion"/>
  </si>
  <si>
    <t>属性数据</t>
    <phoneticPr fontId="32" type="noConversion"/>
  </si>
  <si>
    <t>资源字典数据</t>
    <phoneticPr fontId="32" type="noConversion"/>
  </si>
  <si>
    <t>样式管理</t>
    <phoneticPr fontId="32" type="noConversion"/>
  </si>
  <si>
    <t>媒体数据管理-字体</t>
    <phoneticPr fontId="32" type="noConversion"/>
  </si>
  <si>
    <t>媒体数据管理-图片</t>
    <phoneticPr fontId="32" type="noConversion"/>
  </si>
  <si>
    <t>媒体数据管理-音频</t>
    <phoneticPr fontId="32" type="noConversion"/>
  </si>
  <si>
    <t>媒体数据管理-视频</t>
    <phoneticPr fontId="32" type="noConversion"/>
  </si>
  <si>
    <t>媒体数据管理-3D模型</t>
    <phoneticPr fontId="32" type="noConversion"/>
  </si>
  <si>
    <t>动画管理</t>
    <phoneticPr fontId="32" type="noConversion"/>
  </si>
  <si>
    <t>比较基准</t>
    <phoneticPr fontId="32" type="noConversion"/>
  </si>
  <si>
    <t>位置</t>
  </si>
  <si>
    <t>项目详细信息</t>
  </si>
  <si>
    <t>时间表</t>
  </si>
  <si>
    <t xml:space="preserve"> 您的项目</t>
  </si>
  <si>
    <t>媒体相关：动画，画刷达60%成熟度</t>
    <phoneticPr fontId="32" type="noConversion"/>
  </si>
  <si>
    <t>高级用户接口GUI准备好基础类型搭建</t>
    <phoneticPr fontId="32" type="noConversion"/>
  </si>
  <si>
    <t>控件成熟度50%
&gt;常用控件
&gt;模板应用</t>
    <phoneticPr fontId="32" type="noConversion"/>
  </si>
  <si>
    <t>与Studio通信的基础RPC框架可用</t>
    <phoneticPr fontId="32" type="noConversion"/>
  </si>
  <si>
    <t>常用控件成熟度60%，Studio完成基本静态布局</t>
    <phoneticPr fontId="32" type="noConversion"/>
  </si>
  <si>
    <t>SDK启动</t>
    <phoneticPr fontId="32" type="noConversion"/>
  </si>
  <si>
    <t>SDK基础数据结构达到60%成熟度</t>
    <phoneticPr fontId="32" type="noConversion"/>
  </si>
  <si>
    <t>SDK成熟度80%</t>
    <phoneticPr fontId="32" type="noConversion"/>
  </si>
  <si>
    <t>nbb工程文件关联</t>
    <phoneticPr fontId="32" type="noConversion"/>
  </si>
  <si>
    <t>Studio可进行较为完整的工程设计，成熟度50%</t>
    <phoneticPr fontId="32" type="noConversion"/>
  </si>
  <si>
    <t>OpenGL渲染基础达成
成熟度50%</t>
    <phoneticPr fontId="32" type="noConversion"/>
  </si>
  <si>
    <t>Studio项目启动</t>
    <phoneticPr fontId="32" type="noConversion"/>
  </si>
  <si>
    <t>2021-2-30</t>
    <phoneticPr fontId="32" type="noConversion"/>
  </si>
  <si>
    <t>第二次优化</t>
    <phoneticPr fontId="32" type="noConversion"/>
  </si>
  <si>
    <t>多国语言与本地化</t>
    <phoneticPr fontId="32" type="noConversion"/>
  </si>
  <si>
    <t>多主题支持</t>
    <phoneticPr fontId="32" type="noConversion"/>
  </si>
  <si>
    <t>插件机制基本完善</t>
    <phoneticPr fontId="32" type="noConversion"/>
  </si>
  <si>
    <t>第一次SDK优化</t>
    <phoneticPr fontId="32" type="noConversion"/>
  </si>
  <si>
    <t>第二个demo项目</t>
    <phoneticPr fontId="32" type="noConversion"/>
  </si>
  <si>
    <t>第一个ADAS或ID项目demo</t>
    <phoneticPr fontId="32" type="noConversion"/>
  </si>
  <si>
    <t>提升SDK成熟度，
进行结构整合与调整</t>
    <phoneticPr fontId="32" type="noConversion"/>
  </si>
  <si>
    <t>Studio成熟度70%，
包含导出，资源加载部分
序列化</t>
    <phoneticPr fontId="32" type="noConversion"/>
  </si>
  <si>
    <t>Su Zhifei</t>
    <phoneticPr fontId="32" type="noConversion"/>
  </si>
  <si>
    <t>光照和材质</t>
    <phoneticPr fontId="32" type="noConversion"/>
  </si>
  <si>
    <t>研究光照模型，包括多光源等。
实现多种材质叠加的混合效果（比如颜色和纹理）</t>
    <phoneticPr fontId="32" type="noConversion"/>
  </si>
  <si>
    <t>高级光照</t>
    <phoneticPr fontId="32" type="noConversion"/>
  </si>
  <si>
    <t>阴影、法线贴图、UV坐标等</t>
    <phoneticPr fontId="32" type="noConversion"/>
  </si>
  <si>
    <t>模型动画</t>
    <phoneticPr fontId="32" type="noConversion"/>
  </si>
  <si>
    <t>研究模型的动画原理并code实现</t>
    <phoneticPr fontId="32" type="noConversion"/>
  </si>
  <si>
    <t>Pan Rongtao</t>
    <phoneticPr fontId="32" type="noConversion"/>
  </si>
  <si>
    <t>接口定义</t>
    <phoneticPr fontId="32" type="noConversion"/>
  </si>
  <si>
    <t>根据交互需求，定义接口，以头文件和库的形式对外输出</t>
    <phoneticPr fontId="32" type="noConversion"/>
  </si>
  <si>
    <t>研究模型交互需求，为接口定义做准备</t>
    <phoneticPr fontId="32" type="noConversion"/>
  </si>
  <si>
    <t>模型交互需求</t>
    <phoneticPr fontId="32" type="noConversion"/>
  </si>
  <si>
    <t>263</t>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</si>
</sst>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59" x14ac:knownFonts="1">
    <font>
      <sz val="11"/>
      <color theme="1"/>
      <name val="宋体"/>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1" fillId="0" borderId="0" applyNumberFormat="0" applyFill="0" applyBorder="0" applyAlignment="0" applyProtection="0"/>
    <xf numFmtId="176" fontId="21" fillId="0" borderId="0"/>
    <xf numFmtId="176" fontId="21" fillId="0" borderId="0"/>
    <xf numFmtId="176" fontId="21" fillId="0" borderId="0"/>
    <xf numFmtId="176" fontId="20" fillId="0" borderId="0"/>
    <xf numFmtId="176" fontId="21" fillId="0" borderId="0"/>
    <xf numFmtId="176" fontId="21" fillId="0" borderId="0"/>
    <xf numFmtId="176" fontId="29" fillId="0" borderId="0">
      <alignment vertical="center"/>
    </xf>
    <xf numFmtId="176" fontId="21" fillId="0" borderId="0"/>
    <xf numFmtId="0" fontId="31" fillId="0" borderId="0"/>
    <xf numFmtId="0" fontId="33" fillId="0" borderId="0"/>
    <xf numFmtId="0" fontId="34" fillId="0" borderId="0" applyNumberFormat="0" applyFill="0" applyBorder="0" applyAlignment="0" applyProtection="0">
      <alignment vertical="top"/>
      <protection locked="0"/>
    </xf>
    <xf numFmtId="9" fontId="31" fillId="0" borderId="0" applyFont="0" applyFill="0" applyBorder="0" applyAlignment="0" applyProtection="0"/>
    <xf numFmtId="178" fontId="31" fillId="0" borderId="7" applyFill="0">
      <alignment horizontal="center" vertical="center"/>
    </xf>
    <xf numFmtId="0" fontId="31" fillId="0" borderId="7" applyFill="0">
      <alignment horizontal="center" vertical="center"/>
    </xf>
    <xf numFmtId="0" fontId="31" fillId="0" borderId="7" applyFill="0">
      <alignment horizontal="left" vertical="center" indent="2"/>
    </xf>
    <xf numFmtId="0" fontId="39" fillId="8" borderId="5" applyNumberFormat="0" applyAlignment="0" applyProtection="0">
      <alignment vertical="center"/>
    </xf>
    <xf numFmtId="0" fontId="31" fillId="0" borderId="0" applyNumberFormat="0" applyFill="0" applyProtection="0">
      <alignment horizontal="right" indent="1"/>
    </xf>
    <xf numFmtId="180" fontId="31" fillId="0" borderId="15">
      <alignment horizontal="center" vertical="center"/>
    </xf>
    <xf numFmtId="0" fontId="44" fillId="0" borderId="0" applyNumberFormat="0" applyFill="0" applyProtection="0">
      <alignment vertical="top"/>
    </xf>
    <xf numFmtId="0" fontId="44" fillId="0" borderId="0" applyNumberFormat="0" applyFill="0" applyAlignment="0" applyProtection="0"/>
    <xf numFmtId="0" fontId="47" fillId="0" borderId="0" applyNumberFormat="0" applyFill="0" applyBorder="0" applyAlignment="0" applyProtection="0"/>
    <xf numFmtId="14" fontId="31" fillId="0" borderId="0" applyFont="0" applyFill="0" applyBorder="0">
      <alignment horizontal="center" vertical="center" wrapText="1"/>
    </xf>
    <xf numFmtId="3" fontId="31" fillId="0" borderId="0" applyFont="0" applyFill="0" applyBorder="0" applyProtection="0">
      <alignment horizontal="center" vertical="center"/>
    </xf>
    <xf numFmtId="0" fontId="49" fillId="0" borderId="0" applyNumberFormat="0" applyFill="0" applyProtection="0">
      <alignment vertical="top"/>
    </xf>
    <xf numFmtId="0" fontId="50" fillId="16" borderId="0">
      <alignment wrapText="1"/>
    </xf>
    <xf numFmtId="0" fontId="51" fillId="17" borderId="0" applyNumberFormat="0" applyProtection="0">
      <alignment horizontal="right" vertical="top" indent="1"/>
    </xf>
    <xf numFmtId="0" fontId="52" fillId="18" borderId="0">
      <alignment vertical="center"/>
    </xf>
    <xf numFmtId="0" fontId="53" fillId="19" borderId="0" applyNumberFormat="0" applyBorder="0" applyAlignment="0" applyProtection="0"/>
    <xf numFmtId="0" fontId="54" fillId="19" borderId="0" applyNumberFormat="0" applyBorder="0" applyAlignment="0" applyProtection="0"/>
    <xf numFmtId="0" fontId="55" fillId="19" borderId="0" applyNumberFormat="0" applyBorder="0" applyAlignment="0" applyProtection="0"/>
  </cellStyleXfs>
  <cellXfs count="160">
    <xf numFmtId="176" fontId="0" fillId="0" borderId="0" xfId="0">
      <alignment vertical="center"/>
    </xf>
    <xf numFmtId="176" fontId="1" fillId="0" borderId="0" xfId="0" applyNumberFormat="1" applyFont="1" applyAlignment="1">
      <alignment vertical="center" wrapText="1"/>
    </xf>
    <xf numFmtId="176" fontId="1" fillId="0" borderId="0" xfId="0" applyNumberFormat="1" applyFont="1" applyAlignment="1">
      <alignment horizontal="center" vertical="center" wrapText="1"/>
    </xf>
    <xf numFmtId="176" fontId="1" fillId="0" borderId="1" xfId="0" applyNumberFormat="1" applyFont="1" applyBorder="1">
      <alignment vertical="center"/>
    </xf>
    <xf numFmtId="176" fontId="1" fillId="0" borderId="0" xfId="0" applyNumberFormat="1" applyFont="1">
      <alignment vertical="center"/>
    </xf>
    <xf numFmtId="176" fontId="3" fillId="0" borderId="0" xfId="6" applyNumberFormat="1" applyFont="1" applyFill="1" applyBorder="1" applyAlignment="1">
      <alignment horizontal="left" vertical="center" wrapText="1"/>
    </xf>
    <xf numFmtId="176" fontId="4" fillId="0" borderId="0" xfId="6" applyNumberFormat="1" applyFont="1" applyFill="1" applyBorder="1" applyAlignment="1" applyProtection="1">
      <alignment horizontal="left" vertical="center"/>
    </xf>
    <xf numFmtId="176" fontId="3" fillId="0" borderId="0" xfId="6" applyNumberFormat="1" applyFont="1" applyFill="1" applyBorder="1" applyAlignment="1">
      <alignment horizontal="center" wrapText="1"/>
    </xf>
    <xf numFmtId="176" fontId="5" fillId="0" borderId="0" xfId="6" applyNumberFormat="1" applyFont="1" applyFill="1" applyBorder="1" applyAlignment="1">
      <alignment horizontal="center" wrapText="1"/>
    </xf>
    <xf numFmtId="176" fontId="3" fillId="2" borderId="1" xfId="6" applyNumberFormat="1" applyFont="1" applyFill="1" applyBorder="1" applyAlignment="1">
      <alignment horizontal="center" vertical="center" wrapText="1"/>
    </xf>
    <xf numFmtId="176" fontId="6" fillId="0" borderId="0" xfId="0" applyFont="1" applyAlignment="1">
      <alignment horizontal="center" vertical="center"/>
    </xf>
    <xf numFmtId="176" fontId="7" fillId="0" borderId="1" xfId="6" applyNumberFormat="1" applyFont="1" applyFill="1" applyBorder="1" applyAlignment="1">
      <alignment horizontal="center" vertical="center" wrapText="1"/>
    </xf>
    <xf numFmtId="176" fontId="1" fillId="0" borderId="1" xfId="0" applyNumberFormat="1" applyFont="1" applyBorder="1" applyAlignment="1">
      <alignment vertical="center" wrapText="1"/>
    </xf>
    <xf numFmtId="176" fontId="5" fillId="0" borderId="1" xfId="6" applyNumberFormat="1" applyFont="1" applyFill="1" applyBorder="1" applyAlignment="1">
      <alignment horizontal="center" vertical="center" wrapText="1"/>
    </xf>
    <xf numFmtId="176" fontId="5" fillId="0" borderId="1" xfId="6" applyNumberFormat="1" applyFont="1" applyFill="1" applyBorder="1" applyAlignment="1" applyProtection="1">
      <alignment horizontal="center" vertical="center" wrapText="1"/>
    </xf>
    <xf numFmtId="49" fontId="5" fillId="0" borderId="1" xfId="6" applyNumberFormat="1" applyFont="1" applyFill="1" applyBorder="1" applyAlignment="1">
      <alignment horizontal="center" vertical="center" wrapText="1"/>
    </xf>
    <xf numFmtId="176" fontId="8" fillId="0" borderId="1" xfId="0" applyNumberFormat="1" applyFont="1" applyBorder="1" applyAlignment="1">
      <alignment vertical="center" wrapText="1"/>
    </xf>
    <xf numFmtId="176" fontId="5" fillId="0" borderId="0" xfId="6" applyNumberFormat="1" applyFont="1" applyBorder="1" applyAlignment="1">
      <alignment horizontal="center" wrapText="1"/>
    </xf>
    <xf numFmtId="176" fontId="5" fillId="0" borderId="0" xfId="6" applyNumberFormat="1" applyFont="1" applyBorder="1" applyAlignment="1">
      <alignment horizontal="left" wrapText="1"/>
    </xf>
    <xf numFmtId="176" fontId="3" fillId="2" borderId="2" xfId="6" applyNumberFormat="1" applyFont="1" applyFill="1" applyBorder="1" applyAlignment="1">
      <alignment horizontal="center" vertical="center" wrapText="1"/>
    </xf>
    <xf numFmtId="176" fontId="5" fillId="0" borderId="1" xfId="6" applyNumberFormat="1" applyFont="1" applyFill="1" applyBorder="1" applyAlignment="1">
      <alignment horizontal="left" vertical="center" wrapText="1"/>
    </xf>
    <xf numFmtId="176" fontId="9" fillId="0" borderId="1" xfId="6" applyNumberFormat="1" applyFont="1" applyBorder="1" applyAlignment="1">
      <alignment vertical="center"/>
    </xf>
    <xf numFmtId="176" fontId="9" fillId="0" borderId="0" xfId="6" applyNumberFormat="1" applyFont="1" applyAlignment="1">
      <alignment vertical="center"/>
    </xf>
    <xf numFmtId="176" fontId="5" fillId="0" borderId="1" xfId="6" applyNumberFormat="1" applyFont="1" applyBorder="1"/>
    <xf numFmtId="176" fontId="5" fillId="0" borderId="0" xfId="6" applyNumberFormat="1" applyFont="1" applyBorder="1"/>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5" fillId="0" borderId="0" xfId="6" applyNumberFormat="1" applyFont="1" applyFill="1" applyBorder="1" applyAlignment="1">
      <alignment vertical="center"/>
    </xf>
    <xf numFmtId="176" fontId="10" fillId="0" borderId="4" xfId="0" applyFont="1" applyBorder="1" applyAlignment="1">
      <alignment vertical="center" wrapText="1"/>
    </xf>
    <xf numFmtId="176" fontId="11" fillId="0" borderId="4" xfId="0" applyFont="1" applyBorder="1" applyAlignment="1">
      <alignment horizontal="center" vertical="center" wrapText="1"/>
    </xf>
    <xf numFmtId="176" fontId="12" fillId="0" borderId="4" xfId="0" applyFont="1" applyBorder="1" applyAlignment="1">
      <alignment horizontal="center" vertical="center" wrapText="1"/>
    </xf>
    <xf numFmtId="176" fontId="12" fillId="0" borderId="4" xfId="0" applyNumberFormat="1" applyFont="1" applyBorder="1" applyAlignment="1">
      <alignment horizontal="center" vertical="center" wrapText="1"/>
    </xf>
    <xf numFmtId="49" fontId="13" fillId="0" borderId="1" xfId="6" applyNumberFormat="1" applyFont="1" applyFill="1" applyBorder="1" applyAlignment="1">
      <alignment horizontal="center" vertical="center" wrapText="1"/>
    </xf>
    <xf numFmtId="49" fontId="14" fillId="0" borderId="4" xfId="0" applyNumberFormat="1" applyFont="1" applyBorder="1" applyAlignment="1">
      <alignment vertical="center" wrapText="1"/>
    </xf>
    <xf numFmtId="49" fontId="15" fillId="0" borderId="4" xfId="0" applyNumberFormat="1" applyFont="1" applyBorder="1" applyAlignment="1">
      <alignment horizontal="center" vertical="center" wrapText="1"/>
    </xf>
    <xf numFmtId="49" fontId="16" fillId="0" borderId="4" xfId="0" applyNumberFormat="1" applyFont="1" applyBorder="1" applyAlignment="1">
      <alignment horizontal="center" vertical="center" wrapText="1"/>
    </xf>
    <xf numFmtId="49" fontId="13" fillId="0" borderId="1" xfId="6" applyNumberFormat="1" applyFont="1" applyFill="1" applyBorder="1" applyAlignment="1">
      <alignment horizontal="left" vertical="center" wrapText="1"/>
    </xf>
    <xf numFmtId="176" fontId="5" fillId="0" borderId="1" xfId="6" applyNumberFormat="1" applyFont="1" applyBorder="1" applyAlignment="1">
      <alignment horizontal="center" vertical="center"/>
    </xf>
    <xf numFmtId="176" fontId="17" fillId="0" borderId="0" xfId="0" applyFont="1">
      <alignment vertical="center"/>
    </xf>
    <xf numFmtId="176" fontId="18" fillId="0" borderId="0" xfId="0" applyFont="1">
      <alignment vertical="center"/>
    </xf>
    <xf numFmtId="176" fontId="19" fillId="0" borderId="4" xfId="0" applyFont="1" applyBorder="1" applyAlignment="1">
      <alignment vertical="center" wrapText="1"/>
    </xf>
    <xf numFmtId="176" fontId="12" fillId="0" borderId="4" xfId="0" applyFont="1" applyBorder="1" applyAlignment="1">
      <alignment horizontal="left" vertical="center" wrapText="1"/>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0" fontId="31" fillId="0" borderId="0" xfId="10" applyFont="1"/>
    <xf numFmtId="0" fontId="31" fillId="0" borderId="0" xfId="10" applyFont="1" applyAlignment="1">
      <alignment horizontal="center"/>
    </xf>
    <xf numFmtId="0" fontId="33" fillId="0" borderId="0" xfId="11"/>
    <xf numFmtId="0" fontId="35" fillId="0" borderId="0" xfId="12" applyFont="1" applyAlignment="1" applyProtection="1"/>
    <xf numFmtId="0" fontId="33" fillId="0" borderId="0" xfId="10" applyFont="1" applyAlignment="1">
      <alignment horizontal="center"/>
    </xf>
    <xf numFmtId="0" fontId="36" fillId="0" borderId="0" xfId="10" applyFont="1"/>
    <xf numFmtId="0" fontId="31" fillId="0" borderId="0" xfId="10" applyFont="1" applyAlignment="1">
      <alignment horizontal="right" vertical="center"/>
    </xf>
    <xf numFmtId="0" fontId="31" fillId="0" borderId="0" xfId="10" applyFont="1" applyAlignment="1">
      <alignment vertical="center"/>
    </xf>
    <xf numFmtId="0" fontId="31" fillId="7" borderId="6" xfId="10" applyFont="1" applyFill="1" applyBorder="1" applyAlignment="1">
      <alignment vertical="center"/>
    </xf>
    <xf numFmtId="0" fontId="37" fillId="7" borderId="7" xfId="10" applyFont="1" applyFill="1" applyBorder="1" applyAlignment="1">
      <alignment horizontal="center" vertical="center"/>
    </xf>
    <xf numFmtId="177" fontId="37" fillId="7" borderId="7" xfId="10" applyNumberFormat="1" applyFont="1" applyFill="1" applyBorder="1" applyAlignment="1">
      <alignment horizontal="center" vertical="center"/>
    </xf>
    <xf numFmtId="177" fontId="35" fillId="7" borderId="7" xfId="10" applyNumberFormat="1" applyFont="1" applyFill="1" applyBorder="1" applyAlignment="1">
      <alignment horizontal="left" vertical="center"/>
    </xf>
    <xf numFmtId="9" fontId="37" fillId="7" borderId="7" xfId="13" applyFont="1" applyFill="1" applyBorder="1" applyAlignment="1">
      <alignment horizontal="center" vertical="center"/>
    </xf>
    <xf numFmtId="0" fontId="38" fillId="7" borderId="7" xfId="10" applyFont="1" applyFill="1" applyBorder="1" applyAlignment="1">
      <alignment horizontal="center" vertical="center"/>
    </xf>
    <xf numFmtId="0" fontId="38" fillId="7" borderId="7" xfId="10" applyFont="1" applyFill="1" applyBorder="1" applyAlignment="1">
      <alignment horizontal="left" vertical="center" indent="1"/>
    </xf>
    <xf numFmtId="0" fontId="33" fillId="0" borderId="0" xfId="11" applyAlignment="1">
      <alignment wrapText="1"/>
    </xf>
    <xf numFmtId="0" fontId="31" fillId="0" borderId="6" xfId="10" applyFont="1" applyBorder="1" applyAlignment="1">
      <alignment vertical="center"/>
    </xf>
    <xf numFmtId="0" fontId="37" fillId="0" borderId="7" xfId="10" applyFont="1" applyBorder="1" applyAlignment="1">
      <alignment horizontal="center" vertical="center"/>
    </xf>
    <xf numFmtId="178" fontId="31" fillId="0" borderId="7" xfId="14">
      <alignment horizontal="center" vertical="center"/>
    </xf>
    <xf numFmtId="9" fontId="37" fillId="0" borderId="7" xfId="13" applyFont="1" applyBorder="1" applyAlignment="1">
      <alignment horizontal="center" vertical="center"/>
    </xf>
    <xf numFmtId="0" fontId="31" fillId="0" borderId="7" xfId="15">
      <alignment horizontal="center" vertical="center"/>
    </xf>
    <xf numFmtId="0" fontId="31" fillId="0" borderId="7" xfId="16">
      <alignment horizontal="left" vertical="center" indent="2"/>
    </xf>
    <xf numFmtId="0" fontId="39" fillId="8" borderId="5" xfId="17" applyAlignment="1">
      <alignment horizontal="center" vertical="center"/>
    </xf>
    <xf numFmtId="178" fontId="31" fillId="9" borderId="7" xfId="14" applyFill="1">
      <alignment horizontal="center" vertical="center"/>
    </xf>
    <xf numFmtId="9" fontId="37" fillId="9" borderId="7" xfId="13" applyFont="1" applyFill="1" applyBorder="1" applyAlignment="1">
      <alignment horizontal="center" vertical="center"/>
    </xf>
    <xf numFmtId="0" fontId="31" fillId="9" borderId="7" xfId="15" applyFill="1">
      <alignment horizontal="center" vertical="center"/>
    </xf>
    <xf numFmtId="0" fontId="31" fillId="9" borderId="7" xfId="16" applyFill="1">
      <alignment horizontal="left" vertical="center" indent="2"/>
    </xf>
    <xf numFmtId="178" fontId="0" fillId="9" borderId="7" xfId="14" applyFont="1" applyFill="1">
      <alignment horizontal="center" vertical="center"/>
    </xf>
    <xf numFmtId="178" fontId="37" fillId="6" borderId="7" xfId="10" applyNumberFormat="1" applyFont="1" applyFill="1" applyBorder="1" applyAlignment="1">
      <alignment horizontal="center" vertical="center"/>
    </xf>
    <xf numFmtId="178" fontId="31" fillId="6" borderId="7" xfId="10" applyNumberFormat="1" applyFont="1" applyFill="1" applyBorder="1" applyAlignment="1">
      <alignment horizontal="center" vertical="center"/>
    </xf>
    <xf numFmtId="9" fontId="37" fillId="6" borderId="7" xfId="13" applyFont="1" applyFill="1" applyBorder="1" applyAlignment="1">
      <alignment horizontal="center" vertical="center"/>
    </xf>
    <xf numFmtId="0" fontId="31" fillId="6" borderId="7" xfId="15" applyFill="1">
      <alignment horizontal="center" vertical="center"/>
    </xf>
    <xf numFmtId="0" fontId="41" fillId="6" borderId="7" xfId="10" applyFont="1" applyFill="1" applyBorder="1" applyAlignment="1">
      <alignment horizontal="left" vertical="center" indent="1"/>
    </xf>
    <xf numFmtId="178" fontId="31" fillId="10" borderId="7" xfId="14" applyFill="1">
      <alignment horizontal="center" vertical="center"/>
    </xf>
    <xf numFmtId="9" fontId="37" fillId="10" borderId="7" xfId="13" applyFont="1" applyFill="1" applyBorder="1" applyAlignment="1">
      <alignment horizontal="center" vertical="center"/>
    </xf>
    <xf numFmtId="0" fontId="31" fillId="10" borderId="7" xfId="15" applyFill="1">
      <alignment horizontal="center" vertical="center"/>
    </xf>
    <xf numFmtId="0" fontId="31" fillId="10" borderId="7" xfId="16" applyFill="1">
      <alignment horizontal="left" vertical="center" indent="2"/>
    </xf>
    <xf numFmtId="178" fontId="37" fillId="4" borderId="7" xfId="10" applyNumberFormat="1" applyFont="1" applyFill="1" applyBorder="1" applyAlignment="1">
      <alignment horizontal="center" vertical="center"/>
    </xf>
    <xf numFmtId="178" fontId="31" fillId="4" borderId="7" xfId="10" applyNumberFormat="1" applyFont="1" applyFill="1" applyBorder="1" applyAlignment="1">
      <alignment horizontal="center" vertical="center"/>
    </xf>
    <xf numFmtId="9" fontId="37" fillId="4" borderId="7" xfId="13" applyFont="1" applyFill="1" applyBorder="1" applyAlignment="1">
      <alignment horizontal="center" vertical="center"/>
    </xf>
    <xf numFmtId="0" fontId="31" fillId="4" borderId="7" xfId="15" applyFill="1">
      <alignment horizontal="center" vertical="center"/>
    </xf>
    <xf numFmtId="0" fontId="41" fillId="4" borderId="7" xfId="10" applyFont="1" applyFill="1" applyBorder="1" applyAlignment="1">
      <alignment horizontal="left" vertical="center" indent="1"/>
    </xf>
    <xf numFmtId="178" fontId="31" fillId="11" borderId="7" xfId="14" applyFill="1">
      <alignment horizontal="center" vertical="center"/>
    </xf>
    <xf numFmtId="9" fontId="37" fillId="11" borderId="7" xfId="13" applyFont="1" applyFill="1" applyBorder="1" applyAlignment="1">
      <alignment horizontal="center" vertical="center"/>
    </xf>
    <xf numFmtId="0" fontId="31" fillId="11" borderId="7" xfId="16" applyFill="1">
      <alignment horizontal="left" vertical="center" indent="2"/>
    </xf>
    <xf numFmtId="0" fontId="39" fillId="8" borderId="5" xfId="17" applyAlignment="1">
      <alignment horizontal="center" vertical="center" wrapText="1"/>
    </xf>
    <xf numFmtId="0" fontId="31" fillId="0" borderId="6" xfId="10" applyFont="1" applyBorder="1" applyAlignment="1">
      <alignment horizontal="right" vertical="center"/>
    </xf>
    <xf numFmtId="178" fontId="37" fillId="3" borderId="7" xfId="10" applyNumberFormat="1" applyFont="1" applyFill="1" applyBorder="1" applyAlignment="1">
      <alignment horizontal="center" vertical="center"/>
    </xf>
    <xf numFmtId="178" fontId="31" fillId="3" borderId="7" xfId="10" applyNumberFormat="1" applyFont="1" applyFill="1" applyBorder="1" applyAlignment="1">
      <alignment horizontal="center" vertical="center"/>
    </xf>
    <xf numFmtId="9" fontId="37" fillId="3" borderId="7" xfId="13" applyFont="1" applyFill="1" applyBorder="1" applyAlignment="1">
      <alignment horizontal="center" vertical="center"/>
    </xf>
    <xf numFmtId="0" fontId="31" fillId="3" borderId="7" xfId="15" applyFill="1">
      <alignment horizontal="center" vertical="center"/>
    </xf>
    <xf numFmtId="0" fontId="41" fillId="3" borderId="7" xfId="10" applyFont="1" applyFill="1" applyBorder="1" applyAlignment="1">
      <alignment horizontal="left" vertical="center" indent="1"/>
    </xf>
    <xf numFmtId="178" fontId="31" fillId="12" borderId="7" xfId="14" applyFill="1">
      <alignment horizontal="center" vertical="center"/>
    </xf>
    <xf numFmtId="9" fontId="37" fillId="12" borderId="7" xfId="13" applyFont="1" applyFill="1" applyBorder="1" applyAlignment="1">
      <alignment horizontal="center" vertical="center"/>
    </xf>
    <xf numFmtId="0" fontId="31" fillId="12" borderId="7" xfId="15" applyFill="1">
      <alignment horizontal="center" vertical="center"/>
    </xf>
    <xf numFmtId="0" fontId="31" fillId="12" borderId="7" xfId="16" applyFill="1">
      <alignment horizontal="left" vertical="center" indent="2"/>
    </xf>
    <xf numFmtId="178" fontId="37" fillId="5" borderId="7" xfId="10" applyNumberFormat="1" applyFont="1" applyFill="1" applyBorder="1" applyAlignment="1">
      <alignment horizontal="center" vertical="center"/>
    </xf>
    <xf numFmtId="178" fontId="31" fillId="5" borderId="7" xfId="10" applyNumberFormat="1" applyFont="1" applyFill="1" applyBorder="1" applyAlignment="1">
      <alignment horizontal="center" vertical="center"/>
    </xf>
    <xf numFmtId="9" fontId="37" fillId="5" borderId="7" xfId="13" applyFont="1" applyFill="1" applyBorder="1" applyAlignment="1">
      <alignment horizontal="center" vertical="center"/>
    </xf>
    <xf numFmtId="0" fontId="31" fillId="5" borderId="7" xfId="15" applyFill="1">
      <alignment horizontal="center" vertical="center"/>
    </xf>
    <xf numFmtId="0" fontId="41" fillId="5" borderId="7" xfId="10" applyFont="1" applyFill="1" applyBorder="1" applyAlignment="1">
      <alignment horizontal="left" vertical="center" indent="1"/>
    </xf>
    <xf numFmtId="0" fontId="31" fillId="0" borderId="0" xfId="10" applyFont="1" applyAlignment="1">
      <alignment wrapText="1"/>
    </xf>
    <xf numFmtId="0" fontId="42" fillId="13" borderId="8" xfId="10" applyFont="1" applyFill="1" applyBorder="1" applyAlignment="1">
      <alignment horizontal="center" vertical="center" shrinkToFit="1"/>
    </xf>
    <xf numFmtId="0" fontId="43" fillId="14" borderId="0" xfId="10" applyFont="1" applyFill="1" applyBorder="1" applyAlignment="1">
      <alignment horizontal="center" vertical="center" wrapText="1"/>
    </xf>
    <xf numFmtId="0" fontId="43" fillId="14" borderId="9" xfId="10" applyFont="1" applyFill="1" applyBorder="1" applyAlignment="1">
      <alignment horizontal="center" vertical="center" wrapText="1"/>
    </xf>
    <xf numFmtId="0" fontId="43" fillId="14" borderId="9" xfId="10" applyFont="1" applyFill="1" applyBorder="1" applyAlignment="1">
      <alignment horizontal="left" vertical="center" indent="1"/>
    </xf>
    <xf numFmtId="179" fontId="40" fillId="15" borderId="10" xfId="10" applyNumberFormat="1" applyFont="1" applyFill="1" applyBorder="1" applyAlignment="1">
      <alignment horizontal="center" vertical="center"/>
    </xf>
    <xf numFmtId="179" fontId="40" fillId="15" borderId="0" xfId="10" applyNumberFormat="1" applyFont="1" applyFill="1" applyAlignment="1">
      <alignment horizontal="center" vertical="center"/>
    </xf>
    <xf numFmtId="179" fontId="40" fillId="15" borderId="11" xfId="10" applyNumberFormat="1" applyFont="1" applyFill="1" applyBorder="1" applyAlignment="1">
      <alignment horizontal="center" vertical="center"/>
    </xf>
    <xf numFmtId="0" fontId="31" fillId="0" borderId="15" xfId="10" applyFont="1" applyBorder="1" applyAlignment="1">
      <alignment horizontal="center" vertical="center"/>
    </xf>
    <xf numFmtId="0" fontId="44" fillId="0" borderId="0" xfId="20">
      <alignment vertical="top"/>
    </xf>
    <xf numFmtId="0" fontId="35" fillId="0" borderId="0" xfId="12" applyFont="1" applyProtection="1">
      <alignment vertical="top"/>
    </xf>
    <xf numFmtId="0" fontId="44" fillId="0" borderId="0" xfId="21"/>
    <xf numFmtId="0" fontId="45" fillId="0" borderId="0" xfId="10" applyFont="1"/>
    <xf numFmtId="0" fontId="45" fillId="0" borderId="0" xfId="10" applyFont="1" applyAlignment="1">
      <alignment horizontal="center" vertical="center"/>
    </xf>
    <xf numFmtId="0" fontId="45" fillId="0" borderId="0" xfId="10" applyFont="1" applyAlignment="1">
      <alignment horizontal="center"/>
    </xf>
    <xf numFmtId="0" fontId="46" fillId="0" borderId="0" xfId="10" applyFont="1" applyAlignment="1">
      <alignment horizontal="left"/>
    </xf>
    <xf numFmtId="0" fontId="47" fillId="0" borderId="0" xfId="22" applyAlignment="1">
      <alignment horizontal="left"/>
    </xf>
    <xf numFmtId="178" fontId="22" fillId="9" borderId="7" xfId="14" applyFont="1" applyFill="1">
      <alignment horizontal="center" vertical="center"/>
    </xf>
    <xf numFmtId="0" fontId="48" fillId="0" borderId="0" xfId="10" applyFont="1"/>
    <xf numFmtId="0" fontId="35" fillId="18" borderId="0" xfId="28" applyFont="1">
      <alignment vertical="center"/>
    </xf>
    <xf numFmtId="0" fontId="35" fillId="20" borderId="0" xfId="28" applyNumberFormat="1" applyFont="1" applyFill="1">
      <alignment vertical="center"/>
    </xf>
    <xf numFmtId="0" fontId="35" fillId="20" borderId="0" xfId="28" applyNumberFormat="1" applyFont="1" applyFill="1" applyAlignment="1">
      <alignment horizontal="center" vertical="center"/>
    </xf>
    <xf numFmtId="0" fontId="35" fillId="20" borderId="0" xfId="28" applyFont="1" applyFill="1" applyAlignment="1">
      <alignment horizontal="left" vertical="center" indent="2"/>
    </xf>
    <xf numFmtId="14" fontId="35" fillId="20" borderId="0" xfId="28" applyNumberFormat="1" applyFont="1" applyFill="1" applyAlignment="1">
      <alignment horizontal="left" vertical="center" indent="2"/>
    </xf>
    <xf numFmtId="0" fontId="41" fillId="18" borderId="0" xfId="28" applyFont="1">
      <alignment vertical="center"/>
    </xf>
    <xf numFmtId="0" fontId="35" fillId="20" borderId="0" xfId="28" applyFont="1" applyFill="1" applyAlignment="1">
      <alignment horizontal="center" vertical="center"/>
    </xf>
    <xf numFmtId="0" fontId="35" fillId="18" borderId="0" xfId="28" applyFont="1" applyAlignment="1">
      <alignment horizontal="left"/>
    </xf>
    <xf numFmtId="0" fontId="35" fillId="18" borderId="0" xfId="28" applyFont="1" applyAlignment="1">
      <alignment horizontal="center"/>
    </xf>
    <xf numFmtId="0" fontId="35" fillId="20" borderId="0" xfId="28" applyFont="1" applyFill="1">
      <alignment vertical="center"/>
    </xf>
    <xf numFmtId="14" fontId="35" fillId="18" borderId="0" xfId="28" applyNumberFormat="1" applyFont="1">
      <alignment vertical="center"/>
    </xf>
    <xf numFmtId="0" fontId="56" fillId="20" borderId="16" xfId="28" applyFont="1" applyFill="1" applyBorder="1" applyAlignment="1">
      <alignment horizontal="center" vertical="center"/>
    </xf>
    <xf numFmtId="0" fontId="56" fillId="20" borderId="16" xfId="28" applyFont="1" applyFill="1" applyBorder="1" applyAlignment="1">
      <alignment horizontal="left" vertical="center" indent="2"/>
    </xf>
    <xf numFmtId="0" fontId="35" fillId="19" borderId="17" xfId="28" applyFont="1" applyFill="1" applyBorder="1">
      <alignment vertical="center"/>
    </xf>
    <xf numFmtId="0" fontId="35" fillId="19" borderId="18" xfId="28" applyFont="1" applyFill="1" applyBorder="1">
      <alignment vertical="center"/>
    </xf>
    <xf numFmtId="0" fontId="57" fillId="19" borderId="19" xfId="29" applyFont="1" applyFill="1" applyBorder="1" applyAlignment="1">
      <alignment horizontal="left" vertical="center" indent="1"/>
    </xf>
    <xf numFmtId="0" fontId="35" fillId="19" borderId="0" xfId="28" applyFont="1" applyFill="1">
      <alignment vertical="center"/>
    </xf>
    <xf numFmtId="0" fontId="58" fillId="19" borderId="0" xfId="30" applyFont="1" applyAlignment="1">
      <alignment vertical="center"/>
    </xf>
    <xf numFmtId="0" fontId="56" fillId="19" borderId="0" xfId="31" applyFont="1" applyAlignment="1"/>
    <xf numFmtId="0" fontId="35" fillId="20" borderId="0" xfId="28" applyFont="1" applyFill="1" applyAlignment="1">
      <alignment horizontal="left" vertical="center" wrapText="1" indent="2"/>
    </xf>
    <xf numFmtId="181" fontId="35" fillId="20" borderId="0" xfId="28" applyNumberFormat="1" applyFont="1" applyFill="1" applyAlignment="1">
      <alignment horizontal="left" vertical="center" indent="2"/>
    </xf>
    <xf numFmtId="0" fontId="35" fillId="20" borderId="0" xfId="28" applyNumberFormat="1" applyFont="1" applyFill="1" applyAlignment="1">
      <alignment horizontal="left" vertical="center" indent="2"/>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7" fillId="0" borderId="1" xfId="6" applyNumberFormat="1" applyFont="1" applyFill="1" applyBorder="1" applyAlignment="1">
      <alignment horizontal="left" vertical="center" wrapText="1"/>
    </xf>
    <xf numFmtId="176" fontId="2" fillId="0" borderId="0" xfId="6" applyNumberFormat="1" applyFont="1" applyBorder="1" applyAlignment="1" applyProtection="1">
      <alignment horizontal="center" vertical="center" wrapText="1"/>
    </xf>
    <xf numFmtId="176" fontId="3" fillId="0" borderId="0" xfId="6" applyNumberFormat="1" applyFont="1" applyFill="1" applyBorder="1" applyAlignment="1">
      <alignment horizontal="center" vertical="center" wrapText="1"/>
    </xf>
    <xf numFmtId="0" fontId="31" fillId="0" borderId="0" xfId="18">
      <alignment horizontal="right" indent="1"/>
    </xf>
    <xf numFmtId="0" fontId="31" fillId="0" borderId="10" xfId="18" applyBorder="1">
      <alignment horizontal="right" indent="1"/>
    </xf>
    <xf numFmtId="0" fontId="31" fillId="0" borderId="12" xfId="10" applyFont="1" applyBorder="1"/>
    <xf numFmtId="31" fontId="31" fillId="15" borderId="14" xfId="10" applyNumberFormat="1" applyFont="1" applyFill="1" applyBorder="1" applyAlignment="1">
      <alignment horizontal="left" vertical="center" wrapText="1" indent="1"/>
    </xf>
    <xf numFmtId="31" fontId="31" fillId="15" borderId="9" xfId="10" applyNumberFormat="1" applyFont="1" applyFill="1" applyBorder="1" applyAlignment="1">
      <alignment horizontal="left" vertical="center" wrapText="1" indent="1"/>
    </xf>
    <xf numFmtId="31" fontId="31" fillId="15" borderId="13" xfId="10" applyNumberFormat="1" applyFont="1" applyFill="1" applyBorder="1" applyAlignment="1">
      <alignment horizontal="left" vertical="center" wrapText="1" indent="1"/>
    </xf>
    <xf numFmtId="180" fontId="31" fillId="0" borderId="15" xfId="19">
      <alignment horizontal="center" vertical="center"/>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309">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308"/>
      <tableStyleElement type="headerRow" dxfId="307"/>
      <tableStyleElement type="firstRowStripe" dxfId="306"/>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31</xdr:row>
          <xdr:rowOff>85725</xdr:rowOff>
        </xdr:from>
        <xdr:to>
          <xdr:col>1</xdr:col>
          <xdr:colOff>800100</xdr:colOff>
          <xdr:row>32</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5" dataDxfId="4">
  <tableColumns count="4">
    <tableColumn id="1" name="日期" dataDxfId="3"/>
    <tableColumn id="2" name="里程碑" dataDxfId="2"/>
    <tableColumn id="4" name="位置" dataDxfId="1"/>
    <tableColumn id="5" name="比较基准" dataDxfId="0">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zoomScale="115" zoomScaleNormal="115" workbookViewId="0">
      <pane ySplit="3" topLeftCell="A13" activePane="bottomLeft" state="frozen"/>
      <selection pane="bottomLeft" activeCell="P17" sqref="C17:P17"/>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0</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v>
      </c>
      <c r="B2" s="150"/>
      <c r="C2" s="5">
        <f ca="1">TODAY()</f>
        <v>43937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-261</v>
      </c>
      <c r="L4" s="13">
        <f t="shared" ref="L4" ca="1" si="2">IF(J4="OVERDUE",1,0)</f>
        <v>0</v>
      </c>
      <c r="M4" s="13">
        <f t="shared" ref="M4" ca="1" si="3">IF(J4="IN TIME",1,0)</f>
        <v>0</v>
      </c>
      <c r="N4" s="13">
        <f t="shared" ref="N4" ca="1" si="4">IF(J4="DONE",1,0)</f>
        <v>1</v>
      </c>
      <c r="O4" s="13">
        <f t="shared" ref="O4" ca="1" si="5">IF(G4&gt;0,G4-$C$2,"")</f>
        <v>-269</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-284</v>
      </c>
      <c r="L5" s="13">
        <f t="shared" ref="L5" ca="1" si="8">IF(J5="OVERDUE",1,0)</f>
        <v>0</v>
      </c>
      <c r="M5" s="13">
        <f t="shared" ref="M5" ca="1" si="9">IF(J5="IN TIME",1,0)</f>
        <v>0</v>
      </c>
      <c r="N5" s="13">
        <f t="shared" ref="N5" ca="1" si="10">IF(J5="DONE",1,0)</f>
        <v>1</v>
      </c>
      <c r="O5" s="13">
        <f t="shared" ref="O5" ca="1" si="11">IF(G5&gt;0,G5-$C$2,"")</f>
        <v>-291</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-290</v>
      </c>
      <c r="L6" s="13">
        <f t="shared" ref="L6" ca="1" si="14">IF(J6="OVERDUE",1,0)</f>
        <v>0</v>
      </c>
      <c r="M6" s="13">
        <f t="shared" ref="M6" ca="1" si="15">IF(J6="IN TIME",1,0)</f>
        <v>0</v>
      </c>
      <c r="N6" s="13">
        <f t="shared" ref="N6" ca="1" si="16">IF(J6="DONE",1,0)</f>
        <v>1</v>
      </c>
      <c r="O6" s="13">
        <f t="shared" ref="O6" ca="1" si="17">IF(G6&gt;0,G6-$C$2,"")</f>
        <v>-297</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-276</v>
      </c>
      <c r="L7" s="13">
        <f t="shared" ref="L7" ca="1" si="20">IF(J7="OVERDUE",1,0)</f>
        <v>0</v>
      </c>
      <c r="M7" s="13">
        <f t="shared" ref="M7" ca="1" si="21">IF(J7="IN TIME",1,0)</f>
        <v>0</v>
      </c>
      <c r="N7" s="13">
        <f t="shared" ref="N7" ca="1" si="22">IF(J7="DONE",1,0)</f>
        <v>1</v>
      </c>
      <c r="O7" s="13">
        <f t="shared" ref="O7" ca="1" si="23">IF(G7&gt;0,G7-$C$2,"")</f>
        <v>-289</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-259</v>
      </c>
      <c r="L8" s="13">
        <f t="shared" ref="L8" ca="1" si="26">IF(J8="OVERDUE",1,0)</f>
        <v>0</v>
      </c>
      <c r="M8" s="13">
        <f t="shared" ref="M8" ca="1" si="27">IF(J8="IN TIME",1,0)</f>
        <v>0</v>
      </c>
      <c r="N8" s="13">
        <f t="shared" ref="N8" ca="1" si="28">IF(J8="DONE",1,0)</f>
        <v>1</v>
      </c>
      <c r="O8" s="13">
        <f t="shared" ref="O8" ca="1" si="29">IF(G8&gt;0,G8-$C$2,"")</f>
        <v>-290</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-240</v>
      </c>
      <c r="L9" s="13">
        <f t="shared" ref="L9" ca="1" si="32">IF(J9="OVERDUE",1,0)</f>
        <v>0</v>
      </c>
      <c r="M9" s="13">
        <f t="shared" ref="M9" ca="1" si="33">IF(J9="IN TIME",1,0)</f>
        <v>0</v>
      </c>
      <c r="N9" s="13">
        <f t="shared" ref="N9" ca="1" si="34">IF(J9="DONE",1,0)</f>
        <v>1</v>
      </c>
      <c r="O9" s="13">
        <f t="shared" ref="O9" ca="1" si="35">IF(G9&gt;0,G9-$C$2,"")</f>
        <v>-259</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-261</v>
      </c>
      <c r="L10" s="13">
        <f t="shared" ref="L10" ca="1" si="38">IF(J10="OVERDUE",1,0)</f>
        <v>0</v>
      </c>
      <c r="M10" s="13">
        <f t="shared" ref="M10" ca="1" si="39">IF(J10="IN TIME",1,0)</f>
        <v>0</v>
      </c>
      <c r="N10" s="13">
        <f t="shared" ref="N10" ca="1" si="40">IF(J10="DONE",1,0)</f>
        <v>1</v>
      </c>
      <c r="O10" s="13">
        <f t="shared" ref="O10" ca="1" si="41">IF(G10&gt;0,G10-$C$2,"")</f>
        <v>-276</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-246</v>
      </c>
      <c r="L11" s="13">
        <f t="shared" ref="L11" ca="1" si="44">IF(J11="OVERDUE",1,0)</f>
        <v>0</v>
      </c>
      <c r="M11" s="13">
        <f t="shared" ref="M11" ca="1" si="45">IF(J11="IN TIME",1,0)</f>
        <v>0</v>
      </c>
      <c r="N11" s="13">
        <f t="shared" ref="N11" ca="1" si="46">IF(J11="DONE",1,0)</f>
        <v>1</v>
      </c>
      <c r="O11" s="13">
        <f t="shared" ref="O11" ca="1" si="47">IF(G11&gt;0,G11-$C$2,"")</f>
        <v>-253</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-234</v>
      </c>
      <c r="L12" s="13">
        <f t="shared" ref="L12" ca="1" si="50">IF(J12="OVERDUE",1,0)</f>
        <v>0</v>
      </c>
      <c r="M12" s="13">
        <f t="shared" ref="M12" ca="1" si="51">IF(J12="IN TIME",1,0)</f>
        <v>0</v>
      </c>
      <c r="N12" s="13">
        <f t="shared" ref="N12" ca="1" si="52">IF(J12="DONE",1,0)</f>
        <v>1</v>
      </c>
      <c r="O12" s="13">
        <f t="shared" ref="O12" ca="1" si="53">IF(G12&gt;0,G12-$C$2,"")</f>
        <v>-241</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-251</v>
      </c>
      <c r="L13" s="13">
        <f t="shared" ref="L13" ca="1" si="56">IF(J13="OVERDUE",1,0)</f>
        <v>0</v>
      </c>
      <c r="M13" s="13">
        <f t="shared" ref="M13" ca="1" si="57">IF(J13="IN TIME",1,0)</f>
        <v>0</v>
      </c>
      <c r="N13" s="13">
        <f t="shared" ref="N13" ca="1" si="58">IF(J13="DONE",1,0)</f>
        <v>1</v>
      </c>
      <c r="O13" s="13">
        <f t="shared" ref="O13" ca="1" si="59">IF(G13&gt;0,G13-$C$2,"")</f>
        <v>-254</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-214</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-145</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-138</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366</v>
      </c>
      <c r="D17" s="13" t="s">
        <v>24</v>
      </c>
      <c r="E17" s="13" t="s">
        <v>367</v>
      </c>
      <c r="F17" s="14">
        <v>43899</v>
      </c>
      <c r="G17" s="14">
        <v>43911</v>
      </c>
      <c r="H17" s="14"/>
      <c r="I17" s="14"/>
      <c r="J17" s="13" t="str">
        <f t="shared" ref="J17" ca="1" si="78">IF(AND(I17&lt;=$C$2,I17&lt;&gt;0),"DONE",IF(K17&lt;0,"OVERDUE",IF(AND(K17="",O17&lt;0),"OVERDUE","IN TIME")))</f>
        <v>OVERDUE</v>
      </c>
      <c r="K17" s="13" t="str">
        <f t="shared" ref="K17" si="79">IF(H17&gt;0,H17-$C$2,"")</f>
        <v/>
      </c>
      <c r="L17" s="13">
        <f t="shared" ref="L17" ca="1" si="80">IF(J17="OVERDUE",1,0)</f>
        <v>1</v>
      </c>
      <c r="M17" s="13">
        <f t="shared" ref="M17" ca="1" si="81">IF(J17="IN TIME",1,0)</f>
        <v>0</v>
      </c>
      <c r="N17" s="13">
        <f t="shared" ref="N17" ca="1" si="82">IF(J17="DONE",1,0)</f>
        <v>0</v>
      </c>
      <c r="O17" s="13">
        <f t="shared" ref="O17" ca="1" si="83">IF(G17&gt;0,G17-$C$2,"")</f>
        <v>-26</v>
      </c>
      <c r="P17" s="20" t="s">
        <v>388</v>
      </c>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32" type="noConversion"/>
  <conditionalFormatting sqref="J4">
    <cfRule type="cellIs" dxfId="305" priority="43" operator="equal">
      <formula>"OVERDUE"</formula>
    </cfRule>
    <cfRule type="cellIs" dxfId="304" priority="44" operator="equal">
      <formula>"DONE"</formula>
    </cfRule>
    <cfRule type="cellIs" dxfId="303" priority="45" operator="equal">
      <formula>"DONE"</formula>
    </cfRule>
  </conditionalFormatting>
  <conditionalFormatting sqref="J5">
    <cfRule type="cellIs" dxfId="302" priority="40" operator="equal">
      <formula>"OVERDUE"</formula>
    </cfRule>
    <cfRule type="cellIs" dxfId="301" priority="41" operator="equal">
      <formula>"DONE"</formula>
    </cfRule>
    <cfRule type="cellIs" dxfId="300" priority="42" operator="equal">
      <formula>"DONE"</formula>
    </cfRule>
  </conditionalFormatting>
  <conditionalFormatting sqref="J6">
    <cfRule type="cellIs" dxfId="299" priority="37" operator="equal">
      <formula>"OVERDUE"</formula>
    </cfRule>
    <cfRule type="cellIs" dxfId="298" priority="38" operator="equal">
      <formula>"DONE"</formula>
    </cfRule>
    <cfRule type="cellIs" dxfId="297" priority="39" operator="equal">
      <formula>"DONE"</formula>
    </cfRule>
  </conditionalFormatting>
  <conditionalFormatting sqref="J7">
    <cfRule type="cellIs" dxfId="296" priority="34" operator="equal">
      <formula>"OVERDUE"</formula>
    </cfRule>
    <cfRule type="cellIs" dxfId="295" priority="35" operator="equal">
      <formula>"DONE"</formula>
    </cfRule>
    <cfRule type="cellIs" dxfId="294" priority="36" operator="equal">
      <formula>"DONE"</formula>
    </cfRule>
  </conditionalFormatting>
  <conditionalFormatting sqref="J8">
    <cfRule type="cellIs" dxfId="293" priority="31" operator="equal">
      <formula>"OVERDUE"</formula>
    </cfRule>
    <cfRule type="cellIs" dxfId="292" priority="32" operator="equal">
      <formula>"DONE"</formula>
    </cfRule>
    <cfRule type="cellIs" dxfId="291" priority="33" operator="equal">
      <formula>"DONE"</formula>
    </cfRule>
  </conditionalFormatting>
  <conditionalFormatting sqref="J9">
    <cfRule type="cellIs" dxfId="290" priority="28" operator="equal">
      <formula>"OVERDUE"</formula>
    </cfRule>
    <cfRule type="cellIs" dxfId="289" priority="29" operator="equal">
      <formula>"DONE"</formula>
    </cfRule>
    <cfRule type="cellIs" dxfId="288" priority="30" operator="equal">
      <formula>"DONE"</formula>
    </cfRule>
  </conditionalFormatting>
  <conditionalFormatting sqref="J10">
    <cfRule type="cellIs" dxfId="287" priority="25" operator="equal">
      <formula>"OVERDUE"</formula>
    </cfRule>
    <cfRule type="cellIs" dxfId="286" priority="26" operator="equal">
      <formula>"DONE"</formula>
    </cfRule>
    <cfRule type="cellIs" dxfId="285" priority="27" operator="equal">
      <formula>"DONE"</formula>
    </cfRule>
  </conditionalFormatting>
  <conditionalFormatting sqref="J11">
    <cfRule type="cellIs" dxfId="284" priority="22" operator="equal">
      <formula>"OVERDUE"</formula>
    </cfRule>
    <cfRule type="cellIs" dxfId="283" priority="23" operator="equal">
      <formula>"DONE"</formula>
    </cfRule>
    <cfRule type="cellIs" dxfId="282" priority="24" operator="equal">
      <formula>"DONE"</formula>
    </cfRule>
  </conditionalFormatting>
  <conditionalFormatting sqref="J12">
    <cfRule type="cellIs" dxfId="281" priority="19" operator="equal">
      <formula>"OVERDUE"</formula>
    </cfRule>
    <cfRule type="cellIs" dxfId="280" priority="20" operator="equal">
      <formula>"DONE"</formula>
    </cfRule>
    <cfRule type="cellIs" dxfId="279" priority="21" operator="equal">
      <formula>"DONE"</formula>
    </cfRule>
  </conditionalFormatting>
  <conditionalFormatting sqref="J13">
    <cfRule type="cellIs" dxfId="278" priority="16" operator="equal">
      <formula>"OVERDUE"</formula>
    </cfRule>
    <cfRule type="cellIs" dxfId="277" priority="17" operator="equal">
      <formula>"DONE"</formula>
    </cfRule>
    <cfRule type="cellIs" dxfId="276" priority="18" operator="equal">
      <formula>"DONE"</formula>
    </cfRule>
  </conditionalFormatting>
  <conditionalFormatting sqref="J14">
    <cfRule type="cellIs" dxfId="275" priority="13" operator="equal">
      <formula>"OVERDUE"</formula>
    </cfRule>
    <cfRule type="cellIs" dxfId="274" priority="14" operator="equal">
      <formula>"DONE"</formula>
    </cfRule>
    <cfRule type="cellIs" dxfId="273" priority="15" operator="equal">
      <formula>"DONE"</formula>
    </cfRule>
  </conditionalFormatting>
  <conditionalFormatting sqref="J15">
    <cfRule type="cellIs" dxfId="272" priority="10" operator="equal">
      <formula>"OVERDUE"</formula>
    </cfRule>
    <cfRule type="cellIs" dxfId="271" priority="11" operator="equal">
      <formula>"DONE"</formula>
    </cfRule>
    <cfRule type="cellIs" dxfId="270" priority="12" operator="equal">
      <formula>"DONE"</formula>
    </cfRule>
  </conditionalFormatting>
  <conditionalFormatting sqref="J16">
    <cfRule type="cellIs" dxfId="269" priority="7" operator="equal">
      <formula>"OVERDUE"</formula>
    </cfRule>
    <cfRule type="cellIs" dxfId="268" priority="8" operator="equal">
      <formula>"DONE"</formula>
    </cfRule>
    <cfRule type="cellIs" dxfId="267" priority="9" operator="equal">
      <formula>"DONE"</formula>
    </cfRule>
  </conditionalFormatting>
  <conditionalFormatting sqref="J17">
    <cfRule type="cellIs" dxfId="266" priority="4" operator="equal">
      <formula>"OVERDUE"</formula>
    </cfRule>
    <cfRule type="cellIs" dxfId="265" priority="5" operator="equal">
      <formula>"DONE"</formula>
    </cfRule>
    <cfRule type="cellIs" dxfId="264" priority="6" operator="equal">
      <formula>"DONE"</formula>
    </cfRule>
  </conditionalFormatting>
  <conditionalFormatting sqref="J18">
    <cfRule type="cellIs" dxfId="263" priority="1" operator="equal">
      <formula>"OVERDUE"</formula>
    </cfRule>
    <cfRule type="cellIs" dxfId="262" priority="2" operator="equal">
      <formula>"DONE"</formula>
    </cfRule>
    <cfRule type="cellIs" dxfId="261" priority="3" operator="equal">
      <formula>"DONE"</formula>
    </cfRule>
  </conditionalFormatting>
  <conditionalFormatting sqref="J2:J3 J19:J1048576">
    <cfRule type="cellIs" dxfId="260" priority="901" operator="equal">
      <formula>"OVERDUE"</formula>
    </cfRule>
    <cfRule type="cellIs" dxfId="259" priority="902" operator="equal">
      <formula>"DONE"</formula>
    </cfRule>
    <cfRule type="cellIs" dxfId="258"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4" activePane="bottomLeft" state="frozen"/>
      <selection pane="bottomLeft" activeCell="C11" sqref="C11"/>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0</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v>
      </c>
      <c r="B2" s="150"/>
      <c r="C2" s="5">
        <f ca="1">TODAY()</f>
        <v>43937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-244</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-230</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-223</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-216</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-211</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-202</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-199</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2" type="noConversion"/>
  <conditionalFormatting sqref="J4">
    <cfRule type="cellIs" dxfId="257" priority="31" operator="equal">
      <formula>"OVERDUE"</formula>
    </cfRule>
    <cfRule type="cellIs" dxfId="256" priority="32" operator="equal">
      <formula>"DONE"</formula>
    </cfRule>
    <cfRule type="cellIs" dxfId="255" priority="33" operator="equal">
      <formula>"DONE"</formula>
    </cfRule>
  </conditionalFormatting>
  <conditionalFormatting sqref="J5">
    <cfRule type="cellIs" dxfId="254" priority="28" operator="equal">
      <formula>"OVERDUE"</formula>
    </cfRule>
    <cfRule type="cellIs" dxfId="253" priority="29" operator="equal">
      <formula>"DONE"</formula>
    </cfRule>
    <cfRule type="cellIs" dxfId="252" priority="30" operator="equal">
      <formula>"DONE"</formula>
    </cfRule>
  </conditionalFormatting>
  <conditionalFormatting sqref="J6">
    <cfRule type="cellIs" dxfId="251" priority="25" operator="equal">
      <formula>"OVERDUE"</formula>
    </cfRule>
    <cfRule type="cellIs" dxfId="250" priority="26" operator="equal">
      <formula>"DONE"</formula>
    </cfRule>
    <cfRule type="cellIs" dxfId="249" priority="27" operator="equal">
      <formula>"DONE"</formula>
    </cfRule>
  </conditionalFormatting>
  <conditionalFormatting sqref="J7">
    <cfRule type="cellIs" dxfId="248" priority="22" operator="equal">
      <formula>"OVERDUE"</formula>
    </cfRule>
    <cfRule type="cellIs" dxfId="247" priority="23" operator="equal">
      <formula>"DONE"</formula>
    </cfRule>
    <cfRule type="cellIs" dxfId="246" priority="24" operator="equal">
      <formula>"DONE"</formula>
    </cfRule>
  </conditionalFormatting>
  <conditionalFormatting sqref="J8">
    <cfRule type="cellIs" dxfId="245" priority="19" operator="equal">
      <formula>"OVERDUE"</formula>
    </cfRule>
    <cfRule type="cellIs" dxfId="244" priority="20" operator="equal">
      <formula>"DONE"</formula>
    </cfRule>
    <cfRule type="cellIs" dxfId="243" priority="21" operator="equal">
      <formula>"DONE"</formula>
    </cfRule>
  </conditionalFormatting>
  <conditionalFormatting sqref="J9">
    <cfRule type="cellIs" dxfId="242" priority="16" operator="equal">
      <formula>"OVERDUE"</formula>
    </cfRule>
    <cfRule type="cellIs" dxfId="241" priority="17" operator="equal">
      <formula>"DONE"</formula>
    </cfRule>
    <cfRule type="cellIs" dxfId="240" priority="18" operator="equal">
      <formula>"DONE"</formula>
    </cfRule>
  </conditionalFormatting>
  <conditionalFormatting sqref="J10">
    <cfRule type="cellIs" dxfId="239" priority="13" operator="equal">
      <formula>"OVERDUE"</formula>
    </cfRule>
    <cfRule type="cellIs" dxfId="238" priority="14" operator="equal">
      <formula>"DONE"</formula>
    </cfRule>
    <cfRule type="cellIs" dxfId="237" priority="15" operator="equal">
      <formula>"DONE"</formula>
    </cfRule>
  </conditionalFormatting>
  <conditionalFormatting sqref="J11">
    <cfRule type="cellIs" dxfId="236" priority="10" operator="equal">
      <formula>"OVERDUE"</formula>
    </cfRule>
    <cfRule type="cellIs" dxfId="235" priority="11" operator="equal">
      <formula>"DONE"</formula>
    </cfRule>
    <cfRule type="cellIs" dxfId="234" priority="12" operator="equal">
      <formula>"DONE"</formula>
    </cfRule>
  </conditionalFormatting>
  <conditionalFormatting sqref="J12">
    <cfRule type="cellIs" dxfId="233" priority="7" operator="equal">
      <formula>"OVERDUE"</formula>
    </cfRule>
    <cfRule type="cellIs" dxfId="232" priority="8" operator="equal">
      <formula>"DONE"</formula>
    </cfRule>
    <cfRule type="cellIs" dxfId="231" priority="9" operator="equal">
      <formula>"DONE"</formula>
    </cfRule>
  </conditionalFormatting>
  <conditionalFormatting sqref="J13">
    <cfRule type="cellIs" dxfId="230" priority="4" operator="equal">
      <formula>"OVERDUE"</formula>
    </cfRule>
    <cfRule type="cellIs" dxfId="229" priority="5" operator="equal">
      <formula>"DONE"</formula>
    </cfRule>
    <cfRule type="cellIs" dxfId="228" priority="6" operator="equal">
      <formula>"DONE"</formula>
    </cfRule>
  </conditionalFormatting>
  <conditionalFormatting sqref="J14">
    <cfRule type="cellIs" dxfId="227" priority="1" operator="equal">
      <formula>"OVERDUE"</formula>
    </cfRule>
    <cfRule type="cellIs" dxfId="226" priority="2" operator="equal">
      <formula>"DONE"</formula>
    </cfRule>
    <cfRule type="cellIs" dxfId="225" priority="3" operator="equal">
      <formula>"DONE"</formula>
    </cfRule>
  </conditionalFormatting>
  <conditionalFormatting sqref="J2:J3 J15:J1048576">
    <cfRule type="cellIs" dxfId="224" priority="34" operator="equal">
      <formula>"OVERDUE"</formula>
    </cfRule>
    <cfRule type="cellIs" dxfId="223" priority="35" operator="equal">
      <formula>"DONE"</formula>
    </cfRule>
    <cfRule type="cellIs" dxfId="222"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4"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0</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v>
      </c>
      <c r="B2" s="150"/>
      <c r="C2" s="5">
        <f ca="1">TODAY()</f>
        <v>43937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-234</v>
      </c>
      <c r="L4" s="13">
        <f t="shared" ref="L4:L13" ca="1" si="2">IF(J4="OVERDUE",1,0)</f>
        <v>0</v>
      </c>
      <c r="M4" s="13">
        <f t="shared" ref="M4:M13" ca="1" si="3">IF(J4="IN TIME",1,0)</f>
        <v>0</v>
      </c>
      <c r="N4" s="13">
        <f t="shared" ref="N4:N13" ca="1" si="4">IF(J4="DONE",1,0)</f>
        <v>1</v>
      </c>
      <c r="O4" s="13">
        <f t="shared" ref="O4:O13" ca="1" si="5">IF(G4&gt;0,G4-$C$2,"")</f>
        <v>-261</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OVERDUE</v>
      </c>
      <c r="K5" s="32">
        <f t="shared" ca="1" si="1"/>
        <v>-210</v>
      </c>
      <c r="L5" s="32">
        <f t="shared" ca="1" si="2"/>
        <v>1</v>
      </c>
      <c r="M5" s="32">
        <f t="shared" ca="1" si="3"/>
        <v>0</v>
      </c>
      <c r="N5" s="32">
        <f t="shared" ca="1" si="4"/>
        <v>0</v>
      </c>
      <c r="O5" s="32">
        <f t="shared" ca="1" si="5"/>
        <v>-284</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-230</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-161</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-161</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-161</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-161</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ht="51" customHeight="1" x14ac:dyDescent="0.15">
      <c r="A12" s="15">
        <v>242</v>
      </c>
      <c r="B12" s="13"/>
      <c r="C12" s="12" t="s">
        <v>81</v>
      </c>
      <c r="D12" s="13" t="s">
        <v>24</v>
      </c>
      <c r="E12" s="13" t="s">
        <v>47</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82</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2" type="noConversion"/>
  <conditionalFormatting sqref="J4">
    <cfRule type="cellIs" dxfId="221" priority="34" operator="equal">
      <formula>"OVERDUE"</formula>
    </cfRule>
    <cfRule type="cellIs" dxfId="220" priority="35" operator="equal">
      <formula>"DONE"</formula>
    </cfRule>
    <cfRule type="cellIs" dxfId="219" priority="36" operator="equal">
      <formula>"DONE"</formula>
    </cfRule>
  </conditionalFormatting>
  <conditionalFormatting sqref="J5">
    <cfRule type="cellIs" dxfId="218" priority="31" operator="equal">
      <formula>"OVERDUE"</formula>
    </cfRule>
    <cfRule type="cellIs" dxfId="217" priority="32" operator="equal">
      <formula>"DONE"</formula>
    </cfRule>
    <cfRule type="cellIs" dxfId="216" priority="33" operator="equal">
      <formula>"DONE"</formula>
    </cfRule>
  </conditionalFormatting>
  <conditionalFormatting sqref="J6">
    <cfRule type="cellIs" dxfId="215" priority="28" operator="equal">
      <formula>"OVERDUE"</formula>
    </cfRule>
    <cfRule type="cellIs" dxfId="214" priority="29" operator="equal">
      <formula>"DONE"</formula>
    </cfRule>
    <cfRule type="cellIs" dxfId="213" priority="30" operator="equal">
      <formula>"DONE"</formula>
    </cfRule>
  </conditionalFormatting>
  <conditionalFormatting sqref="J7">
    <cfRule type="cellIs" dxfId="212" priority="25" operator="equal">
      <formula>"OVERDUE"</formula>
    </cfRule>
    <cfRule type="cellIs" dxfId="211" priority="26" operator="equal">
      <formula>"DONE"</formula>
    </cfRule>
    <cfRule type="cellIs" dxfId="210" priority="27" operator="equal">
      <formula>"DONE"</formula>
    </cfRule>
  </conditionalFormatting>
  <conditionalFormatting sqref="J8">
    <cfRule type="cellIs" dxfId="209" priority="22" operator="equal">
      <formula>"OVERDUE"</formula>
    </cfRule>
    <cfRule type="cellIs" dxfId="208" priority="23" operator="equal">
      <formula>"DONE"</formula>
    </cfRule>
    <cfRule type="cellIs" dxfId="207" priority="24" operator="equal">
      <formula>"DONE"</formula>
    </cfRule>
  </conditionalFormatting>
  <conditionalFormatting sqref="J9">
    <cfRule type="cellIs" dxfId="206" priority="19" operator="equal">
      <formula>"OVERDUE"</formula>
    </cfRule>
    <cfRule type="cellIs" dxfId="205" priority="20" operator="equal">
      <formula>"DONE"</formula>
    </cfRule>
    <cfRule type="cellIs" dxfId="204" priority="21" operator="equal">
      <formula>"DONE"</formula>
    </cfRule>
  </conditionalFormatting>
  <conditionalFormatting sqref="J10">
    <cfRule type="cellIs" dxfId="203" priority="16" operator="equal">
      <formula>"OVERDUE"</formula>
    </cfRule>
    <cfRule type="cellIs" dxfId="202" priority="17" operator="equal">
      <formula>"DONE"</formula>
    </cfRule>
    <cfRule type="cellIs" dxfId="201" priority="18" operator="equal">
      <formula>"DONE"</formula>
    </cfRule>
  </conditionalFormatting>
  <conditionalFormatting sqref="J11">
    <cfRule type="cellIs" dxfId="200" priority="13" operator="equal">
      <formula>"OVERDUE"</formula>
    </cfRule>
    <cfRule type="cellIs" dxfId="199" priority="14" operator="equal">
      <formula>"DONE"</formula>
    </cfRule>
    <cfRule type="cellIs" dxfId="198" priority="15" operator="equal">
      <formula>"DONE"</formula>
    </cfRule>
  </conditionalFormatting>
  <conditionalFormatting sqref="J12">
    <cfRule type="cellIs" dxfId="197" priority="10" operator="equal">
      <formula>"OVERDUE"</formula>
    </cfRule>
    <cfRule type="cellIs" dxfId="196" priority="11" operator="equal">
      <formula>"DONE"</formula>
    </cfRule>
    <cfRule type="cellIs" dxfId="195" priority="12" operator="equal">
      <formula>"DONE"</formula>
    </cfRule>
  </conditionalFormatting>
  <conditionalFormatting sqref="J13">
    <cfRule type="cellIs" dxfId="194" priority="7" operator="equal">
      <formula>"OVERDUE"</formula>
    </cfRule>
    <cfRule type="cellIs" dxfId="193" priority="8" operator="equal">
      <formula>"DONE"</formula>
    </cfRule>
    <cfRule type="cellIs" dxfId="192" priority="9" operator="equal">
      <formula>"DONE"</formula>
    </cfRule>
  </conditionalFormatting>
  <conditionalFormatting sqref="J14">
    <cfRule type="cellIs" dxfId="191" priority="4" operator="equal">
      <formula>"OVERDUE"</formula>
    </cfRule>
    <cfRule type="cellIs" dxfId="190" priority="5" operator="equal">
      <formula>"DONE"</formula>
    </cfRule>
    <cfRule type="cellIs" dxfId="189" priority="6" operator="equal">
      <formula>"DONE"</formula>
    </cfRule>
  </conditionalFormatting>
  <conditionalFormatting sqref="J15">
    <cfRule type="cellIs" dxfId="188" priority="1" operator="equal">
      <formula>"OVERDUE"</formula>
    </cfRule>
    <cfRule type="cellIs" dxfId="187" priority="2" operator="equal">
      <formula>"DONE"</formula>
    </cfRule>
    <cfRule type="cellIs" dxfId="186" priority="3" operator="equal">
      <formula>"DONE"</formula>
    </cfRule>
  </conditionalFormatting>
  <conditionalFormatting sqref="J2:J3 J16:J1048576">
    <cfRule type="cellIs" dxfId="185" priority="37" operator="equal">
      <formula>"OVERDUE"</formula>
    </cfRule>
    <cfRule type="cellIs" dxfId="184" priority="38" operator="equal">
      <formula>"DONE"</formula>
    </cfRule>
    <cfRule type="cellIs" dxfId="183"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48"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337</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51" t="s">
        <v>330</v>
      </c>
      <c r="D3" s="152"/>
      <c r="E3" s="157">
        <v>43647</v>
      </c>
      <c r="F3" s="157"/>
    </row>
    <row r="4" spans="1:65" ht="30" customHeight="1" x14ac:dyDescent="0.3">
      <c r="A4" s="59" t="s">
        <v>329</v>
      </c>
      <c r="C4" s="151" t="s">
        <v>328</v>
      </c>
      <c r="D4" s="152"/>
      <c r="E4" s="113">
        <v>25</v>
      </c>
      <c r="J4" s="154">
        <f>J5</f>
        <v>43814</v>
      </c>
      <c r="K4" s="155"/>
      <c r="L4" s="155"/>
      <c r="M4" s="155"/>
      <c r="N4" s="155"/>
      <c r="O4" s="155"/>
      <c r="P4" s="156"/>
      <c r="Q4" s="154">
        <f>Q5</f>
        <v>43821</v>
      </c>
      <c r="R4" s="155"/>
      <c r="S4" s="155"/>
      <c r="T4" s="155"/>
      <c r="U4" s="155"/>
      <c r="V4" s="155"/>
      <c r="W4" s="156"/>
      <c r="X4" s="154">
        <f>X5</f>
        <v>43828</v>
      </c>
      <c r="Y4" s="155"/>
      <c r="Z4" s="155"/>
      <c r="AA4" s="155"/>
      <c r="AB4" s="155"/>
      <c r="AC4" s="155"/>
      <c r="AD4" s="156"/>
      <c r="AE4" s="154">
        <f>AE5</f>
        <v>43835</v>
      </c>
      <c r="AF4" s="155"/>
      <c r="AG4" s="155"/>
      <c r="AH4" s="155"/>
      <c r="AI4" s="155"/>
      <c r="AJ4" s="155"/>
      <c r="AK4" s="156"/>
      <c r="AL4" s="154">
        <f>AL5</f>
        <v>43842</v>
      </c>
      <c r="AM4" s="155"/>
      <c r="AN4" s="155"/>
      <c r="AO4" s="155"/>
      <c r="AP4" s="155"/>
      <c r="AQ4" s="155"/>
      <c r="AR4" s="156"/>
      <c r="AS4" s="154">
        <f>AS5</f>
        <v>43849</v>
      </c>
      <c r="AT4" s="155"/>
      <c r="AU4" s="155"/>
      <c r="AV4" s="155"/>
      <c r="AW4" s="155"/>
      <c r="AX4" s="155"/>
      <c r="AY4" s="156"/>
      <c r="AZ4" s="154">
        <f>AZ5</f>
        <v>43856</v>
      </c>
      <c r="BA4" s="155"/>
      <c r="BB4" s="155"/>
      <c r="BC4" s="155"/>
      <c r="BD4" s="155"/>
      <c r="BE4" s="155"/>
      <c r="BF4" s="156"/>
      <c r="BG4" s="154">
        <f>BG5</f>
        <v>43863</v>
      </c>
      <c r="BH4" s="155"/>
      <c r="BI4" s="155"/>
      <c r="BJ4" s="155"/>
      <c r="BK4" s="155"/>
      <c r="BL4" s="155"/>
      <c r="BM4" s="156"/>
    </row>
    <row r="5" spans="1:65" ht="15" customHeight="1" x14ac:dyDescent="0.3">
      <c r="A5" s="59" t="s">
        <v>327</v>
      </c>
      <c r="B5" s="153"/>
      <c r="C5" s="153"/>
      <c r="D5" s="153"/>
      <c r="E5" s="153"/>
      <c r="F5" s="153"/>
      <c r="G5" s="153"/>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318</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316</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314</v>
      </c>
      <c r="C9" s="98" t="s">
        <v>287</v>
      </c>
      <c r="D9" s="97">
        <v>0.8</v>
      </c>
      <c r="E9" s="96">
        <v>43647</v>
      </c>
      <c r="F9" s="96">
        <f>E9+2</f>
        <v>43649</v>
      </c>
      <c r="G9" s="61"/>
      <c r="H9" s="61">
        <f t="shared" si="4"/>
        <v>3</v>
      </c>
      <c r="I9" s="66" t="s">
        <v>313</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312</v>
      </c>
      <c r="C10" s="98" t="s">
        <v>287</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310</v>
      </c>
      <c r="C11" s="98" t="s">
        <v>287</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309</v>
      </c>
      <c r="C12" s="98" t="s">
        <v>287</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308</v>
      </c>
      <c r="C13" s="98" t="s">
        <v>287</v>
      </c>
      <c r="D13" s="97">
        <v>0.9</v>
      </c>
      <c r="E13" s="96">
        <v>43658</v>
      </c>
      <c r="F13" s="96">
        <f>E13+14</f>
        <v>43672</v>
      </c>
      <c r="G13" s="61"/>
      <c r="H13" s="61">
        <f t="shared" si="4"/>
        <v>15</v>
      </c>
      <c r="I13" s="89" t="s">
        <v>307</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306</v>
      </c>
      <c r="C14" s="98" t="s">
        <v>287</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305</v>
      </c>
      <c r="C15" s="98" t="s">
        <v>287</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304</v>
      </c>
      <c r="C16" s="98" t="s">
        <v>287</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303</v>
      </c>
      <c r="C17" s="98" t="s">
        <v>287</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302</v>
      </c>
      <c r="C18" s="98" t="s">
        <v>287</v>
      </c>
      <c r="D18" s="97">
        <v>0.9</v>
      </c>
      <c r="E18" s="96">
        <v>43689</v>
      </c>
      <c r="F18" s="96">
        <f>E18+2</f>
        <v>43691</v>
      </c>
      <c r="G18" s="61"/>
      <c r="H18" s="61">
        <f t="shared" si="4"/>
        <v>3</v>
      </c>
      <c r="I18" s="89" t="s">
        <v>301</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300</v>
      </c>
      <c r="C19" s="98" t="s">
        <v>287</v>
      </c>
      <c r="D19" s="97">
        <v>0.8</v>
      </c>
      <c r="E19" s="96">
        <v>43811</v>
      </c>
      <c r="F19" s="96">
        <f>E19+10</f>
        <v>43821</v>
      </c>
      <c r="G19" s="61"/>
      <c r="H19" s="61">
        <f t="shared" si="4"/>
        <v>11</v>
      </c>
      <c r="I19" s="89" t="s">
        <v>299</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298</v>
      </c>
      <c r="C20" s="98" t="s">
        <v>287</v>
      </c>
      <c r="D20" s="97">
        <v>0.85</v>
      </c>
      <c r="E20" s="96">
        <v>43823</v>
      </c>
      <c r="F20" s="96">
        <f>E20+3</f>
        <v>43826</v>
      </c>
      <c r="G20" s="61"/>
      <c r="H20" s="61">
        <f t="shared" si="4"/>
        <v>4</v>
      </c>
      <c r="I20" s="66" t="s">
        <v>297</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296</v>
      </c>
      <c r="C21" s="98" t="s">
        <v>287</v>
      </c>
      <c r="D21" s="97">
        <v>0.9</v>
      </c>
      <c r="E21" s="96">
        <v>43702</v>
      </c>
      <c r="F21" s="96">
        <f>E21+7</f>
        <v>43709</v>
      </c>
      <c r="G21" s="61"/>
      <c r="H21" s="61">
        <f t="shared" si="4"/>
        <v>8</v>
      </c>
      <c r="I21" s="66" t="s">
        <v>295</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294</v>
      </c>
      <c r="C22" s="98" t="s">
        <v>287</v>
      </c>
      <c r="D22" s="97">
        <v>0.7</v>
      </c>
      <c r="E22" s="96">
        <v>43703</v>
      </c>
      <c r="F22" s="96">
        <f>E22+7</f>
        <v>43710</v>
      </c>
      <c r="G22" s="61"/>
      <c r="H22" s="61">
        <f t="shared" si="4"/>
        <v>8</v>
      </c>
      <c r="I22" s="89" t="s">
        <v>292</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293</v>
      </c>
      <c r="C23" s="98" t="s">
        <v>287</v>
      </c>
      <c r="D23" s="97">
        <v>0.7</v>
      </c>
      <c r="E23" s="96">
        <v>43704</v>
      </c>
      <c r="F23" s="96">
        <f>E23+2</f>
        <v>43706</v>
      </c>
      <c r="G23" s="61"/>
      <c r="H23" s="61">
        <f t="shared" si="4"/>
        <v>3</v>
      </c>
      <c r="I23" s="89" t="s">
        <v>292</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291</v>
      </c>
      <c r="C24" s="98" t="s">
        <v>287</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290</v>
      </c>
      <c r="C25" s="98" t="s">
        <v>287</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289</v>
      </c>
      <c r="C26" s="98" t="s">
        <v>287</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288</v>
      </c>
      <c r="C27" s="98" t="s">
        <v>287</v>
      </c>
      <c r="D27" s="97">
        <v>0.5</v>
      </c>
      <c r="E27" s="96">
        <f>F13</f>
        <v>43672</v>
      </c>
      <c r="F27" s="96">
        <f>E27+1</f>
        <v>43673</v>
      </c>
      <c r="G27" s="61"/>
      <c r="H27" s="61">
        <f t="shared" si="4"/>
        <v>2</v>
      </c>
      <c r="I27" s="89" t="s">
        <v>286</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285</v>
      </c>
      <c r="C28" s="98" t="s">
        <v>121</v>
      </c>
      <c r="D28" s="97">
        <v>0.9</v>
      </c>
      <c r="E28" s="96">
        <v>43879</v>
      </c>
      <c r="F28" s="96">
        <f>E28+3</f>
        <v>43882</v>
      </c>
      <c r="G28" s="61"/>
      <c r="H28" s="61">
        <f t="shared" si="4"/>
        <v>4</v>
      </c>
      <c r="I28" s="66" t="s">
        <v>284</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283</v>
      </c>
      <c r="C29" s="98" t="s">
        <v>121</v>
      </c>
      <c r="D29" s="97">
        <v>0.8</v>
      </c>
      <c r="E29" s="96">
        <v>43843</v>
      </c>
      <c r="F29" s="96">
        <f>E29+7</f>
        <v>43850</v>
      </c>
      <c r="G29" s="61"/>
      <c r="H29" s="61">
        <f t="shared" si="4"/>
        <v>8</v>
      </c>
      <c r="I29" s="66" t="s">
        <v>282</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281</v>
      </c>
      <c r="C30" s="98" t="s">
        <v>121</v>
      </c>
      <c r="D30" s="97">
        <v>0.5</v>
      </c>
      <c r="E30" s="96">
        <v>43843</v>
      </c>
      <c r="F30" s="96">
        <f>E30+7</f>
        <v>43850</v>
      </c>
      <c r="G30" s="61"/>
      <c r="H30" s="61">
        <f t="shared" si="4"/>
        <v>8</v>
      </c>
      <c r="I30" s="89" t="s">
        <v>280</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279</v>
      </c>
      <c r="C31" s="98" t="s">
        <v>121</v>
      </c>
      <c r="D31" s="97">
        <v>0</v>
      </c>
      <c r="E31" s="96"/>
      <c r="F31" s="96">
        <f>E31+3</f>
        <v>3</v>
      </c>
      <c r="G31" s="61"/>
      <c r="H31" s="61" t="str">
        <f t="shared" si="4"/>
        <v/>
      </c>
      <c r="I31" s="66" t="s">
        <v>278</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277</v>
      </c>
      <c r="C32" s="98" t="s">
        <v>121</v>
      </c>
      <c r="D32" s="97">
        <v>0.5</v>
      </c>
      <c r="E32" s="96">
        <v>43843</v>
      </c>
      <c r="F32" s="96">
        <f>E32+7</f>
        <v>43850</v>
      </c>
      <c r="G32" s="61"/>
      <c r="H32" s="61">
        <f t="shared" si="4"/>
        <v>8</v>
      </c>
      <c r="I32" s="66" t="s">
        <v>276</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274</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273</v>
      </c>
      <c r="C35" s="87" t="s">
        <v>121</v>
      </c>
      <c r="D35" s="87">
        <v>0.95</v>
      </c>
      <c r="E35" s="86">
        <v>43709</v>
      </c>
      <c r="F35" s="86">
        <f>E35+3</f>
        <v>43712</v>
      </c>
      <c r="G35" s="61"/>
      <c r="H35" s="61">
        <f t="shared" si="4"/>
        <v>4</v>
      </c>
      <c r="I35" s="66" t="s">
        <v>272</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271</v>
      </c>
      <c r="C36" s="87" t="s">
        <v>121</v>
      </c>
      <c r="D36" s="87">
        <v>0.5</v>
      </c>
      <c r="E36" s="86">
        <v>43712</v>
      </c>
      <c r="F36" s="86">
        <f>E36+3</f>
        <v>43715</v>
      </c>
      <c r="G36" s="61"/>
      <c r="H36" s="61">
        <f t="shared" si="4"/>
        <v>4</v>
      </c>
      <c r="I36" s="89" t="s">
        <v>270</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269</v>
      </c>
      <c r="C37" s="87" t="s">
        <v>121</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268</v>
      </c>
      <c r="C38" s="87" t="s">
        <v>121</v>
      </c>
      <c r="D38" s="87">
        <v>0.4</v>
      </c>
      <c r="E38" s="86">
        <v>43721</v>
      </c>
      <c r="F38" s="86">
        <f>E38+1</f>
        <v>43722</v>
      </c>
      <c r="G38" s="61"/>
      <c r="H38" s="61">
        <f t="shared" si="4"/>
        <v>2</v>
      </c>
      <c r="I38" s="89" t="s">
        <v>267</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266</v>
      </c>
      <c r="C39" s="87" t="s">
        <v>121</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265</v>
      </c>
      <c r="C40" s="87" t="s">
        <v>121</v>
      </c>
      <c r="D40" s="87">
        <v>0.4</v>
      </c>
      <c r="E40" s="86">
        <v>43723</v>
      </c>
      <c r="F40" s="86">
        <f>E40+3</f>
        <v>43726</v>
      </c>
      <c r="G40" s="61"/>
      <c r="H40" s="61">
        <f t="shared" si="5"/>
        <v>4</v>
      </c>
      <c r="I40" s="89" t="s">
        <v>264</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263</v>
      </c>
      <c r="C41" s="87" t="s">
        <v>121</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262</v>
      </c>
      <c r="C42" s="87"/>
      <c r="D42" s="87">
        <v>0.5</v>
      </c>
      <c r="E42" s="86">
        <v>43727</v>
      </c>
      <c r="F42" s="86">
        <f>E42+1</f>
        <v>43728</v>
      </c>
      <c r="G42" s="61"/>
      <c r="H42" s="61">
        <f t="shared" si="5"/>
        <v>2</v>
      </c>
      <c r="I42" s="66" t="s">
        <v>261</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260</v>
      </c>
      <c r="C43" s="87" t="s">
        <v>121</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259</v>
      </c>
      <c r="C44" s="87" t="s">
        <v>121</v>
      </c>
      <c r="D44" s="87">
        <v>0.95</v>
      </c>
      <c r="E44" s="86">
        <v>43725</v>
      </c>
      <c r="F44" s="86">
        <f>E44+4</f>
        <v>43729</v>
      </c>
      <c r="G44" s="61"/>
      <c r="H44" s="61">
        <f t="shared" si="5"/>
        <v>5</v>
      </c>
      <c r="I44" s="89" t="s">
        <v>258</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257</v>
      </c>
      <c r="C45" s="87" t="s">
        <v>121</v>
      </c>
      <c r="D45" s="87">
        <v>0.8</v>
      </c>
      <c r="E45" s="86">
        <v>43862</v>
      </c>
      <c r="F45" s="86">
        <f t="shared" ref="F45:F76" si="6">E45+28</f>
        <v>43890</v>
      </c>
      <c r="G45" s="61"/>
      <c r="H45" s="61">
        <f t="shared" si="5"/>
        <v>29</v>
      </c>
      <c r="I45" s="89" t="s">
        <v>256</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255</v>
      </c>
      <c r="C46" s="87" t="s">
        <v>121</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254</v>
      </c>
      <c r="C47" s="87" t="s">
        <v>121</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253</v>
      </c>
      <c r="C48" s="87" t="s">
        <v>121</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252</v>
      </c>
      <c r="C49" s="87" t="s">
        <v>121</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251</v>
      </c>
      <c r="C50" s="87" t="s">
        <v>121</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250</v>
      </c>
      <c r="C51" s="87" t="s">
        <v>121</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250</v>
      </c>
      <c r="C52" s="87" t="s">
        <v>121</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249</v>
      </c>
      <c r="C53" s="87" t="s">
        <v>121</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248</v>
      </c>
      <c r="C54" s="87" t="s">
        <v>121</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247</v>
      </c>
      <c r="C55" s="87" t="s">
        <v>121</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246</v>
      </c>
      <c r="C56" s="87" t="s">
        <v>121</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245</v>
      </c>
      <c r="C57" s="87" t="s">
        <v>121</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244</v>
      </c>
      <c r="C58" s="87" t="s">
        <v>121</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243</v>
      </c>
      <c r="C59" s="87" t="s">
        <v>121</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242</v>
      </c>
      <c r="C60" s="87" t="s">
        <v>121</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241</v>
      </c>
      <c r="C61" s="87" t="s">
        <v>121</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240</v>
      </c>
      <c r="C62" s="87" t="s">
        <v>121</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239</v>
      </c>
      <c r="C63" s="87" t="s">
        <v>224</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238</v>
      </c>
      <c r="C64" s="87" t="s">
        <v>224</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237</v>
      </c>
      <c r="C65" s="87" t="s">
        <v>224</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236</v>
      </c>
      <c r="C66" s="87" t="s">
        <v>181</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235</v>
      </c>
      <c r="C67" s="87" t="s">
        <v>181</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234</v>
      </c>
      <c r="C68" s="87" t="s">
        <v>181</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233</v>
      </c>
      <c r="C69" s="87" t="s">
        <v>224</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232</v>
      </c>
      <c r="C70" s="87" t="s">
        <v>121</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231</v>
      </c>
      <c r="C71" s="87" t="s">
        <v>121</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230</v>
      </c>
      <c r="C72" s="87" t="s">
        <v>121</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229</v>
      </c>
      <c r="C73" s="87" t="s">
        <v>121</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228</v>
      </c>
      <c r="C74" s="87" t="s">
        <v>181</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227</v>
      </c>
      <c r="C75" s="87" t="s">
        <v>181</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226</v>
      </c>
      <c r="C76" s="87" t="s">
        <v>121</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225</v>
      </c>
      <c r="C77" s="87" t="s">
        <v>224</v>
      </c>
      <c r="D77" s="87">
        <v>0.3</v>
      </c>
      <c r="E77" s="86">
        <v>43730</v>
      </c>
      <c r="F77" s="86">
        <f>E77+5</f>
        <v>43735</v>
      </c>
      <c r="G77" s="61"/>
      <c r="H77" s="61">
        <f t="shared" si="7"/>
        <v>6</v>
      </c>
      <c r="I77" s="89" t="s">
        <v>222</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223</v>
      </c>
      <c r="C78" s="87" t="s">
        <v>121</v>
      </c>
      <c r="D78" s="87">
        <v>0.3</v>
      </c>
      <c r="E78" s="86">
        <v>43730</v>
      </c>
      <c r="F78" s="86">
        <f>E78+5</f>
        <v>43735</v>
      </c>
      <c r="G78" s="61"/>
      <c r="H78" s="61">
        <f t="shared" si="7"/>
        <v>6</v>
      </c>
      <c r="I78" s="89" t="s">
        <v>222</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221</v>
      </c>
      <c r="C79" s="87" t="s">
        <v>121</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220</v>
      </c>
      <c r="C80" s="87" t="s">
        <v>121</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219</v>
      </c>
      <c r="C81" s="87" t="s">
        <v>121</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218</v>
      </c>
      <c r="C82" s="87" t="s">
        <v>121</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217</v>
      </c>
      <c r="C83" s="87" t="s">
        <v>121</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216</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215</v>
      </c>
      <c r="C89" s="79" t="s">
        <v>121</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214</v>
      </c>
      <c r="C90" s="79" t="s">
        <v>181</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213</v>
      </c>
      <c r="C91" s="79" t="s">
        <v>121</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212</v>
      </c>
      <c r="C92" s="79" t="s">
        <v>121</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211</v>
      </c>
      <c r="C93" s="79" t="s">
        <v>121</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210</v>
      </c>
      <c r="C94" s="79" t="s">
        <v>181</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209</v>
      </c>
      <c r="C95" s="79" t="s">
        <v>121</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208</v>
      </c>
      <c r="C96" s="79" t="s">
        <v>121</v>
      </c>
      <c r="D96" s="78">
        <v>0.5</v>
      </c>
      <c r="E96" s="77">
        <v>43770</v>
      </c>
      <c r="F96" s="77">
        <f>E96+2</f>
        <v>43772</v>
      </c>
      <c r="G96" s="61"/>
      <c r="H96" s="61">
        <f t="shared" si="8"/>
        <v>3</v>
      </c>
      <c r="I96" s="66" t="s">
        <v>207</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206</v>
      </c>
      <c r="C97" s="79" t="s">
        <v>181</v>
      </c>
      <c r="D97" s="78">
        <v>0.5</v>
      </c>
      <c r="E97" s="77">
        <v>43770</v>
      </c>
      <c r="F97" s="77">
        <f>E97+2</f>
        <v>43772</v>
      </c>
      <c r="G97" s="61"/>
      <c r="H97" s="61">
        <f t="shared" si="8"/>
        <v>3</v>
      </c>
      <c r="I97" s="66" t="s">
        <v>205</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204</v>
      </c>
      <c r="C98" s="79" t="s">
        <v>121</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203</v>
      </c>
      <c r="C99" s="79" t="s">
        <v>121</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202</v>
      </c>
      <c r="C100" s="79" t="s">
        <v>121</v>
      </c>
      <c r="D100" s="78">
        <v>0.9</v>
      </c>
      <c r="E100" s="77">
        <v>43773</v>
      </c>
      <c r="F100" s="77">
        <f>E100+7</f>
        <v>43780</v>
      </c>
      <c r="G100" s="61"/>
      <c r="H100" s="61">
        <f t="shared" si="8"/>
        <v>8</v>
      </c>
      <c r="I100" s="66" t="s">
        <v>340</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201</v>
      </c>
      <c r="C101" s="79" t="s">
        <v>200</v>
      </c>
      <c r="D101" s="78">
        <v>0.8</v>
      </c>
      <c r="E101" s="77">
        <v>43885</v>
      </c>
      <c r="F101" s="77">
        <f>E101+14</f>
        <v>43899</v>
      </c>
      <c r="G101" s="61"/>
      <c r="H101" s="61">
        <f t="shared" si="8"/>
        <v>15</v>
      </c>
      <c r="I101" s="66" t="s">
        <v>339</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199</v>
      </c>
      <c r="C102" s="79" t="s">
        <v>121</v>
      </c>
      <c r="D102" s="78">
        <v>0.8</v>
      </c>
      <c r="E102" s="77">
        <v>43781</v>
      </c>
      <c r="F102" s="77">
        <f>E102+7</f>
        <v>43788</v>
      </c>
      <c r="G102" s="61"/>
      <c r="H102" s="61">
        <f t="shared" si="8"/>
        <v>8</v>
      </c>
      <c r="I102" s="66" t="s">
        <v>341</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198</v>
      </c>
      <c r="C103" s="79" t="s">
        <v>121</v>
      </c>
      <c r="D103" s="78">
        <v>0.7</v>
      </c>
      <c r="E103" s="77">
        <v>43789</v>
      </c>
      <c r="F103" s="77">
        <f>E103+3</f>
        <v>43792</v>
      </c>
      <c r="G103" s="61"/>
      <c r="H103" s="61">
        <f t="shared" si="8"/>
        <v>4</v>
      </c>
      <c r="I103" s="66" t="s">
        <v>341</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197</v>
      </c>
      <c r="C104" s="79" t="s">
        <v>121</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196</v>
      </c>
      <c r="C105" s="79" t="s">
        <v>121</v>
      </c>
      <c r="D105" s="78">
        <v>0.1</v>
      </c>
      <c r="E105" s="77">
        <v>43796</v>
      </c>
      <c r="F105" s="77">
        <f>E105+5</f>
        <v>43801</v>
      </c>
      <c r="G105" s="61"/>
      <c r="H105" s="61">
        <f t="shared" si="8"/>
        <v>6</v>
      </c>
      <c r="I105" s="66" t="s">
        <v>342</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195</v>
      </c>
      <c r="C106" s="79" t="s">
        <v>121</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194</v>
      </c>
      <c r="C107" s="79" t="s">
        <v>121</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193</v>
      </c>
      <c r="C108" s="79" t="s">
        <v>121</v>
      </c>
      <c r="D108" s="78">
        <v>0.3</v>
      </c>
      <c r="E108" s="77">
        <v>43807</v>
      </c>
      <c r="F108" s="77">
        <f>E108+3</f>
        <v>43810</v>
      </c>
      <c r="G108" s="61"/>
      <c r="H108" s="61">
        <f t="shared" si="8"/>
        <v>4</v>
      </c>
      <c r="I108" s="66" t="s">
        <v>345</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192</v>
      </c>
      <c r="C109" s="79" t="s">
        <v>121</v>
      </c>
      <c r="D109" s="78">
        <v>0</v>
      </c>
      <c r="E109" s="77"/>
      <c r="F109" s="77">
        <f t="shared" si="9"/>
        <v>7</v>
      </c>
      <c r="G109" s="61"/>
      <c r="H109" s="61" t="str">
        <f t="shared" si="8"/>
        <v/>
      </c>
      <c r="I109" s="66" t="s">
        <v>344</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191</v>
      </c>
      <c r="C110" s="79" t="s">
        <v>181</v>
      </c>
      <c r="D110" s="78">
        <v>0</v>
      </c>
      <c r="E110" s="77"/>
      <c r="F110" s="77">
        <f t="shared" si="9"/>
        <v>7</v>
      </c>
      <c r="G110" s="61"/>
      <c r="H110" s="61" t="str">
        <f t="shared" si="8"/>
        <v/>
      </c>
      <c r="I110" s="66" t="s">
        <v>344</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190</v>
      </c>
      <c r="C111" s="79" t="s">
        <v>121</v>
      </c>
      <c r="D111" s="78">
        <v>0.1</v>
      </c>
      <c r="E111" s="77"/>
      <c r="F111" s="77">
        <f t="shared" si="9"/>
        <v>7</v>
      </c>
      <c r="G111" s="61"/>
      <c r="H111" s="61" t="str">
        <f t="shared" si="8"/>
        <v/>
      </c>
      <c r="I111" s="66" t="s">
        <v>343</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189</v>
      </c>
      <c r="C112" s="79" t="s">
        <v>181</v>
      </c>
      <c r="D112" s="78">
        <v>0.1</v>
      </c>
      <c r="E112" s="77"/>
      <c r="F112" s="77">
        <f t="shared" si="9"/>
        <v>7</v>
      </c>
      <c r="G112" s="61"/>
      <c r="H112" s="61" t="str">
        <f t="shared" si="8"/>
        <v/>
      </c>
      <c r="I112" s="66" t="s">
        <v>343</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188</v>
      </c>
      <c r="C113" s="79" t="s">
        <v>181</v>
      </c>
      <c r="D113" s="78">
        <v>0.1</v>
      </c>
      <c r="E113" s="77"/>
      <c r="F113" s="77">
        <f t="shared" si="9"/>
        <v>7</v>
      </c>
      <c r="G113" s="61"/>
      <c r="H113" s="61" t="str">
        <f t="shared" si="8"/>
        <v/>
      </c>
      <c r="I113" s="66" t="s">
        <v>343</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187</v>
      </c>
      <c r="C114" s="79" t="s">
        <v>121</v>
      </c>
      <c r="D114" s="78">
        <v>0.1</v>
      </c>
      <c r="E114" s="77"/>
      <c r="F114" s="77">
        <f t="shared" si="9"/>
        <v>7</v>
      </c>
      <c r="G114" s="61"/>
      <c r="H114" s="61" t="str">
        <f t="shared" si="8"/>
        <v/>
      </c>
      <c r="I114" s="66" t="s">
        <v>343</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184</v>
      </c>
      <c r="C117" s="69" t="s">
        <v>121</v>
      </c>
      <c r="D117" s="68">
        <v>0.7</v>
      </c>
      <c r="E117" s="71">
        <v>43811</v>
      </c>
      <c r="F117" s="122">
        <f>E117+5</f>
        <v>43816</v>
      </c>
      <c r="G117" s="61"/>
      <c r="H117" s="61">
        <f t="shared" si="10"/>
        <v>6</v>
      </c>
      <c r="I117" s="66" t="s">
        <v>346</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183</v>
      </c>
      <c r="C118" s="69" t="s">
        <v>121</v>
      </c>
      <c r="D118" s="68">
        <v>0.5</v>
      </c>
      <c r="E118" s="67">
        <v>43817</v>
      </c>
      <c r="F118" s="122">
        <f>E118+14</f>
        <v>43831</v>
      </c>
      <c r="G118" s="61"/>
      <c r="H118" s="61">
        <f t="shared" si="10"/>
        <v>15</v>
      </c>
      <c r="I118" s="66" t="s">
        <v>347</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182</v>
      </c>
      <c r="C119" s="69" t="s">
        <v>181</v>
      </c>
      <c r="D119" s="68">
        <v>0.5</v>
      </c>
      <c r="E119" s="67">
        <v>43833</v>
      </c>
      <c r="F119" s="122">
        <f>E119+14</f>
        <v>43847</v>
      </c>
      <c r="G119" s="61"/>
      <c r="H119" s="61">
        <f t="shared" si="10"/>
        <v>15</v>
      </c>
      <c r="I119" s="66" t="s">
        <v>348</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180</v>
      </c>
      <c r="C120" s="69" t="s">
        <v>121</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179</v>
      </c>
      <c r="C121" s="69" t="s">
        <v>121</v>
      </c>
      <c r="D121" s="68">
        <v>0.7</v>
      </c>
      <c r="E121" s="67">
        <v>43837</v>
      </c>
      <c r="F121" s="122">
        <f t="shared" ref="F121:F128" si="11">E121+5</f>
        <v>43842</v>
      </c>
      <c r="G121" s="61"/>
      <c r="H121" s="61">
        <f t="shared" si="10"/>
        <v>6</v>
      </c>
      <c r="I121" s="66" t="s">
        <v>349</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178</v>
      </c>
      <c r="C122" s="69" t="s">
        <v>121</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177</v>
      </c>
      <c r="C123" s="69" t="s">
        <v>121</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176</v>
      </c>
      <c r="C124" s="69" t="s">
        <v>121</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175</v>
      </c>
      <c r="C125" s="69" t="s">
        <v>121</v>
      </c>
      <c r="D125" s="68">
        <v>0.7</v>
      </c>
      <c r="E125" s="67">
        <v>43854</v>
      </c>
      <c r="F125" s="122">
        <f>E125+5</f>
        <v>43859</v>
      </c>
      <c r="G125" s="61"/>
      <c r="H125" s="61">
        <f t="shared" si="10"/>
        <v>6</v>
      </c>
      <c r="I125" s="66" t="s">
        <v>350</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174</v>
      </c>
      <c r="C126" s="69" t="s">
        <v>121</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173</v>
      </c>
      <c r="C127" s="69" t="s">
        <v>121</v>
      </c>
      <c r="D127" s="68">
        <v>0.5</v>
      </c>
      <c r="E127" s="67">
        <v>43862</v>
      </c>
      <c r="F127" s="122">
        <f>E127+2</f>
        <v>43864</v>
      </c>
      <c r="G127" s="61"/>
      <c r="H127" s="61">
        <f t="shared" si="10"/>
        <v>3</v>
      </c>
      <c r="I127" s="66" t="s">
        <v>351</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172</v>
      </c>
      <c r="C128" s="69" t="s">
        <v>121</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171</v>
      </c>
      <c r="C129" s="69" t="s">
        <v>121</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170</v>
      </c>
      <c r="C130" s="69" t="s">
        <v>121</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169</v>
      </c>
      <c r="C131" s="69" t="s">
        <v>121</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168</v>
      </c>
      <c r="C132" s="69" t="s">
        <v>121</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167</v>
      </c>
      <c r="C133" s="69" t="s">
        <v>121</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166</v>
      </c>
      <c r="C134" s="69" t="s">
        <v>121</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165</v>
      </c>
      <c r="C135" s="69" t="s">
        <v>121</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164</v>
      </c>
      <c r="C136" s="69" t="s">
        <v>121</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163</v>
      </c>
      <c r="C137" s="69" t="s">
        <v>121</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162</v>
      </c>
      <c r="C138" s="69" t="s">
        <v>121</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161</v>
      </c>
      <c r="C139" s="69" t="s">
        <v>121</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160</v>
      </c>
      <c r="C140" s="69" t="s">
        <v>121</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159</v>
      </c>
      <c r="C141" s="69" t="s">
        <v>121</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158</v>
      </c>
      <c r="C142" s="69" t="s">
        <v>121</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157</v>
      </c>
      <c r="C143" s="69" t="s">
        <v>121</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156</v>
      </c>
      <c r="C144" s="69" t="s">
        <v>121</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155</v>
      </c>
      <c r="C145" s="69" t="s">
        <v>121</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154</v>
      </c>
      <c r="C146" s="69" t="s">
        <v>121</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153</v>
      </c>
      <c r="C147" s="69" t="s">
        <v>121</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152</v>
      </c>
      <c r="C148" s="69" t="s">
        <v>121</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151</v>
      </c>
      <c r="C149" s="69" t="s">
        <v>121</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150</v>
      </c>
      <c r="C150" s="69" t="s">
        <v>121</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149</v>
      </c>
      <c r="C151" s="69" t="s">
        <v>121</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148</v>
      </c>
      <c r="C152" s="69" t="s">
        <v>121</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147</v>
      </c>
      <c r="C153" s="69" t="s">
        <v>121</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146</v>
      </c>
      <c r="C154" s="69" t="s">
        <v>121</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145</v>
      </c>
      <c r="C155" s="69" t="s">
        <v>121</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144</v>
      </c>
      <c r="C156" s="69" t="s">
        <v>121</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353</v>
      </c>
      <c r="C157" s="69" t="s">
        <v>121</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352</v>
      </c>
      <c r="C158" s="69" t="s">
        <v>121</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354</v>
      </c>
      <c r="C159" s="69" t="s">
        <v>121</v>
      </c>
      <c r="D159" s="68">
        <v>0.3</v>
      </c>
      <c r="E159" s="67"/>
      <c r="F159" s="67"/>
      <c r="G159" s="61"/>
      <c r="H159" s="61" t="str">
        <f t="shared" si="12"/>
        <v/>
      </c>
      <c r="I159" s="66" t="s">
        <v>355</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143</v>
      </c>
      <c r="C160" s="69" t="s">
        <v>121</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142</v>
      </c>
      <c r="C161" s="69" t="s">
        <v>121</v>
      </c>
      <c r="D161" s="68">
        <v>0.6</v>
      </c>
      <c r="E161" s="67"/>
      <c r="F161" s="67"/>
      <c r="G161" s="61"/>
      <c r="H161" s="61" t="str">
        <f t="shared" si="12"/>
        <v/>
      </c>
      <c r="I161" s="66" t="s">
        <v>356</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141</v>
      </c>
      <c r="C162" s="69" t="s">
        <v>121</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140</v>
      </c>
      <c r="C163" s="69" t="s">
        <v>121</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139</v>
      </c>
      <c r="C164" s="69" t="s">
        <v>121</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138</v>
      </c>
      <c r="C165" s="69" t="s">
        <v>121</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137</v>
      </c>
      <c r="C166" s="69" t="s">
        <v>121</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136</v>
      </c>
      <c r="C167" s="69" t="s">
        <v>121</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135</v>
      </c>
      <c r="C168" s="69" t="s">
        <v>121</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121</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134</v>
      </c>
      <c r="C170" s="69" t="s">
        <v>121</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133</v>
      </c>
      <c r="C171" s="69" t="s">
        <v>121</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132</v>
      </c>
      <c r="C172" s="69" t="s">
        <v>121</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131</v>
      </c>
      <c r="C173" s="69" t="s">
        <v>121</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130</v>
      </c>
      <c r="C174" s="69" t="s">
        <v>121</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129</v>
      </c>
      <c r="C175" s="69" t="s">
        <v>121</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128</v>
      </c>
      <c r="C176" s="69" t="s">
        <v>121</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127</v>
      </c>
      <c r="C177" s="69" t="s">
        <v>121</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126</v>
      </c>
      <c r="C178" s="69" t="s">
        <v>121</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125</v>
      </c>
      <c r="C179" s="69" t="s">
        <v>121</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124</v>
      </c>
      <c r="C180" s="69" t="s">
        <v>121</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123</v>
      </c>
      <c r="C181" s="69" t="s">
        <v>121</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122</v>
      </c>
      <c r="C182" s="69" t="s">
        <v>121</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357</v>
      </c>
      <c r="C183" s="69" t="s">
        <v>121</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BG4:BM4"/>
    <mergeCell ref="E3:F3"/>
    <mergeCell ref="J4:P4"/>
    <mergeCell ref="Q4:W4"/>
    <mergeCell ref="X4:AD4"/>
    <mergeCell ref="AE4:AK4"/>
    <mergeCell ref="AZ4:BF4"/>
    <mergeCell ref="C3:D3"/>
    <mergeCell ref="C4:D4"/>
    <mergeCell ref="B5:G5"/>
    <mergeCell ref="AL4:AR4"/>
    <mergeCell ref="AS4:AY4"/>
  </mergeCells>
  <phoneticPr fontId="32"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182" priority="4">
      <formula>AND(TODAY()&gt;=J$5,TODAY()&lt;K$5)</formula>
    </cfRule>
  </conditionalFormatting>
  <conditionalFormatting sqref="J7:BM187">
    <cfRule type="expression" dxfId="181" priority="2">
      <formula>AND(task_start&lt;=J$5,ROUNDDOWN((task_end-task_start+1)*task_progress,0)+task_start-1&gt;=J$5)</formula>
    </cfRule>
    <cfRule type="expression" dxfId="180"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46" activePane="bottomLeft" state="frozen"/>
      <selection pane="bottomLeft" activeCell="J1" sqref="J1"/>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442</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51" t="s">
        <v>330</v>
      </c>
      <c r="D3" s="152"/>
      <c r="E3" s="157">
        <v>43922</v>
      </c>
      <c r="F3" s="157"/>
    </row>
    <row r="4" spans="1:65" ht="30" customHeight="1" x14ac:dyDescent="0.3">
      <c r="A4" s="59" t="s">
        <v>329</v>
      </c>
      <c r="C4" s="151" t="s">
        <v>328</v>
      </c>
      <c r="D4" s="152"/>
      <c r="E4" s="113">
        <v>1</v>
      </c>
      <c r="J4" s="154">
        <f>J5</f>
        <v>43919</v>
      </c>
      <c r="K4" s="155"/>
      <c r="L4" s="155"/>
      <c r="M4" s="155"/>
      <c r="N4" s="155"/>
      <c r="O4" s="155"/>
      <c r="P4" s="156"/>
      <c r="Q4" s="154">
        <f>Q5</f>
        <v>43926</v>
      </c>
      <c r="R4" s="155"/>
      <c r="S4" s="155"/>
      <c r="T4" s="155"/>
      <c r="U4" s="155"/>
      <c r="V4" s="155"/>
      <c r="W4" s="156"/>
      <c r="X4" s="154">
        <f>X5</f>
        <v>43933</v>
      </c>
      <c r="Y4" s="155"/>
      <c r="Z4" s="155"/>
      <c r="AA4" s="155"/>
      <c r="AB4" s="155"/>
      <c r="AC4" s="155"/>
      <c r="AD4" s="156"/>
      <c r="AE4" s="154">
        <f>AE5</f>
        <v>43940</v>
      </c>
      <c r="AF4" s="155"/>
      <c r="AG4" s="155"/>
      <c r="AH4" s="155"/>
      <c r="AI4" s="155"/>
      <c r="AJ4" s="155"/>
      <c r="AK4" s="156"/>
      <c r="AL4" s="154">
        <f>AL5</f>
        <v>43947</v>
      </c>
      <c r="AM4" s="155"/>
      <c r="AN4" s="155"/>
      <c r="AO4" s="155"/>
      <c r="AP4" s="155"/>
      <c r="AQ4" s="155"/>
      <c r="AR4" s="156"/>
      <c r="AS4" s="154">
        <f>AS5</f>
        <v>43954</v>
      </c>
      <c r="AT4" s="155"/>
      <c r="AU4" s="155"/>
      <c r="AV4" s="155"/>
      <c r="AW4" s="155"/>
      <c r="AX4" s="155"/>
      <c r="AY4" s="156"/>
      <c r="AZ4" s="154">
        <f>AZ5</f>
        <v>43961</v>
      </c>
      <c r="BA4" s="155"/>
      <c r="BB4" s="155"/>
      <c r="BC4" s="155"/>
      <c r="BD4" s="155"/>
      <c r="BE4" s="155"/>
      <c r="BF4" s="156"/>
      <c r="BG4" s="154">
        <f>BG5</f>
        <v>43968</v>
      </c>
      <c r="BH4" s="155"/>
      <c r="BI4" s="155"/>
      <c r="BJ4" s="155"/>
      <c r="BK4" s="155"/>
      <c r="BL4" s="155"/>
      <c r="BM4" s="156"/>
    </row>
    <row r="5" spans="1:65" ht="15" customHeight="1" x14ac:dyDescent="0.3">
      <c r="A5" s="59" t="s">
        <v>327</v>
      </c>
      <c r="B5" s="153"/>
      <c r="C5" s="153"/>
      <c r="D5" s="153"/>
      <c r="E5" s="153"/>
      <c r="F5" s="153"/>
      <c r="G5" s="153"/>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318</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418</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413</v>
      </c>
      <c r="C9" s="98" t="s">
        <v>411</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414</v>
      </c>
      <c r="C10" s="98" t="s">
        <v>412</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415</v>
      </c>
      <c r="C11" s="98" t="s">
        <v>412</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416</v>
      </c>
      <c r="C12" s="98" t="s">
        <v>412</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417</v>
      </c>
      <c r="C13" s="98" t="s">
        <v>412</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419</v>
      </c>
      <c r="C14" s="98" t="s">
        <v>412</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420</v>
      </c>
      <c r="C15" s="98" t="s">
        <v>412</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421</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422</v>
      </c>
      <c r="C35" s="87" t="s">
        <v>200</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423</v>
      </c>
      <c r="C36" s="87" t="s">
        <v>424</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426</v>
      </c>
      <c r="C37" s="87" t="s">
        <v>121</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425</v>
      </c>
      <c r="C38" s="87" t="s">
        <v>121</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428</v>
      </c>
      <c r="C39" s="87" t="s">
        <v>121</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427</v>
      </c>
      <c r="C40" s="87" t="s">
        <v>429</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430</v>
      </c>
      <c r="C41" s="87" t="s">
        <v>121</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431</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433</v>
      </c>
      <c r="C43" s="87" t="s">
        <v>121</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432</v>
      </c>
      <c r="C44" s="87" t="s">
        <v>121</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434</v>
      </c>
      <c r="C45" s="87" t="s">
        <v>121</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435</v>
      </c>
      <c r="C46" s="87" t="s">
        <v>121</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436</v>
      </c>
      <c r="C47" s="87" t="s">
        <v>121</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437</v>
      </c>
      <c r="C48" s="87" t="s">
        <v>121</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438</v>
      </c>
      <c r="C49" s="87" t="s">
        <v>121</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439</v>
      </c>
      <c r="C50" s="87" t="s">
        <v>121</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440</v>
      </c>
      <c r="C51" s="87" t="s">
        <v>121</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441</v>
      </c>
      <c r="C52" s="87" t="s">
        <v>121</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469</v>
      </c>
      <c r="C53" s="87" t="s">
        <v>121</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121</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121</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121</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121</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121</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121</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121</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121</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121</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121</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121</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121</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121</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121</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121</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121</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121</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121</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121</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121</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121</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121</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121</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121</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121</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121</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121</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121</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121</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121</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443</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444</v>
      </c>
      <c r="C89" s="79" t="s">
        <v>121</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445</v>
      </c>
      <c r="C90" s="79" t="s">
        <v>121</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446</v>
      </c>
      <c r="C91" s="79" t="s">
        <v>121</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447</v>
      </c>
      <c r="C92" s="79" t="s">
        <v>121</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448</v>
      </c>
      <c r="C93" s="79" t="s">
        <v>121</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449</v>
      </c>
      <c r="C94" s="79" t="s">
        <v>121</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450</v>
      </c>
      <c r="C95" s="79" t="s">
        <v>121</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451</v>
      </c>
      <c r="C96" s="79" t="s">
        <v>121</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452</v>
      </c>
      <c r="C97" s="79" t="s">
        <v>121</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453</v>
      </c>
      <c r="C98" s="79" t="s">
        <v>121</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454</v>
      </c>
      <c r="C99" s="79" t="s">
        <v>121</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455</v>
      </c>
      <c r="C100" s="79" t="s">
        <v>121</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200</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121</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121</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121</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121</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121</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121</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121</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121</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121</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121</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121</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121</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121</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Q4:W4"/>
    <mergeCell ref="X4:AD4"/>
    <mergeCell ref="B5:G5"/>
    <mergeCell ref="C3:D3"/>
    <mergeCell ref="E3:F3"/>
    <mergeCell ref="C4:D4"/>
    <mergeCell ref="J4:P4"/>
    <mergeCell ref="AE4:AK4"/>
    <mergeCell ref="AL4:AR4"/>
    <mergeCell ref="AS4:AY4"/>
    <mergeCell ref="AZ4:BF4"/>
    <mergeCell ref="BG4:BM4"/>
  </mergeCells>
  <phoneticPr fontId="32"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179" priority="4">
      <formula>AND(TODAY()&gt;=J$5,TODAY()&lt;K$5)</formula>
    </cfRule>
  </conditionalFormatting>
  <conditionalFormatting sqref="J7:BM187">
    <cfRule type="expression" dxfId="178" priority="2">
      <formula>AND(task_start&lt;=J$5,ROUNDDOWN((task_end-task_start+1)*task_progress,0)+task_start-1&gt;=J$5)</formula>
    </cfRule>
    <cfRule type="expression" dxfId="177"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1"/>
  <sheetViews>
    <sheetView tabSelected="1" workbookViewId="0">
      <pane ySplit="3" topLeftCell="A18" activePane="bottomLeft" state="frozen"/>
      <selection pane="bottomLeft" activeCell="B27" sqref="B27:G31"/>
    </sheetView>
  </sheetViews>
  <sheetFormatPr defaultColWidth="9" defaultRowHeight="14.25" x14ac:dyDescent="0.15"/>
  <cols>
    <col min="1" max="1" width="8.25" style="1" customWidth="1"/>
    <col min="2" max="2" width="21.87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358</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v>
      </c>
      <c r="B2" s="150"/>
      <c r="C2" s="5">
        <f ca="1">TODAY()</f>
        <v>43937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58"/>
      <c r="R3" s="159"/>
      <c r="S3" s="159"/>
      <c r="T3" s="159"/>
      <c r="U3" s="159"/>
      <c r="V3" s="159"/>
      <c r="W3" s="159"/>
      <c r="X3" s="159"/>
      <c r="Y3" s="159"/>
      <c r="Z3" s="159"/>
      <c r="AA3" s="159"/>
      <c r="AB3" s="159"/>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83</v>
      </c>
      <c r="B4" s="11" t="s">
        <v>84</v>
      </c>
      <c r="C4" s="12" t="s">
        <v>85</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-87</v>
      </c>
      <c r="P4" s="20" t="s">
        <v>86</v>
      </c>
      <c r="Q4" s="158"/>
      <c r="R4" s="159"/>
      <c r="S4" s="159"/>
      <c r="T4" s="159"/>
      <c r="U4" s="159"/>
      <c r="V4" s="159"/>
      <c r="W4" s="159"/>
      <c r="X4" s="159"/>
      <c r="Y4" s="159"/>
      <c r="Z4" s="159"/>
      <c r="AA4" s="159"/>
      <c r="AB4" s="159"/>
      <c r="AC4" s="27"/>
      <c r="AD4" s="27"/>
    </row>
    <row r="5" spans="1:246" ht="57.75" customHeight="1" x14ac:dyDescent="0.15">
      <c r="A5" s="15">
        <v>241</v>
      </c>
      <c r="B5" s="11" t="s">
        <v>87</v>
      </c>
      <c r="C5" s="16" t="s">
        <v>88</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-47</v>
      </c>
      <c r="P5" s="20" t="s">
        <v>365</v>
      </c>
      <c r="Q5" s="158"/>
      <c r="R5" s="159"/>
      <c r="S5" s="159"/>
      <c r="T5" s="159"/>
      <c r="U5" s="159"/>
      <c r="V5" s="159"/>
      <c r="W5" s="159"/>
      <c r="X5" s="159"/>
      <c r="Y5" s="159"/>
      <c r="Z5" s="159"/>
      <c r="AA5" s="159"/>
      <c r="AB5" s="159"/>
      <c r="AC5" s="27"/>
      <c r="AD5" s="27"/>
    </row>
    <row r="6" spans="1:246" ht="24.6" customHeight="1" x14ac:dyDescent="0.15">
      <c r="A6" s="15">
        <v>242</v>
      </c>
      <c r="B6" s="11" t="s">
        <v>89</v>
      </c>
      <c r="C6" s="12" t="s">
        <v>90</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-97</v>
      </c>
      <c r="P6" s="20" t="s">
        <v>91</v>
      </c>
      <c r="Q6" s="158"/>
      <c r="R6" s="159"/>
      <c r="S6" s="159"/>
      <c r="T6" s="159"/>
      <c r="U6" s="159"/>
      <c r="V6" s="159"/>
      <c r="W6" s="159"/>
      <c r="X6" s="159"/>
      <c r="Y6" s="159"/>
      <c r="Z6" s="159"/>
      <c r="AA6" s="159"/>
      <c r="AB6" s="159"/>
      <c r="AC6" s="27"/>
      <c r="AD6" s="27"/>
    </row>
    <row r="7" spans="1:246" ht="45" customHeight="1" x14ac:dyDescent="0.15">
      <c r="A7" s="15">
        <v>243</v>
      </c>
      <c r="B7" s="13" t="s">
        <v>92</v>
      </c>
      <c r="C7" s="12" t="s">
        <v>93</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-97</v>
      </c>
      <c r="P7" s="20" t="s">
        <v>94</v>
      </c>
      <c r="Q7" s="158"/>
      <c r="R7" s="159"/>
      <c r="S7" s="159"/>
      <c r="T7" s="159"/>
      <c r="U7" s="159"/>
      <c r="V7" s="159"/>
      <c r="W7" s="159"/>
      <c r="X7" s="159"/>
      <c r="Y7" s="159"/>
      <c r="Z7" s="159"/>
      <c r="AA7" s="159"/>
      <c r="AB7" s="159"/>
      <c r="AC7" s="27"/>
      <c r="AD7" s="27"/>
    </row>
    <row r="8" spans="1:246" ht="24.6" customHeight="1" x14ac:dyDescent="0.15">
      <c r="A8" s="10" t="s">
        <v>95</v>
      </c>
      <c r="B8" s="11" t="s">
        <v>96</v>
      </c>
      <c r="C8" s="16" t="s">
        <v>97</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-87</v>
      </c>
      <c r="P8" s="20" t="s">
        <v>98</v>
      </c>
      <c r="Q8" s="158"/>
      <c r="R8" s="159"/>
      <c r="S8" s="159"/>
      <c r="T8" s="159"/>
      <c r="U8" s="159"/>
      <c r="V8" s="159"/>
      <c r="W8" s="159"/>
      <c r="X8" s="159"/>
      <c r="Y8" s="159"/>
      <c r="Z8" s="159"/>
      <c r="AA8" s="159"/>
      <c r="AB8" s="159"/>
      <c r="AC8" s="27"/>
      <c r="AD8" s="27"/>
    </row>
    <row r="9" spans="1:246" ht="24.6" customHeight="1" x14ac:dyDescent="0.15">
      <c r="A9" s="10" t="s">
        <v>99</v>
      </c>
      <c r="B9" s="11" t="s">
        <v>100</v>
      </c>
      <c r="C9" s="16" t="s">
        <v>101</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-47</v>
      </c>
      <c r="P9" s="20" t="s">
        <v>102</v>
      </c>
      <c r="Q9" s="158"/>
      <c r="R9" s="159"/>
      <c r="S9" s="159"/>
      <c r="T9" s="159"/>
      <c r="U9" s="159"/>
      <c r="V9" s="159"/>
      <c r="W9" s="159"/>
      <c r="X9" s="159"/>
      <c r="Y9" s="159"/>
      <c r="Z9" s="159"/>
      <c r="AA9" s="159"/>
      <c r="AB9" s="159"/>
      <c r="AC9" s="27"/>
      <c r="AD9" s="27"/>
    </row>
    <row r="10" spans="1:246" ht="24.6" customHeight="1" x14ac:dyDescent="0.15">
      <c r="A10" s="15">
        <v>246</v>
      </c>
      <c r="B10" s="11" t="s">
        <v>100</v>
      </c>
      <c r="C10" s="16" t="s">
        <v>103</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-47</v>
      </c>
      <c r="P10" s="20" t="s">
        <v>104</v>
      </c>
      <c r="Q10" s="158"/>
      <c r="R10" s="159"/>
      <c r="S10" s="159"/>
      <c r="T10" s="159"/>
      <c r="U10" s="159"/>
      <c r="V10" s="159"/>
      <c r="W10" s="159"/>
      <c r="X10" s="159"/>
      <c r="Y10" s="159"/>
      <c r="Z10" s="159"/>
      <c r="AA10" s="159"/>
      <c r="AB10" s="159"/>
      <c r="AC10" s="27"/>
      <c r="AD10" s="27"/>
    </row>
    <row r="11" spans="1:246" ht="24.6" customHeight="1" x14ac:dyDescent="0.15">
      <c r="A11" s="15">
        <v>247</v>
      </c>
      <c r="B11" s="11" t="s">
        <v>100</v>
      </c>
      <c r="C11" s="16" t="s">
        <v>105</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-47</v>
      </c>
      <c r="P11" s="20" t="s">
        <v>106</v>
      </c>
      <c r="Q11" s="158"/>
      <c r="R11" s="159"/>
      <c r="S11" s="159"/>
      <c r="T11" s="159"/>
      <c r="U11" s="159"/>
      <c r="V11" s="159"/>
      <c r="W11" s="159"/>
      <c r="X11" s="159"/>
      <c r="Y11" s="159"/>
      <c r="Z11" s="159"/>
      <c r="AA11" s="159"/>
      <c r="AB11" s="159"/>
      <c r="AC11" s="27"/>
      <c r="AD11" s="27"/>
    </row>
    <row r="12" spans="1:246" ht="39" customHeight="1" x14ac:dyDescent="0.15">
      <c r="A12" s="15">
        <v>248</v>
      </c>
      <c r="B12" s="11" t="s">
        <v>107</v>
      </c>
      <c r="C12" s="12" t="s">
        <v>393</v>
      </c>
      <c r="D12" s="13" t="s">
        <v>24</v>
      </c>
      <c r="E12" s="13" t="s">
        <v>108</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-47</v>
      </c>
      <c r="P12" s="20" t="s">
        <v>394</v>
      </c>
      <c r="Q12" s="158"/>
      <c r="R12" s="159"/>
      <c r="S12" s="159"/>
      <c r="T12" s="159"/>
      <c r="U12" s="159"/>
      <c r="V12" s="159"/>
      <c r="W12" s="159"/>
      <c r="X12" s="159"/>
      <c r="Y12" s="159"/>
      <c r="Z12" s="159"/>
      <c r="AA12" s="159"/>
      <c r="AB12" s="159"/>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58"/>
      <c r="R13" s="159"/>
      <c r="S13" s="159"/>
      <c r="T13" s="159"/>
      <c r="U13" s="159"/>
      <c r="V13" s="159"/>
      <c r="W13" s="159"/>
      <c r="X13" s="159"/>
      <c r="Y13" s="159"/>
      <c r="Z13" s="159"/>
      <c r="AA13" s="159"/>
      <c r="AB13" s="159"/>
      <c r="AC13" s="27"/>
      <c r="AD13" s="27"/>
    </row>
    <row r="14" spans="1:246" ht="24.6" customHeight="1" x14ac:dyDescent="0.15">
      <c r="A14" s="15"/>
      <c r="B14" s="11" t="s">
        <v>109</v>
      </c>
      <c r="C14" s="16" t="s">
        <v>110</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-55</v>
      </c>
      <c r="P14" s="20" t="s">
        <v>111</v>
      </c>
      <c r="Q14" s="158"/>
      <c r="R14" s="159"/>
      <c r="S14" s="159"/>
      <c r="T14" s="159"/>
      <c r="U14" s="159"/>
      <c r="V14" s="159"/>
      <c r="W14" s="159"/>
      <c r="X14" s="159"/>
      <c r="Y14" s="159"/>
      <c r="Z14" s="159"/>
      <c r="AA14" s="159"/>
      <c r="AB14" s="159"/>
      <c r="AC14" s="27"/>
      <c r="AD14" s="27"/>
    </row>
    <row r="15" spans="1:246" ht="24.6" customHeight="1" x14ac:dyDescent="0.15">
      <c r="A15" s="15">
        <v>251</v>
      </c>
      <c r="B15" s="11" t="s">
        <v>112</v>
      </c>
      <c r="C15" s="16" t="s">
        <v>113</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-47</v>
      </c>
      <c r="P15" s="20" t="s">
        <v>364</v>
      </c>
      <c r="Q15" s="25"/>
      <c r="R15" s="26"/>
      <c r="S15" s="26"/>
      <c r="T15" s="26"/>
      <c r="U15" s="26"/>
      <c r="V15" s="26"/>
      <c r="W15" s="26"/>
      <c r="X15" s="26"/>
      <c r="Y15" s="26"/>
      <c r="Z15" s="26"/>
      <c r="AA15" s="26"/>
      <c r="AB15" s="26"/>
      <c r="AC15" s="27"/>
      <c r="AD15" s="27"/>
    </row>
    <row r="16" spans="1:246" ht="93" customHeight="1" x14ac:dyDescent="0.15">
      <c r="A16" s="15">
        <v>252</v>
      </c>
      <c r="B16" s="11" t="s">
        <v>114</v>
      </c>
      <c r="C16" s="16" t="s">
        <v>115</v>
      </c>
      <c r="D16" s="13" t="s">
        <v>24</v>
      </c>
      <c r="E16" s="13" t="s">
        <v>370</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-38</v>
      </c>
      <c r="P16" s="20" t="s">
        <v>363</v>
      </c>
      <c r="Q16" s="25"/>
      <c r="R16" s="26"/>
      <c r="S16" s="26"/>
      <c r="T16" s="26"/>
      <c r="U16" s="26"/>
      <c r="V16" s="26"/>
      <c r="W16" s="26"/>
      <c r="X16" s="26"/>
      <c r="Y16" s="26"/>
      <c r="Z16" s="26"/>
      <c r="AA16" s="26"/>
      <c r="AB16" s="26"/>
      <c r="AC16" s="27"/>
      <c r="AD16" s="27"/>
    </row>
    <row r="17" spans="1:30" ht="24.6" customHeight="1" x14ac:dyDescent="0.15">
      <c r="A17" s="15">
        <v>253</v>
      </c>
      <c r="B17" s="11" t="s">
        <v>368</v>
      </c>
      <c r="C17" s="16" t="s">
        <v>369</v>
      </c>
      <c r="D17" s="13" t="s">
        <v>24</v>
      </c>
      <c r="E17" s="13" t="s">
        <v>371</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-6</v>
      </c>
      <c r="P17" s="20" t="s">
        <v>395</v>
      </c>
      <c r="Q17" s="25"/>
      <c r="R17" s="26"/>
      <c r="S17" s="26"/>
      <c r="T17" s="26"/>
      <c r="U17" s="26"/>
      <c r="V17" s="26"/>
      <c r="W17" s="26"/>
      <c r="X17" s="26"/>
      <c r="Y17" s="26"/>
      <c r="Z17" s="26"/>
      <c r="AA17" s="26"/>
      <c r="AB17" s="26"/>
      <c r="AC17" s="27"/>
      <c r="AD17" s="27"/>
    </row>
    <row r="18" spans="1:30" ht="24.6" customHeight="1" x14ac:dyDescent="0.15">
      <c r="A18" s="15"/>
      <c r="B18" s="11" t="s">
        <v>372</v>
      </c>
      <c r="C18" s="16" t="s">
        <v>392</v>
      </c>
      <c r="D18" s="13" t="s">
        <v>24</v>
      </c>
      <c r="E18" s="13" t="s">
        <v>375</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-6</v>
      </c>
      <c r="P18" s="20" t="s">
        <v>398</v>
      </c>
      <c r="Q18" s="25"/>
      <c r="R18" s="26"/>
      <c r="S18" s="26"/>
      <c r="T18" s="26"/>
      <c r="U18" s="26"/>
      <c r="V18" s="26"/>
      <c r="W18" s="26"/>
      <c r="X18" s="26"/>
      <c r="Y18" s="26"/>
      <c r="Z18" s="26"/>
      <c r="AA18" s="26"/>
      <c r="AB18" s="26"/>
      <c r="AC18" s="27"/>
      <c r="AD18" s="27"/>
    </row>
    <row r="19" spans="1:30" ht="24.6" customHeight="1" x14ac:dyDescent="0.15">
      <c r="A19" s="15">
        <v>255</v>
      </c>
      <c r="B19" s="11" t="s">
        <v>374</v>
      </c>
      <c r="C19" s="12" t="s">
        <v>373</v>
      </c>
      <c r="D19" s="13" t="s">
        <v>24</v>
      </c>
      <c r="E19" s="13" t="s">
        <v>376</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-6</v>
      </c>
      <c r="P19" s="20" t="s">
        <v>396</v>
      </c>
      <c r="Q19" s="25"/>
      <c r="R19" s="26"/>
      <c r="S19" s="26"/>
      <c r="T19" s="26"/>
      <c r="U19" s="26"/>
      <c r="V19" s="26"/>
      <c r="W19" s="26"/>
      <c r="X19" s="26"/>
      <c r="Y19" s="26"/>
      <c r="Z19" s="26"/>
      <c r="AA19" s="26"/>
      <c r="AB19" s="26"/>
      <c r="AC19" s="27"/>
      <c r="AD19" s="27"/>
    </row>
    <row r="20" spans="1:30" ht="24.6" customHeight="1" x14ac:dyDescent="0.15">
      <c r="A20" s="15" t="s">
        <v>377</v>
      </c>
      <c r="B20" s="11" t="s">
        <v>378</v>
      </c>
      <c r="C20" s="12" t="s">
        <v>381</v>
      </c>
      <c r="D20" s="13" t="s">
        <v>24</v>
      </c>
      <c r="E20" s="13" t="s">
        <v>379</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-6</v>
      </c>
      <c r="P20" s="20" t="s">
        <v>389</v>
      </c>
      <c r="Q20" s="25"/>
      <c r="R20" s="26"/>
      <c r="S20" s="26"/>
      <c r="T20" s="26"/>
      <c r="U20" s="26"/>
      <c r="V20" s="26"/>
      <c r="W20" s="26"/>
      <c r="X20" s="26"/>
      <c r="Y20" s="26"/>
      <c r="Z20" s="26"/>
      <c r="AA20" s="26"/>
      <c r="AB20" s="26"/>
      <c r="AC20" s="27"/>
      <c r="AD20" s="27"/>
    </row>
    <row r="21" spans="1:30" ht="24.6" customHeight="1" x14ac:dyDescent="0.15">
      <c r="A21" s="15">
        <v>257</v>
      </c>
      <c r="B21" s="11" t="s">
        <v>380</v>
      </c>
      <c r="C21" s="12" t="s">
        <v>382</v>
      </c>
      <c r="D21" s="13" t="s">
        <v>24</v>
      </c>
      <c r="E21" s="13" t="s">
        <v>379</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-6</v>
      </c>
      <c r="P21" s="20" t="s">
        <v>390</v>
      </c>
      <c r="Q21" s="25"/>
      <c r="R21" s="26"/>
      <c r="S21" s="26"/>
      <c r="T21" s="26"/>
      <c r="U21" s="26"/>
      <c r="V21" s="26"/>
      <c r="W21" s="26"/>
      <c r="X21" s="26"/>
      <c r="Y21" s="26"/>
      <c r="Z21" s="26"/>
      <c r="AA21" s="26"/>
      <c r="AB21" s="26"/>
      <c r="AC21" s="27"/>
      <c r="AD21" s="27"/>
    </row>
    <row r="22" spans="1:30" ht="24.6" customHeight="1" x14ac:dyDescent="0.15">
      <c r="A22" s="15">
        <v>258</v>
      </c>
      <c r="B22" s="11" t="s">
        <v>383</v>
      </c>
      <c r="C22" s="16" t="s">
        <v>384</v>
      </c>
      <c r="D22" s="13" t="s">
        <v>24</v>
      </c>
      <c r="E22" s="13" t="s">
        <v>490</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-6</v>
      </c>
      <c r="P22" s="20" t="s">
        <v>391</v>
      </c>
      <c r="Q22" s="25"/>
      <c r="R22" s="26"/>
      <c r="S22" s="26"/>
      <c r="T22" s="26"/>
      <c r="U22" s="26"/>
      <c r="V22" s="26"/>
      <c r="W22" s="26"/>
      <c r="X22" s="26"/>
      <c r="Y22" s="26"/>
      <c r="Z22" s="26"/>
      <c r="AA22" s="26"/>
      <c r="AB22" s="26"/>
      <c r="AC22" s="27"/>
      <c r="AD22" s="27"/>
    </row>
    <row r="23" spans="1:30" ht="24.6" customHeight="1" x14ac:dyDescent="0.15">
      <c r="A23" s="15">
        <v>259</v>
      </c>
      <c r="B23" s="11" t="s">
        <v>385</v>
      </c>
      <c r="C23" s="12" t="s">
        <v>386</v>
      </c>
      <c r="D23" s="13" t="s">
        <v>24</v>
      </c>
      <c r="E23" s="13" t="s">
        <v>387</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-6</v>
      </c>
      <c r="P23" s="20" t="s">
        <v>397</v>
      </c>
      <c r="Q23" s="25"/>
      <c r="R23" s="26"/>
      <c r="S23" s="26"/>
      <c r="T23" s="26"/>
      <c r="U23" s="26"/>
      <c r="V23" s="26"/>
      <c r="W23" s="26"/>
      <c r="X23" s="26"/>
      <c r="Y23" s="26"/>
      <c r="Z23" s="26"/>
      <c r="AA23" s="26"/>
      <c r="AB23" s="26"/>
      <c r="AC23" s="27"/>
      <c r="AD23" s="27"/>
    </row>
    <row r="24" spans="1:30" ht="24" customHeight="1" x14ac:dyDescent="0.15">
      <c r="A24" s="15">
        <v>260</v>
      </c>
      <c r="B24" s="13"/>
      <c r="C24" s="12" t="s">
        <v>407</v>
      </c>
      <c r="D24" s="13" t="s">
        <v>24</v>
      </c>
      <c r="E24" s="13" t="s">
        <v>387</v>
      </c>
      <c r="F24" s="14">
        <v>43928</v>
      </c>
      <c r="G24" s="14">
        <v>43951</v>
      </c>
      <c r="H24" s="14"/>
      <c r="I24" s="14"/>
      <c r="J24" s="13" t="str">
        <f t="shared" ref="J24" ca="1" si="102">IF(AND(I24&lt;=$C$2,I24&lt;&gt;0),"DONE",IF(K24&lt;0,"OVERDUE",IF(AND(K24="",O24&lt;0),"OVERDUE","IN TIME")))</f>
        <v>IN TIME</v>
      </c>
      <c r="K24" s="13" t="str">
        <f t="shared" ref="K24" si="103">IF(H24&gt;0,H24-$C$2,"")</f>
        <v/>
      </c>
      <c r="L24" s="13">
        <f t="shared" ref="L24" ca="1" si="104">IF(J24="OVERDUE",1,0)</f>
        <v>0</v>
      </c>
      <c r="M24" s="13">
        <f t="shared" ref="M24" ca="1" si="105">IF(J24="IN TIME",1,0)</f>
        <v>1</v>
      </c>
      <c r="N24" s="13">
        <f t="shared" ref="N24" ca="1" si="106">IF(J24="DONE",1,0)</f>
        <v>0</v>
      </c>
      <c r="O24" s="13">
        <f t="shared" ref="O24" ca="1" si="107">IF(G24&gt;0,G24-$C$2,"")</f>
        <v>14</v>
      </c>
      <c r="P24" s="20" t="s">
        <v>408</v>
      </c>
      <c r="Q24" s="25"/>
      <c r="R24" s="26"/>
      <c r="S24" s="26"/>
      <c r="T24" s="26"/>
      <c r="U24" s="26"/>
      <c r="V24" s="26"/>
      <c r="W24" s="26"/>
      <c r="X24" s="26"/>
      <c r="Y24" s="26"/>
      <c r="Z24" s="26"/>
      <c r="AA24" s="26"/>
      <c r="AB24" s="26"/>
      <c r="AC24" s="27"/>
      <c r="AD24" s="27"/>
    </row>
    <row r="25" spans="1:30" ht="24.6" customHeight="1" x14ac:dyDescent="0.15">
      <c r="A25" s="15">
        <v>261</v>
      </c>
      <c r="B25" s="13"/>
      <c r="C25" s="16" t="s">
        <v>409</v>
      </c>
      <c r="D25" s="13" t="s">
        <v>24</v>
      </c>
      <c r="E25" s="13" t="s">
        <v>360</v>
      </c>
      <c r="F25" s="14"/>
      <c r="G25" s="14"/>
      <c r="H25" s="14"/>
      <c r="I25" s="14"/>
      <c r="J25" s="13" t="str">
        <f t="shared" ref="J25" ca="1" si="108">IF(AND(I25&lt;=$C$2,I25&lt;&gt;0),"DONE",IF(K25&lt;0,"OVERDUE",IF(AND(K25="",O25&lt;0),"OVERDUE","IN TIME")))</f>
        <v>IN TIME</v>
      </c>
      <c r="K25" s="13" t="str">
        <f t="shared" ref="K25" si="109">IF(H25&gt;0,H25-$C$2,"")</f>
        <v/>
      </c>
      <c r="L25" s="13">
        <f t="shared" ref="L25" ca="1" si="110">IF(J25="OVERDUE",1,0)</f>
        <v>0</v>
      </c>
      <c r="M25" s="13">
        <f t="shared" ref="M25" ca="1" si="111">IF(J25="IN TIME",1,0)</f>
        <v>1</v>
      </c>
      <c r="N25" s="13">
        <f t="shared" ref="N25" ca="1" si="112">IF(J25="DONE",1,0)</f>
        <v>0</v>
      </c>
      <c r="O25" s="13" t="str">
        <f t="shared" ref="O25" si="113">IF(G25&gt;0,G25-$C$2,"")</f>
        <v/>
      </c>
      <c r="P25" s="20"/>
      <c r="Q25" s="25"/>
      <c r="R25" s="26"/>
      <c r="S25" s="26"/>
      <c r="T25" s="26"/>
      <c r="U25" s="26"/>
      <c r="V25" s="26"/>
      <c r="W25" s="26"/>
      <c r="X25" s="26"/>
      <c r="Y25" s="26"/>
      <c r="Z25" s="26"/>
      <c r="AA25" s="26"/>
      <c r="AB25" s="26"/>
      <c r="AC25" s="27"/>
      <c r="AD25" s="27"/>
    </row>
    <row r="26" spans="1:30" ht="24.6" customHeight="1" x14ac:dyDescent="0.15">
      <c r="A26" s="15">
        <v>262</v>
      </c>
      <c r="B26" s="13"/>
      <c r="C26" s="12" t="s">
        <v>410</v>
      </c>
      <c r="D26" s="13" t="s">
        <v>24</v>
      </c>
      <c r="E26" s="13" t="s">
        <v>360</v>
      </c>
      <c r="F26" s="14"/>
      <c r="G26" s="14"/>
      <c r="H26" s="14"/>
      <c r="I26" s="14"/>
      <c r="J26" s="13" t="str">
        <f t="shared" ref="J26" ca="1" si="114">IF(AND(I26&lt;=$C$2,I26&lt;&gt;0),"DONE",IF(K26&lt;0,"OVERDUE",IF(AND(K26="",O26&lt;0),"OVERDUE","IN TIME")))</f>
        <v>IN TIME</v>
      </c>
      <c r="K26" s="13" t="str">
        <f t="shared" ref="K26" si="115">IF(H26&gt;0,H26-$C$2,"")</f>
        <v/>
      </c>
      <c r="L26" s="13">
        <f t="shared" ref="L26" ca="1" si="116">IF(J26="OVERDUE",1,0)</f>
        <v>0</v>
      </c>
      <c r="M26" s="13">
        <f t="shared" ref="M26" ca="1" si="117">IF(J26="IN TIME",1,0)</f>
        <v>1</v>
      </c>
      <c r="N26" s="13">
        <f t="shared" ref="N26" ca="1" si="118">IF(J26="DONE",1,0)</f>
        <v>0</v>
      </c>
      <c r="O26" s="13" t="str">
        <f t="shared" ref="O26" si="119">IF(G26&gt;0,G26-$C$2,"")</f>
        <v/>
      </c>
      <c r="P26" s="20"/>
      <c r="Q26" s="25"/>
      <c r="R26" s="26"/>
      <c r="S26" s="26"/>
      <c r="T26" s="26"/>
      <c r="U26" s="26"/>
      <c r="V26" s="26"/>
      <c r="W26" s="26"/>
      <c r="X26" s="26"/>
      <c r="Y26" s="26"/>
      <c r="Z26" s="26"/>
      <c r="AA26" s="26"/>
      <c r="AB26" s="26"/>
      <c r="AC26" s="27"/>
      <c r="AD26" s="27"/>
    </row>
    <row r="27" spans="1:30" ht="24.6" customHeight="1" x14ac:dyDescent="0.15">
      <c r="A27" s="15" t="s">
        <v>495</v>
      </c>
      <c r="B27" s="11" t="s">
        <v>494</v>
      </c>
      <c r="C27" s="148" t="s">
        <v>493</v>
      </c>
      <c r="D27" s="13" t="s">
        <v>24</v>
      </c>
      <c r="E27" s="13" t="s">
        <v>483</v>
      </c>
      <c r="F27" s="14">
        <v>43941</v>
      </c>
      <c r="G27" s="14">
        <v>43945</v>
      </c>
      <c r="H27" s="14"/>
      <c r="I27" s="14"/>
      <c r="J27" s="13" t="str">
        <f t="shared" ref="J27" ca="1" si="120">IF(AND(I27&lt;=$C$2,I27&lt;&gt;0),"DONE",IF(K27&lt;0,"OVERDUE",IF(AND(K27="",O27&lt;0),"OVERDUE","IN TIME")))</f>
        <v>IN TIME</v>
      </c>
      <c r="K27" s="13" t="str">
        <f t="shared" ref="K27" si="121">IF(H27&gt;0,H27-$C$2,"")</f>
        <v/>
      </c>
      <c r="L27" s="13">
        <f t="shared" ref="L27" ca="1" si="122">IF(J27="OVERDUE",1,0)</f>
        <v>0</v>
      </c>
      <c r="M27" s="13">
        <f t="shared" ref="M27" ca="1" si="123">IF(J27="IN TIME",1,0)</f>
        <v>1</v>
      </c>
      <c r="N27" s="13">
        <f t="shared" ref="N27" ca="1" si="124">IF(J27="DONE",1,0)</f>
        <v>0</v>
      </c>
      <c r="O27" s="13">
        <f t="shared" ref="O27" ca="1" si="125">IF(G27&gt;0,G27-$C$2,"")</f>
        <v>8</v>
      </c>
      <c r="P27" s="20"/>
      <c r="Q27" s="25"/>
      <c r="R27" s="26"/>
      <c r="S27" s="26"/>
      <c r="T27" s="26"/>
      <c r="U27" s="26"/>
      <c r="V27" s="26"/>
      <c r="W27" s="26"/>
      <c r="X27" s="26"/>
      <c r="Y27" s="26"/>
      <c r="Z27" s="26"/>
      <c r="AA27" s="26"/>
      <c r="AB27" s="26"/>
      <c r="AC27" s="27"/>
      <c r="AD27" s="27"/>
    </row>
    <row r="28" spans="1:30" ht="24.6" customHeight="1" x14ac:dyDescent="0.15">
      <c r="A28" s="15">
        <v>264</v>
      </c>
      <c r="B28" s="11" t="s">
        <v>484</v>
      </c>
      <c r="C28" s="16" t="s">
        <v>485</v>
      </c>
      <c r="D28" s="13" t="s">
        <v>24</v>
      </c>
      <c r="E28" s="13" t="s">
        <v>483</v>
      </c>
      <c r="F28" s="14">
        <v>43941</v>
      </c>
      <c r="G28" s="14">
        <v>43945</v>
      </c>
      <c r="H28" s="14"/>
      <c r="I28" s="14"/>
      <c r="J28" s="13" t="str">
        <f t="shared" ref="J28" ca="1" si="126">IF(AND(I28&lt;=$C$2,I28&lt;&gt;0),"DONE",IF(K28&lt;0,"OVERDUE",IF(AND(K28="",O28&lt;0),"OVERDUE","IN TIME")))</f>
        <v>IN TIME</v>
      </c>
      <c r="K28" s="13" t="str">
        <f t="shared" ref="K28" si="127">IF(H28&gt;0,H28-$C$2,"")</f>
        <v/>
      </c>
      <c r="L28" s="13">
        <f t="shared" ref="L28" ca="1" si="128">IF(J28="OVERDUE",1,0)</f>
        <v>0</v>
      </c>
      <c r="M28" s="13">
        <f t="shared" ref="M28" ca="1" si="129">IF(J28="IN TIME",1,0)</f>
        <v>1</v>
      </c>
      <c r="N28" s="13">
        <f t="shared" ref="N28" ca="1" si="130">IF(J28="DONE",1,0)</f>
        <v>0</v>
      </c>
      <c r="O28" s="13">
        <f t="shared" ref="O28" ca="1" si="131">IF(G28&gt;0,G28-$C$2,"")</f>
        <v>8</v>
      </c>
      <c r="P28" s="20"/>
      <c r="Q28" s="25"/>
      <c r="R28" s="26"/>
      <c r="S28" s="26"/>
      <c r="T28" s="26"/>
      <c r="U28" s="26"/>
      <c r="V28" s="26"/>
      <c r="W28" s="26"/>
      <c r="X28" s="26"/>
      <c r="Y28" s="26"/>
      <c r="Z28" s="26"/>
      <c r="AA28" s="26"/>
      <c r="AB28" s="26"/>
      <c r="AC28" s="27"/>
      <c r="AD28" s="27"/>
    </row>
    <row r="29" spans="1:30" ht="24.6" customHeight="1" x14ac:dyDescent="0.15">
      <c r="A29" s="15">
        <v>265</v>
      </c>
      <c r="B29" s="11" t="s">
        <v>486</v>
      </c>
      <c r="C29" s="16" t="s">
        <v>487</v>
      </c>
      <c r="D29" s="13" t="s">
        <v>24</v>
      </c>
      <c r="E29" s="13" t="s">
        <v>483</v>
      </c>
      <c r="F29" s="14">
        <v>43948</v>
      </c>
      <c r="G29" s="14">
        <v>43956</v>
      </c>
      <c r="H29" s="14"/>
      <c r="I29" s="14"/>
      <c r="J29" s="13" t="str">
        <f t="shared" ref="J29" ca="1" si="132">IF(AND(I29&lt;=$C$2,I29&lt;&gt;0),"DONE",IF(K29&lt;0,"OVERDUE",IF(AND(K29="",O29&lt;0),"OVERDUE","IN TIME")))</f>
        <v>IN TIME</v>
      </c>
      <c r="K29" s="13" t="str">
        <f t="shared" ref="K29" si="133">IF(H29&gt;0,H29-$C$2,"")</f>
        <v/>
      </c>
      <c r="L29" s="13">
        <f t="shared" ref="L29" ca="1" si="134">IF(J29="OVERDUE",1,0)</f>
        <v>0</v>
      </c>
      <c r="M29" s="13">
        <f t="shared" ref="M29" ca="1" si="135">IF(J29="IN TIME",1,0)</f>
        <v>1</v>
      </c>
      <c r="N29" s="13">
        <f t="shared" ref="N29" ca="1" si="136">IF(J29="DONE",1,0)</f>
        <v>0</v>
      </c>
      <c r="O29" s="13">
        <f t="shared" ref="O29" ca="1" si="137">IF(G29&gt;0,G29-$C$2,"")</f>
        <v>19</v>
      </c>
      <c r="P29" s="20"/>
      <c r="Q29" s="25"/>
      <c r="R29" s="26"/>
      <c r="S29" s="26"/>
      <c r="T29" s="26"/>
      <c r="U29" s="26"/>
      <c r="V29" s="26"/>
      <c r="W29" s="26"/>
      <c r="X29" s="26"/>
      <c r="Y29" s="26"/>
      <c r="Z29" s="26"/>
      <c r="AA29" s="26"/>
      <c r="AB29" s="26"/>
      <c r="AC29" s="27"/>
      <c r="AD29" s="27"/>
    </row>
    <row r="30" spans="1:30" ht="24.6" customHeight="1" x14ac:dyDescent="0.15">
      <c r="A30" s="15">
        <v>266</v>
      </c>
      <c r="B30" s="11" t="s">
        <v>488</v>
      </c>
      <c r="C30" s="16" t="s">
        <v>489</v>
      </c>
      <c r="D30" s="13" t="s">
        <v>24</v>
      </c>
      <c r="E30" s="13" t="s">
        <v>483</v>
      </c>
      <c r="F30" s="14">
        <v>43957</v>
      </c>
      <c r="G30" s="14">
        <v>43971</v>
      </c>
      <c r="H30" s="14"/>
      <c r="I30" s="14"/>
      <c r="J30" s="13" t="str">
        <f t="shared" ref="J30" ca="1" si="138">IF(AND(I30&lt;=$C$2,I30&lt;&gt;0),"DONE",IF(K30&lt;0,"OVERDUE",IF(AND(K30="",O30&lt;0),"OVERDUE","IN TIME")))</f>
        <v>IN TIME</v>
      </c>
      <c r="K30" s="13" t="str">
        <f t="shared" ref="K30" si="139">IF(H30&gt;0,H30-$C$2,"")</f>
        <v/>
      </c>
      <c r="L30" s="13">
        <f t="shared" ref="L30" ca="1" si="140">IF(J30="OVERDUE",1,0)</f>
        <v>0</v>
      </c>
      <c r="M30" s="13">
        <f t="shared" ref="M30" ca="1" si="141">IF(J30="IN TIME",1,0)</f>
        <v>1</v>
      </c>
      <c r="N30" s="13">
        <f t="shared" ref="N30" ca="1" si="142">IF(J30="DONE",1,0)</f>
        <v>0</v>
      </c>
      <c r="O30" s="13">
        <f t="shared" ref="O30" ca="1" si="143">IF(G30&gt;0,G30-$C$2,"")</f>
        <v>34</v>
      </c>
      <c r="P30" s="20"/>
      <c r="Q30" s="25"/>
      <c r="R30" s="26"/>
      <c r="S30" s="26"/>
      <c r="T30" s="26"/>
      <c r="U30" s="26"/>
      <c r="V30" s="26"/>
      <c r="W30" s="26"/>
      <c r="X30" s="26"/>
      <c r="Y30" s="26"/>
      <c r="Z30" s="26"/>
      <c r="AA30" s="26"/>
      <c r="AB30" s="26"/>
      <c r="AC30" s="27"/>
      <c r="AD30" s="27"/>
    </row>
    <row r="31" spans="1:30" x14ac:dyDescent="0.15">
      <c r="A31" s="15">
        <v>266</v>
      </c>
      <c r="B31" s="11" t="s">
        <v>491</v>
      </c>
      <c r="C31" s="16" t="s">
        <v>492</v>
      </c>
      <c r="D31" s="13" t="s">
        <v>24</v>
      </c>
      <c r="E31" s="13" t="s">
        <v>483</v>
      </c>
      <c r="F31" s="14">
        <v>43972</v>
      </c>
      <c r="G31" s="14">
        <v>43973</v>
      </c>
      <c r="H31" s="14"/>
      <c r="I31" s="14"/>
      <c r="J31" s="13" t="str">
        <f t="shared" ref="J31" ca="1" si="144">IF(AND(I31&lt;=$C$2,I31&lt;&gt;0),"DONE",IF(K31&lt;0,"OVERDUE",IF(AND(K31="",O31&lt;0),"OVERDUE","IN TIME")))</f>
        <v>IN TIME</v>
      </c>
      <c r="K31" s="13" t="str">
        <f t="shared" ref="K31" si="145">IF(H31&gt;0,H31-$C$2,"")</f>
        <v/>
      </c>
      <c r="L31" s="13">
        <f t="shared" ref="L31" ca="1" si="146">IF(J31="OVERDUE",1,0)</f>
        <v>0</v>
      </c>
      <c r="M31" s="13">
        <f t="shared" ref="M31" ca="1" si="147">IF(J31="IN TIME",1,0)</f>
        <v>1</v>
      </c>
      <c r="N31" s="13">
        <f t="shared" ref="N31" ca="1" si="148">IF(J31="DONE",1,0)</f>
        <v>0</v>
      </c>
      <c r="O31" s="13">
        <f t="shared" ref="O31" ca="1" si="149">IF(G31&gt;0,G31-$C$2,"")</f>
        <v>36</v>
      </c>
      <c r="P31" s="20"/>
      <c r="Q31" s="146"/>
      <c r="R31" s="147"/>
      <c r="S31" s="147"/>
      <c r="T31" s="147"/>
      <c r="U31" s="147"/>
      <c r="V31" s="147"/>
      <c r="W31" s="147"/>
      <c r="X31" s="147"/>
      <c r="Y31" s="147"/>
      <c r="Z31" s="147"/>
      <c r="AA31" s="147"/>
      <c r="AB31" s="147"/>
      <c r="AC31" s="27"/>
      <c r="AD31" s="27"/>
    </row>
  </sheetData>
  <autoFilter ref="A3:P30"/>
  <mergeCells count="3">
    <mergeCell ref="A1:P1"/>
    <mergeCell ref="A2:B2"/>
    <mergeCell ref="Q3:AB14"/>
  </mergeCells>
  <phoneticPr fontId="32" type="noConversion"/>
  <conditionalFormatting sqref="J4">
    <cfRule type="cellIs" dxfId="176" priority="82" operator="equal">
      <formula>"OVERDUE"</formula>
    </cfRule>
    <cfRule type="cellIs" dxfId="175" priority="83" operator="equal">
      <formula>"DONE"</formula>
    </cfRule>
    <cfRule type="cellIs" dxfId="174" priority="84" operator="equal">
      <formula>"DONE"</formula>
    </cfRule>
  </conditionalFormatting>
  <conditionalFormatting sqref="J5">
    <cfRule type="cellIs" dxfId="173" priority="79" operator="equal">
      <formula>"OVERDUE"</formula>
    </cfRule>
    <cfRule type="cellIs" dxfId="172" priority="80" operator="equal">
      <formula>"DONE"</formula>
    </cfRule>
    <cfRule type="cellIs" dxfId="171" priority="81" operator="equal">
      <formula>"DONE"</formula>
    </cfRule>
  </conditionalFormatting>
  <conditionalFormatting sqref="J6">
    <cfRule type="cellIs" dxfId="170" priority="76" operator="equal">
      <formula>"OVERDUE"</formula>
    </cfRule>
    <cfRule type="cellIs" dxfId="169" priority="77" operator="equal">
      <formula>"DONE"</formula>
    </cfRule>
    <cfRule type="cellIs" dxfId="168" priority="78" operator="equal">
      <formula>"DONE"</formula>
    </cfRule>
  </conditionalFormatting>
  <conditionalFormatting sqref="J7">
    <cfRule type="cellIs" dxfId="167" priority="73" operator="equal">
      <formula>"OVERDUE"</formula>
    </cfRule>
    <cfRule type="cellIs" dxfId="166" priority="74" operator="equal">
      <formula>"DONE"</formula>
    </cfRule>
    <cfRule type="cellIs" dxfId="165" priority="75" operator="equal">
      <formula>"DONE"</formula>
    </cfRule>
  </conditionalFormatting>
  <conditionalFormatting sqref="J8">
    <cfRule type="cellIs" dxfId="164" priority="70" operator="equal">
      <formula>"OVERDUE"</formula>
    </cfRule>
    <cfRule type="cellIs" dxfId="163" priority="71" operator="equal">
      <formula>"DONE"</formula>
    </cfRule>
    <cfRule type="cellIs" dxfId="162" priority="72" operator="equal">
      <formula>"DONE"</formula>
    </cfRule>
  </conditionalFormatting>
  <conditionalFormatting sqref="J9">
    <cfRule type="cellIs" dxfId="161" priority="67" operator="equal">
      <formula>"OVERDUE"</formula>
    </cfRule>
    <cfRule type="cellIs" dxfId="160" priority="68" operator="equal">
      <formula>"DONE"</formula>
    </cfRule>
    <cfRule type="cellIs" dxfId="159" priority="69" operator="equal">
      <formula>"DONE"</formula>
    </cfRule>
  </conditionalFormatting>
  <conditionalFormatting sqref="J10">
    <cfRule type="cellIs" dxfId="158" priority="64" operator="equal">
      <formula>"OVERDUE"</formula>
    </cfRule>
    <cfRule type="cellIs" dxfId="157" priority="65" operator="equal">
      <formula>"DONE"</formula>
    </cfRule>
    <cfRule type="cellIs" dxfId="156" priority="66" operator="equal">
      <formula>"DONE"</formula>
    </cfRule>
  </conditionalFormatting>
  <conditionalFormatting sqref="J11">
    <cfRule type="cellIs" dxfId="155" priority="61" operator="equal">
      <formula>"OVERDUE"</formula>
    </cfRule>
    <cfRule type="cellIs" dxfId="154" priority="62" operator="equal">
      <formula>"DONE"</formula>
    </cfRule>
    <cfRule type="cellIs" dxfId="153" priority="63" operator="equal">
      <formula>"DONE"</formula>
    </cfRule>
  </conditionalFormatting>
  <conditionalFormatting sqref="J12">
    <cfRule type="cellIs" dxfId="152" priority="58" operator="equal">
      <formula>"OVERDUE"</formula>
    </cfRule>
    <cfRule type="cellIs" dxfId="151" priority="59" operator="equal">
      <formula>"DONE"</formula>
    </cfRule>
    <cfRule type="cellIs" dxfId="150" priority="60" operator="equal">
      <formula>"DONE"</formula>
    </cfRule>
  </conditionalFormatting>
  <conditionalFormatting sqref="J13">
    <cfRule type="cellIs" dxfId="149" priority="55" operator="equal">
      <formula>"OVERDUE"</formula>
    </cfRule>
    <cfRule type="cellIs" dxfId="148" priority="56" operator="equal">
      <formula>"DONE"</formula>
    </cfRule>
    <cfRule type="cellIs" dxfId="147" priority="57" operator="equal">
      <formula>"DONE"</formula>
    </cfRule>
  </conditionalFormatting>
  <conditionalFormatting sqref="J14">
    <cfRule type="cellIs" dxfId="146" priority="52" operator="equal">
      <formula>"OVERDUE"</formula>
    </cfRule>
    <cfRule type="cellIs" dxfId="145" priority="53" operator="equal">
      <formula>"DONE"</formula>
    </cfRule>
    <cfRule type="cellIs" dxfId="144" priority="54" operator="equal">
      <formula>"DONE"</formula>
    </cfRule>
  </conditionalFormatting>
  <conditionalFormatting sqref="J15">
    <cfRule type="cellIs" dxfId="143" priority="49" operator="equal">
      <formula>"OVERDUE"</formula>
    </cfRule>
    <cfRule type="cellIs" dxfId="142" priority="50" operator="equal">
      <formula>"DONE"</formula>
    </cfRule>
    <cfRule type="cellIs" dxfId="141" priority="51" operator="equal">
      <formula>"DONE"</formula>
    </cfRule>
  </conditionalFormatting>
  <conditionalFormatting sqref="J16">
    <cfRule type="cellIs" dxfId="140" priority="46" operator="equal">
      <formula>"OVERDUE"</formula>
    </cfRule>
    <cfRule type="cellIs" dxfId="139" priority="47" operator="equal">
      <formula>"DONE"</formula>
    </cfRule>
    <cfRule type="cellIs" dxfId="138" priority="48" operator="equal">
      <formula>"DONE"</formula>
    </cfRule>
  </conditionalFormatting>
  <conditionalFormatting sqref="J17">
    <cfRule type="cellIs" dxfId="137" priority="43" operator="equal">
      <formula>"OVERDUE"</formula>
    </cfRule>
    <cfRule type="cellIs" dxfId="136" priority="44" operator="equal">
      <formula>"DONE"</formula>
    </cfRule>
    <cfRule type="cellIs" dxfId="135" priority="45" operator="equal">
      <formula>"DONE"</formula>
    </cfRule>
  </conditionalFormatting>
  <conditionalFormatting sqref="J18">
    <cfRule type="cellIs" dxfId="134" priority="40" operator="equal">
      <formula>"OVERDUE"</formula>
    </cfRule>
    <cfRule type="cellIs" dxfId="133" priority="41" operator="equal">
      <formula>"DONE"</formula>
    </cfRule>
    <cfRule type="cellIs" dxfId="132" priority="42" operator="equal">
      <formula>"DONE"</formula>
    </cfRule>
  </conditionalFormatting>
  <conditionalFormatting sqref="J19">
    <cfRule type="cellIs" dxfId="131" priority="37" operator="equal">
      <formula>"OVERDUE"</formula>
    </cfRule>
    <cfRule type="cellIs" dxfId="130" priority="38" operator="equal">
      <formula>"DONE"</formula>
    </cfRule>
    <cfRule type="cellIs" dxfId="129" priority="39" operator="equal">
      <formula>"DONE"</formula>
    </cfRule>
  </conditionalFormatting>
  <conditionalFormatting sqref="J20">
    <cfRule type="cellIs" dxfId="128" priority="34" operator="equal">
      <formula>"OVERDUE"</formula>
    </cfRule>
    <cfRule type="cellIs" dxfId="127" priority="35" operator="equal">
      <formula>"DONE"</formula>
    </cfRule>
    <cfRule type="cellIs" dxfId="126" priority="36" operator="equal">
      <formula>"DONE"</formula>
    </cfRule>
  </conditionalFormatting>
  <conditionalFormatting sqref="J21">
    <cfRule type="cellIs" dxfId="125" priority="31" operator="equal">
      <formula>"OVERDUE"</formula>
    </cfRule>
    <cfRule type="cellIs" dxfId="124" priority="32" operator="equal">
      <formula>"DONE"</formula>
    </cfRule>
    <cfRule type="cellIs" dxfId="123" priority="33" operator="equal">
      <formula>"DONE"</formula>
    </cfRule>
  </conditionalFormatting>
  <conditionalFormatting sqref="J22">
    <cfRule type="cellIs" dxfId="122" priority="28" operator="equal">
      <formula>"OVERDUE"</formula>
    </cfRule>
    <cfRule type="cellIs" dxfId="121" priority="29" operator="equal">
      <formula>"DONE"</formula>
    </cfRule>
    <cfRule type="cellIs" dxfId="120" priority="30" operator="equal">
      <formula>"DONE"</formula>
    </cfRule>
  </conditionalFormatting>
  <conditionalFormatting sqref="J23">
    <cfRule type="cellIs" dxfId="119" priority="25" operator="equal">
      <formula>"OVERDUE"</formula>
    </cfRule>
    <cfRule type="cellIs" dxfId="118" priority="26" operator="equal">
      <formula>"DONE"</formula>
    </cfRule>
    <cfRule type="cellIs" dxfId="117" priority="27" operator="equal">
      <formula>"DONE"</formula>
    </cfRule>
  </conditionalFormatting>
  <conditionalFormatting sqref="J24">
    <cfRule type="cellIs" dxfId="116" priority="22" operator="equal">
      <formula>"OVERDUE"</formula>
    </cfRule>
    <cfRule type="cellIs" dxfId="115" priority="23" operator="equal">
      <formula>"DONE"</formula>
    </cfRule>
    <cfRule type="cellIs" dxfId="114" priority="24" operator="equal">
      <formula>"DONE"</formula>
    </cfRule>
  </conditionalFormatting>
  <conditionalFormatting sqref="J25">
    <cfRule type="cellIs" dxfId="113" priority="19" operator="equal">
      <formula>"OVERDUE"</formula>
    </cfRule>
    <cfRule type="cellIs" dxfId="112" priority="20" operator="equal">
      <formula>"DONE"</formula>
    </cfRule>
    <cfRule type="cellIs" dxfId="111" priority="21" operator="equal">
      <formula>"DONE"</formula>
    </cfRule>
  </conditionalFormatting>
  <conditionalFormatting sqref="J26">
    <cfRule type="cellIs" dxfId="110" priority="16" operator="equal">
      <formula>"OVERDUE"</formula>
    </cfRule>
    <cfRule type="cellIs" dxfId="109" priority="17" operator="equal">
      <formula>"DONE"</formula>
    </cfRule>
    <cfRule type="cellIs" dxfId="108" priority="18" operator="equal">
      <formula>"DONE"</formula>
    </cfRule>
  </conditionalFormatting>
  <conditionalFormatting sqref="J27">
    <cfRule type="cellIs" dxfId="107" priority="13" operator="equal">
      <formula>"OVERDUE"</formula>
    </cfRule>
    <cfRule type="cellIs" dxfId="106" priority="14" operator="equal">
      <formula>"DONE"</formula>
    </cfRule>
    <cfRule type="cellIs" dxfId="105" priority="15" operator="equal">
      <formula>"DONE"</formula>
    </cfRule>
  </conditionalFormatting>
  <conditionalFormatting sqref="J28">
    <cfRule type="cellIs" dxfId="104" priority="10" operator="equal">
      <formula>"OVERDUE"</formula>
    </cfRule>
    <cfRule type="cellIs" dxfId="103" priority="11" operator="equal">
      <formula>"DONE"</formula>
    </cfRule>
    <cfRule type="cellIs" dxfId="102" priority="12" operator="equal">
      <formula>"DONE"</formula>
    </cfRule>
  </conditionalFormatting>
  <conditionalFormatting sqref="J29">
    <cfRule type="cellIs" dxfId="101" priority="7" operator="equal">
      <formula>"OVERDUE"</formula>
    </cfRule>
    <cfRule type="cellIs" dxfId="100" priority="8" operator="equal">
      <formula>"DONE"</formula>
    </cfRule>
    <cfRule type="cellIs" dxfId="99" priority="9" operator="equal">
      <formula>"DONE"</formula>
    </cfRule>
  </conditionalFormatting>
  <conditionalFormatting sqref="J30">
    <cfRule type="cellIs" dxfId="98" priority="4" operator="equal">
      <formula>"OVERDUE"</formula>
    </cfRule>
    <cfRule type="cellIs" dxfId="97" priority="5" operator="equal">
      <formula>"DONE"</formula>
    </cfRule>
    <cfRule type="cellIs" dxfId="96" priority="6" operator="equal">
      <formula>"DONE"</formula>
    </cfRule>
  </conditionalFormatting>
  <conditionalFormatting sqref="J2:J3 J32:J1048576">
    <cfRule type="cellIs" dxfId="95" priority="103" operator="equal">
      <formula>"OVERDUE"</formula>
    </cfRule>
    <cfRule type="cellIs" dxfId="94" priority="104" operator="equal">
      <formula>"DONE"</formula>
    </cfRule>
    <cfRule type="cellIs" dxfId="93" priority="105" operator="equal">
      <formula>"DONE"</formula>
    </cfRule>
  </conditionalFormatting>
  <conditionalFormatting sqref="J31">
    <cfRule type="cellIs" dxfId="92" priority="1" operator="equal">
      <formula>"OVERDUE"</formula>
    </cfRule>
    <cfRule type="cellIs" dxfId="91" priority="2" operator="equal">
      <formula>"DONE"</formula>
    </cfRule>
    <cfRule type="cellIs" dxfId="90"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31</xdr:row>
                    <xdr:rowOff>85725</xdr:rowOff>
                  </from>
                  <to>
                    <xdr:col>1</xdr:col>
                    <xdr:colOff>800100</xdr:colOff>
                    <xdr:row>32</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workbookViewId="0">
      <pane ySplit="3" topLeftCell="A4" activePane="bottomLeft" state="frozen"/>
      <selection pane="bottomLeft" activeCell="F7" sqref="F7"/>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359</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v>
      </c>
      <c r="B2" s="150"/>
      <c r="C2" s="5">
        <f ca="1">TODAY()</f>
        <v>43937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58"/>
      <c r="R3" s="159"/>
      <c r="S3" s="159"/>
      <c r="T3" s="159"/>
      <c r="U3" s="159"/>
      <c r="V3" s="159"/>
      <c r="W3" s="159"/>
      <c r="X3" s="159"/>
      <c r="Y3" s="159"/>
      <c r="Z3" s="159"/>
      <c r="AA3" s="159"/>
      <c r="AB3" s="159"/>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83</v>
      </c>
      <c r="B4" s="11"/>
      <c r="C4" s="16" t="s">
        <v>406</v>
      </c>
      <c r="D4" s="13" t="s">
        <v>24</v>
      </c>
      <c r="E4" s="13" t="s">
        <v>360</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58"/>
      <c r="R4" s="159"/>
      <c r="S4" s="159"/>
      <c r="T4" s="159"/>
      <c r="U4" s="159"/>
      <c r="V4" s="159"/>
      <c r="W4" s="159"/>
      <c r="X4" s="159"/>
      <c r="Y4" s="159"/>
      <c r="Z4" s="159"/>
      <c r="AA4" s="159"/>
      <c r="AB4" s="159"/>
      <c r="AC4" s="27"/>
      <c r="AD4" s="27"/>
    </row>
    <row r="5" spans="1:246" ht="57.75" customHeight="1" x14ac:dyDescent="0.15">
      <c r="A5" s="15">
        <v>241</v>
      </c>
      <c r="B5" s="11"/>
      <c r="C5" s="16" t="s">
        <v>399</v>
      </c>
      <c r="D5" s="13" t="s">
        <v>24</v>
      </c>
      <c r="E5" s="13" t="s">
        <v>400</v>
      </c>
      <c r="F5" s="13">
        <v>43928</v>
      </c>
      <c r="G5" s="14">
        <v>43951</v>
      </c>
      <c r="H5" s="14"/>
      <c r="I5" s="14"/>
      <c r="J5" s="13" t="str">
        <f t="shared" ca="1" si="0"/>
        <v>IN TIME</v>
      </c>
      <c r="K5" s="13" t="str">
        <f t="shared" si="1"/>
        <v/>
      </c>
      <c r="L5" s="13">
        <f t="shared" ca="1" si="2"/>
        <v>0</v>
      </c>
      <c r="M5" s="13">
        <f t="shared" ca="1" si="3"/>
        <v>1</v>
      </c>
      <c r="N5" s="13">
        <f t="shared" ca="1" si="4"/>
        <v>0</v>
      </c>
      <c r="O5" s="13">
        <f t="shared" ca="1" si="5"/>
        <v>14</v>
      </c>
      <c r="P5" s="20"/>
      <c r="Q5" s="158"/>
      <c r="R5" s="159"/>
      <c r="S5" s="159"/>
      <c r="T5" s="159"/>
      <c r="U5" s="159"/>
      <c r="V5" s="159"/>
      <c r="W5" s="159"/>
      <c r="X5" s="159"/>
      <c r="Y5" s="159"/>
      <c r="Z5" s="159"/>
      <c r="AA5" s="159"/>
      <c r="AB5" s="159"/>
      <c r="AC5" s="27"/>
      <c r="AD5" s="27"/>
    </row>
    <row r="6" spans="1:246" ht="24.6" customHeight="1" x14ac:dyDescent="0.15">
      <c r="A6" s="15">
        <v>242</v>
      </c>
      <c r="B6" s="11"/>
      <c r="C6" s="16" t="s">
        <v>401</v>
      </c>
      <c r="D6" s="13" t="s">
        <v>24</v>
      </c>
      <c r="E6" s="13" t="s">
        <v>402</v>
      </c>
      <c r="F6" s="14">
        <v>43928</v>
      </c>
      <c r="G6" s="14">
        <v>43951</v>
      </c>
      <c r="H6" s="14"/>
      <c r="I6" s="14"/>
      <c r="J6" s="13" t="str">
        <f t="shared" ca="1" si="0"/>
        <v>IN TIME</v>
      </c>
      <c r="K6" s="13" t="str">
        <f t="shared" si="1"/>
        <v/>
      </c>
      <c r="L6" s="13">
        <f t="shared" ca="1" si="2"/>
        <v>0</v>
      </c>
      <c r="M6" s="13">
        <f t="shared" ca="1" si="3"/>
        <v>1</v>
      </c>
      <c r="N6" s="13">
        <f t="shared" ca="1" si="4"/>
        <v>0</v>
      </c>
      <c r="O6" s="13">
        <f t="shared" ca="1" si="5"/>
        <v>14</v>
      </c>
      <c r="P6" s="20"/>
      <c r="Q6" s="158"/>
      <c r="R6" s="159"/>
      <c r="S6" s="159"/>
      <c r="T6" s="159"/>
      <c r="U6" s="159"/>
      <c r="V6" s="159"/>
      <c r="W6" s="159"/>
      <c r="X6" s="159"/>
      <c r="Y6" s="159"/>
      <c r="Z6" s="159"/>
      <c r="AA6" s="159"/>
      <c r="AB6" s="159"/>
      <c r="AC6" s="27"/>
      <c r="AD6" s="27"/>
    </row>
    <row r="7" spans="1:246" ht="45" customHeight="1" x14ac:dyDescent="0.15">
      <c r="A7" s="15">
        <v>243</v>
      </c>
      <c r="B7" s="13"/>
      <c r="C7" s="16" t="s">
        <v>405</v>
      </c>
      <c r="D7" s="13" t="s">
        <v>24</v>
      </c>
      <c r="E7" s="13" t="s">
        <v>404</v>
      </c>
      <c r="F7" s="14">
        <v>43928</v>
      </c>
      <c r="G7" s="14">
        <v>43951</v>
      </c>
      <c r="H7" s="14"/>
      <c r="I7" s="14"/>
      <c r="J7" s="13" t="str">
        <f t="shared" ca="1" si="0"/>
        <v>IN TIME</v>
      </c>
      <c r="K7" s="13" t="str">
        <f t="shared" si="1"/>
        <v/>
      </c>
      <c r="L7" s="13">
        <f t="shared" ca="1" si="2"/>
        <v>0</v>
      </c>
      <c r="M7" s="13">
        <f t="shared" ca="1" si="3"/>
        <v>1</v>
      </c>
      <c r="N7" s="13">
        <f t="shared" ca="1" si="4"/>
        <v>0</v>
      </c>
      <c r="O7" s="13">
        <f t="shared" ca="1" si="5"/>
        <v>14</v>
      </c>
      <c r="P7" s="20"/>
      <c r="Q7" s="158"/>
      <c r="R7" s="159"/>
      <c r="S7" s="159"/>
      <c r="T7" s="159"/>
      <c r="U7" s="159"/>
      <c r="V7" s="159"/>
      <c r="W7" s="159"/>
      <c r="X7" s="159"/>
      <c r="Y7" s="159"/>
      <c r="Z7" s="159"/>
      <c r="AA7" s="159"/>
      <c r="AB7" s="159"/>
      <c r="AC7" s="27"/>
      <c r="AD7" s="27"/>
    </row>
    <row r="8" spans="1:246" ht="24.6" customHeight="1" x14ac:dyDescent="0.15">
      <c r="A8" s="10" t="s">
        <v>95</v>
      </c>
      <c r="B8" s="11"/>
      <c r="C8" s="16" t="s">
        <v>403</v>
      </c>
      <c r="D8" s="13" t="s">
        <v>24</v>
      </c>
      <c r="E8" s="13" t="s">
        <v>400</v>
      </c>
      <c r="F8" s="14">
        <v>43928</v>
      </c>
      <c r="G8" s="14">
        <v>43951</v>
      </c>
      <c r="H8" s="14"/>
      <c r="I8" s="14"/>
      <c r="J8" s="13" t="str">
        <f t="shared" ca="1" si="0"/>
        <v>IN TIME</v>
      </c>
      <c r="K8" s="13" t="str">
        <f t="shared" si="1"/>
        <v/>
      </c>
      <c r="L8" s="13">
        <f t="shared" ca="1" si="2"/>
        <v>0</v>
      </c>
      <c r="M8" s="13">
        <f t="shared" ca="1" si="3"/>
        <v>1</v>
      </c>
      <c r="N8" s="13">
        <f t="shared" ca="1" si="4"/>
        <v>0</v>
      </c>
      <c r="O8" s="13">
        <f t="shared" ca="1" si="5"/>
        <v>14</v>
      </c>
      <c r="P8" s="20"/>
      <c r="Q8" s="158"/>
      <c r="R8" s="159"/>
      <c r="S8" s="159"/>
      <c r="T8" s="159"/>
      <c r="U8" s="159"/>
      <c r="V8" s="159"/>
      <c r="W8" s="159"/>
      <c r="X8" s="159"/>
      <c r="Y8" s="159"/>
      <c r="Z8" s="159"/>
      <c r="AA8" s="159"/>
      <c r="AB8" s="159"/>
      <c r="AC8" s="27"/>
      <c r="AD8" s="27"/>
    </row>
    <row r="9" spans="1:246" ht="24.6" customHeight="1" x14ac:dyDescent="0.15">
      <c r="A9" s="10" t="s">
        <v>99</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58"/>
      <c r="R9" s="159"/>
      <c r="S9" s="159"/>
      <c r="T9" s="159"/>
      <c r="U9" s="159"/>
      <c r="V9" s="159"/>
      <c r="W9" s="159"/>
      <c r="X9" s="159"/>
      <c r="Y9" s="159"/>
      <c r="Z9" s="159"/>
      <c r="AA9" s="159"/>
      <c r="AB9" s="159"/>
      <c r="AC9" s="27"/>
      <c r="AD9" s="27"/>
    </row>
    <row r="10" spans="1:246" ht="24.6" customHeight="1" x14ac:dyDescent="0.15">
      <c r="A10" s="15">
        <v>246</v>
      </c>
      <c r="B10" s="11"/>
      <c r="C10" s="16"/>
      <c r="D10" s="13" t="s">
        <v>24</v>
      </c>
      <c r="E10" s="13"/>
      <c r="F10" s="14"/>
      <c r="G10" s="14"/>
      <c r="H10" s="14"/>
      <c r="I10" s="14"/>
      <c r="J10" s="13" t="str">
        <f t="shared" ca="1" si="0"/>
        <v>IN TIME</v>
      </c>
      <c r="K10" s="13" t="str">
        <f t="shared" si="1"/>
        <v/>
      </c>
      <c r="L10" s="13">
        <f t="shared" ca="1" si="2"/>
        <v>0</v>
      </c>
      <c r="M10" s="13">
        <f t="shared" ca="1" si="3"/>
        <v>1</v>
      </c>
      <c r="N10" s="13">
        <f t="shared" ca="1" si="4"/>
        <v>0</v>
      </c>
      <c r="O10" s="13" t="str">
        <f t="shared" si="5"/>
        <v/>
      </c>
      <c r="P10" s="20"/>
      <c r="Q10" s="158"/>
      <c r="R10" s="159"/>
      <c r="S10" s="159"/>
      <c r="T10" s="159"/>
      <c r="U10" s="159"/>
      <c r="V10" s="159"/>
      <c r="W10" s="159"/>
      <c r="X10" s="159"/>
      <c r="Y10" s="159"/>
      <c r="Z10" s="159"/>
      <c r="AA10" s="159"/>
      <c r="AB10" s="159"/>
      <c r="AC10" s="27"/>
      <c r="AD10" s="27"/>
    </row>
    <row r="11" spans="1:246" ht="24.6" customHeight="1" x14ac:dyDescent="0.15">
      <c r="A11" s="15">
        <v>247</v>
      </c>
      <c r="B11" s="11"/>
      <c r="C11" s="16"/>
      <c r="D11" s="13" t="s">
        <v>24</v>
      </c>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158"/>
      <c r="R11" s="159"/>
      <c r="S11" s="159"/>
      <c r="T11" s="159"/>
      <c r="U11" s="159"/>
      <c r="V11" s="159"/>
      <c r="W11" s="159"/>
      <c r="X11" s="159"/>
      <c r="Y11" s="159"/>
      <c r="Z11" s="159"/>
      <c r="AA11" s="159"/>
      <c r="AB11" s="159"/>
      <c r="AC11" s="27"/>
      <c r="AD11" s="27"/>
    </row>
    <row r="12" spans="1:246" ht="39" customHeight="1" x14ac:dyDescent="0.15">
      <c r="A12" s="15">
        <v>248</v>
      </c>
      <c r="B12" s="11"/>
      <c r="C12" s="12"/>
      <c r="D12" s="13" t="s">
        <v>24</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58"/>
      <c r="R12" s="159"/>
      <c r="S12" s="159"/>
      <c r="T12" s="159"/>
      <c r="U12" s="159"/>
      <c r="V12" s="159"/>
      <c r="W12" s="159"/>
      <c r="X12" s="159"/>
      <c r="Y12" s="159"/>
      <c r="Z12" s="159"/>
      <c r="AA12" s="159"/>
      <c r="AB12" s="159"/>
      <c r="AC12" s="27"/>
      <c r="AD12" s="27"/>
    </row>
    <row r="13" spans="1:246" ht="24.6" customHeight="1" x14ac:dyDescent="0.15">
      <c r="A13" s="15">
        <v>249</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58"/>
      <c r="R13" s="159"/>
      <c r="S13" s="159"/>
      <c r="T13" s="159"/>
      <c r="U13" s="159"/>
      <c r="V13" s="159"/>
      <c r="W13" s="159"/>
      <c r="X13" s="159"/>
      <c r="Y13" s="159"/>
      <c r="Z13" s="159"/>
      <c r="AA13" s="159"/>
      <c r="AB13" s="159"/>
      <c r="AC13" s="27"/>
      <c r="AD13" s="27"/>
    </row>
    <row r="14" spans="1:246" ht="24.6" customHeight="1" x14ac:dyDescent="0.15">
      <c r="A14" s="15"/>
      <c r="B14" s="11"/>
      <c r="C14" s="16"/>
      <c r="D14" s="13" t="s">
        <v>24</v>
      </c>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58"/>
      <c r="R14" s="159"/>
      <c r="S14" s="159"/>
      <c r="T14" s="159"/>
      <c r="U14" s="159"/>
      <c r="V14" s="159"/>
      <c r="W14" s="159"/>
      <c r="X14" s="159"/>
      <c r="Y14" s="159"/>
      <c r="Z14" s="159"/>
      <c r="AA14" s="159"/>
      <c r="AB14" s="159"/>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2" type="noConversion"/>
  <conditionalFormatting sqref="J4">
    <cfRule type="cellIs" dxfId="89" priority="79" operator="equal">
      <formula>"OVERDUE"</formula>
    </cfRule>
    <cfRule type="cellIs" dxfId="88" priority="80" operator="equal">
      <formula>"DONE"</formula>
    </cfRule>
    <cfRule type="cellIs" dxfId="87" priority="81" operator="equal">
      <formula>"DONE"</formula>
    </cfRule>
  </conditionalFormatting>
  <conditionalFormatting sqref="J5">
    <cfRule type="cellIs" dxfId="86" priority="76" operator="equal">
      <formula>"OVERDUE"</formula>
    </cfRule>
    <cfRule type="cellIs" dxfId="85" priority="77" operator="equal">
      <formula>"DONE"</formula>
    </cfRule>
    <cfRule type="cellIs" dxfId="84" priority="78" operator="equal">
      <formula>"DONE"</formula>
    </cfRule>
  </conditionalFormatting>
  <conditionalFormatting sqref="J6">
    <cfRule type="cellIs" dxfId="83" priority="73" operator="equal">
      <formula>"OVERDUE"</formula>
    </cfRule>
    <cfRule type="cellIs" dxfId="82" priority="74" operator="equal">
      <formula>"DONE"</formula>
    </cfRule>
    <cfRule type="cellIs" dxfId="81" priority="75" operator="equal">
      <formula>"DONE"</formula>
    </cfRule>
  </conditionalFormatting>
  <conditionalFormatting sqref="J7">
    <cfRule type="cellIs" dxfId="80" priority="70" operator="equal">
      <formula>"OVERDUE"</formula>
    </cfRule>
    <cfRule type="cellIs" dxfId="79" priority="71" operator="equal">
      <formula>"DONE"</formula>
    </cfRule>
    <cfRule type="cellIs" dxfId="78" priority="72" operator="equal">
      <formula>"DONE"</formula>
    </cfRule>
  </conditionalFormatting>
  <conditionalFormatting sqref="J8">
    <cfRule type="cellIs" dxfId="77" priority="67" operator="equal">
      <formula>"OVERDUE"</formula>
    </cfRule>
    <cfRule type="cellIs" dxfId="76" priority="68" operator="equal">
      <formula>"DONE"</formula>
    </cfRule>
    <cfRule type="cellIs" dxfId="75" priority="69" operator="equal">
      <formula>"DONE"</formula>
    </cfRule>
  </conditionalFormatting>
  <conditionalFormatting sqref="J9">
    <cfRule type="cellIs" dxfId="74" priority="64" operator="equal">
      <formula>"OVERDUE"</formula>
    </cfRule>
    <cfRule type="cellIs" dxfId="73" priority="65" operator="equal">
      <formula>"DONE"</formula>
    </cfRule>
    <cfRule type="cellIs" dxfId="72" priority="66" operator="equal">
      <formula>"DONE"</formula>
    </cfRule>
  </conditionalFormatting>
  <conditionalFormatting sqref="J10">
    <cfRule type="cellIs" dxfId="71" priority="61" operator="equal">
      <formula>"OVERDUE"</formula>
    </cfRule>
    <cfRule type="cellIs" dxfId="70" priority="62" operator="equal">
      <formula>"DONE"</formula>
    </cfRule>
    <cfRule type="cellIs" dxfId="69" priority="63" operator="equal">
      <formula>"DONE"</formula>
    </cfRule>
  </conditionalFormatting>
  <conditionalFormatting sqref="J11">
    <cfRule type="cellIs" dxfId="68" priority="58" operator="equal">
      <formula>"OVERDUE"</formula>
    </cfRule>
    <cfRule type="cellIs" dxfId="67" priority="59" operator="equal">
      <formula>"DONE"</formula>
    </cfRule>
    <cfRule type="cellIs" dxfId="66" priority="60" operator="equal">
      <formula>"DONE"</formula>
    </cfRule>
  </conditionalFormatting>
  <conditionalFormatting sqref="J12">
    <cfRule type="cellIs" dxfId="65" priority="55" operator="equal">
      <formula>"OVERDUE"</formula>
    </cfRule>
    <cfRule type="cellIs" dxfId="64" priority="56" operator="equal">
      <formula>"DONE"</formula>
    </cfRule>
    <cfRule type="cellIs" dxfId="63" priority="57" operator="equal">
      <formula>"DONE"</formula>
    </cfRule>
  </conditionalFormatting>
  <conditionalFormatting sqref="J13">
    <cfRule type="cellIs" dxfId="62" priority="52" operator="equal">
      <formula>"OVERDUE"</formula>
    </cfRule>
    <cfRule type="cellIs" dxfId="61" priority="53" operator="equal">
      <formula>"DONE"</formula>
    </cfRule>
    <cfRule type="cellIs" dxfId="60" priority="54" operator="equal">
      <formula>"DONE"</formula>
    </cfRule>
  </conditionalFormatting>
  <conditionalFormatting sqref="J14">
    <cfRule type="cellIs" dxfId="59" priority="49" operator="equal">
      <formula>"OVERDUE"</formula>
    </cfRule>
    <cfRule type="cellIs" dxfId="58" priority="50" operator="equal">
      <formula>"DONE"</formula>
    </cfRule>
    <cfRule type="cellIs" dxfId="57" priority="51" operator="equal">
      <formula>"DONE"</formula>
    </cfRule>
  </conditionalFormatting>
  <conditionalFormatting sqref="J15">
    <cfRule type="cellIs" dxfId="56" priority="46" operator="equal">
      <formula>"OVERDUE"</formula>
    </cfRule>
    <cfRule type="cellIs" dxfId="55" priority="47" operator="equal">
      <formula>"DONE"</formula>
    </cfRule>
    <cfRule type="cellIs" dxfId="54" priority="48" operator="equal">
      <formula>"DONE"</formula>
    </cfRule>
  </conditionalFormatting>
  <conditionalFormatting sqref="J16">
    <cfRule type="cellIs" dxfId="53" priority="43" operator="equal">
      <formula>"OVERDUE"</formula>
    </cfRule>
    <cfRule type="cellIs" dxfId="52" priority="44" operator="equal">
      <formula>"DONE"</formula>
    </cfRule>
    <cfRule type="cellIs" dxfId="51" priority="45" operator="equal">
      <formula>"DONE"</formula>
    </cfRule>
  </conditionalFormatting>
  <conditionalFormatting sqref="J17">
    <cfRule type="cellIs" dxfId="50" priority="40" operator="equal">
      <formula>"OVERDUE"</formula>
    </cfRule>
    <cfRule type="cellIs" dxfId="49" priority="41" operator="equal">
      <formula>"DONE"</formula>
    </cfRule>
    <cfRule type="cellIs" dxfId="48" priority="42" operator="equal">
      <formula>"DONE"</formula>
    </cfRule>
  </conditionalFormatting>
  <conditionalFormatting sqref="J18">
    <cfRule type="cellIs" dxfId="47" priority="37" operator="equal">
      <formula>"OVERDUE"</formula>
    </cfRule>
    <cfRule type="cellIs" dxfId="46" priority="38" operator="equal">
      <formula>"DONE"</formula>
    </cfRule>
    <cfRule type="cellIs" dxfId="45" priority="39" operator="equal">
      <formula>"DONE"</formula>
    </cfRule>
  </conditionalFormatting>
  <conditionalFormatting sqref="J19">
    <cfRule type="cellIs" dxfId="44" priority="34" operator="equal">
      <formula>"OVERDUE"</formula>
    </cfRule>
    <cfRule type="cellIs" dxfId="43" priority="35" operator="equal">
      <formula>"DONE"</formula>
    </cfRule>
    <cfRule type="cellIs" dxfId="42" priority="36" operator="equal">
      <formula>"DONE"</formula>
    </cfRule>
  </conditionalFormatting>
  <conditionalFormatting sqref="J20">
    <cfRule type="cellIs" dxfId="41" priority="31" operator="equal">
      <formula>"OVERDUE"</formula>
    </cfRule>
    <cfRule type="cellIs" dxfId="40" priority="32" operator="equal">
      <formula>"DONE"</formula>
    </cfRule>
    <cfRule type="cellIs" dxfId="39" priority="33" operator="equal">
      <formula>"DONE"</formula>
    </cfRule>
  </conditionalFormatting>
  <conditionalFormatting sqref="J21">
    <cfRule type="cellIs" dxfId="38" priority="28" operator="equal">
      <formula>"OVERDUE"</formula>
    </cfRule>
    <cfRule type="cellIs" dxfId="37" priority="29" operator="equal">
      <formula>"DONE"</formula>
    </cfRule>
    <cfRule type="cellIs" dxfId="36" priority="30" operator="equal">
      <formula>"DONE"</formula>
    </cfRule>
  </conditionalFormatting>
  <conditionalFormatting sqref="J22">
    <cfRule type="cellIs" dxfId="35" priority="25" operator="equal">
      <formula>"OVERDUE"</formula>
    </cfRule>
    <cfRule type="cellIs" dxfId="34" priority="26" operator="equal">
      <formula>"DONE"</formula>
    </cfRule>
    <cfRule type="cellIs" dxfId="33" priority="27" operator="equal">
      <formula>"DONE"</formula>
    </cfRule>
  </conditionalFormatting>
  <conditionalFormatting sqref="J23">
    <cfRule type="cellIs" dxfId="32" priority="22" operator="equal">
      <formula>"OVERDUE"</formula>
    </cfRule>
    <cfRule type="cellIs" dxfId="31" priority="23" operator="equal">
      <formula>"DONE"</formula>
    </cfRule>
    <cfRule type="cellIs" dxfId="30" priority="24" operator="equal">
      <formula>"DONE"</formula>
    </cfRule>
  </conditionalFormatting>
  <conditionalFormatting sqref="J24">
    <cfRule type="cellIs" dxfId="29" priority="19" operator="equal">
      <formula>"OVERDUE"</formula>
    </cfRule>
    <cfRule type="cellIs" dxfId="28" priority="20" operator="equal">
      <formula>"DONE"</formula>
    </cfRule>
    <cfRule type="cellIs" dxfId="27" priority="21" operator="equal">
      <formula>"DONE"</formula>
    </cfRule>
  </conditionalFormatting>
  <conditionalFormatting sqref="J25">
    <cfRule type="cellIs" dxfId="26" priority="16" operator="equal">
      <formula>"OVERDUE"</formula>
    </cfRule>
    <cfRule type="cellIs" dxfId="25" priority="17" operator="equal">
      <formula>"DONE"</formula>
    </cfRule>
    <cfRule type="cellIs" dxfId="24" priority="18" operator="equal">
      <formula>"DONE"</formula>
    </cfRule>
  </conditionalFormatting>
  <conditionalFormatting sqref="J26">
    <cfRule type="cellIs" dxfId="23" priority="13" operator="equal">
      <formula>"OVERDUE"</formula>
    </cfRule>
    <cfRule type="cellIs" dxfId="22" priority="14" operator="equal">
      <formula>"DONE"</formula>
    </cfRule>
    <cfRule type="cellIs" dxfId="21" priority="15" operator="equal">
      <formula>"DONE"</formula>
    </cfRule>
  </conditionalFormatting>
  <conditionalFormatting sqref="J27">
    <cfRule type="cellIs" dxfId="20" priority="10" operator="equal">
      <formula>"OVERDUE"</formula>
    </cfRule>
    <cfRule type="cellIs" dxfId="19" priority="11" operator="equal">
      <formula>"DONE"</formula>
    </cfRule>
    <cfRule type="cellIs" dxfId="18" priority="12" operator="equal">
      <formula>"DONE"</formula>
    </cfRule>
  </conditionalFormatting>
  <conditionalFormatting sqref="J28">
    <cfRule type="cellIs" dxfId="17" priority="7" operator="equal">
      <formula>"OVERDUE"</formula>
    </cfRule>
    <cfRule type="cellIs" dxfId="16" priority="8" operator="equal">
      <formula>"DONE"</formula>
    </cfRule>
    <cfRule type="cellIs" dxfId="15" priority="9" operator="equal">
      <formula>"DONE"</formula>
    </cfRule>
  </conditionalFormatting>
  <conditionalFormatting sqref="J29">
    <cfRule type="cellIs" dxfId="14" priority="4" operator="equal">
      <formula>"OVERDUE"</formula>
    </cfRule>
    <cfRule type="cellIs" dxfId="13" priority="5" operator="equal">
      <formula>"DONE"</formula>
    </cfRule>
    <cfRule type="cellIs" dxfId="12" priority="6" operator="equal">
      <formula>"DONE"</formula>
    </cfRule>
  </conditionalFormatting>
  <conditionalFormatting sqref="J30">
    <cfRule type="cellIs" dxfId="11" priority="1" operator="equal">
      <formula>"OVERDUE"</formula>
    </cfRule>
    <cfRule type="cellIs" dxfId="10" priority="2" operator="equal">
      <formula>"DONE"</formula>
    </cfRule>
    <cfRule type="cellIs" dxfId="9" priority="3" operator="equal">
      <formula>"DONE"</formula>
    </cfRule>
  </conditionalFormatting>
  <conditionalFormatting sqref="J2:J3 J31:J1048576">
    <cfRule type="cellIs" dxfId="8" priority="82" operator="equal">
      <formula>"OVERDUE"</formula>
    </cfRule>
    <cfRule type="cellIs" dxfId="7" priority="83" operator="equal">
      <formula>"DONE"</formula>
    </cfRule>
    <cfRule type="cellIs" dxfId="6"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P9" sqref="P9"/>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460</v>
      </c>
      <c r="C1" s="140"/>
      <c r="D1" s="140"/>
      <c r="E1" s="140"/>
      <c r="F1" s="140"/>
      <c r="G1" s="140"/>
      <c r="H1" s="140"/>
      <c r="I1" s="140"/>
      <c r="J1" s="140"/>
      <c r="K1" s="140"/>
      <c r="L1" s="140"/>
      <c r="M1" s="140"/>
      <c r="N1" s="140"/>
    </row>
    <row r="2" spans="1:14" ht="28.5" customHeight="1" x14ac:dyDescent="0.15">
      <c r="A2" s="140"/>
      <c r="B2" s="141" t="s">
        <v>459</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458</v>
      </c>
      <c r="C18" s="138"/>
      <c r="D18" s="137"/>
      <c r="I18" s="132"/>
      <c r="K18" s="132"/>
      <c r="M18" s="132"/>
      <c r="N18" s="131"/>
    </row>
    <row r="19" spans="2:14" ht="24" customHeight="1" x14ac:dyDescent="0.35">
      <c r="B19" s="136" t="s">
        <v>119</v>
      </c>
      <c r="C19" s="136" t="s">
        <v>362</v>
      </c>
      <c r="D19" s="135" t="s">
        <v>457</v>
      </c>
      <c r="E19" s="135" t="s">
        <v>456</v>
      </c>
      <c r="I19" s="132"/>
      <c r="K19" s="132"/>
      <c r="L19" s="134"/>
      <c r="M19" s="132"/>
      <c r="N19" s="131"/>
    </row>
    <row r="20" spans="2:14" ht="19.5" customHeight="1" x14ac:dyDescent="0.35">
      <c r="B20" s="128">
        <v>43647</v>
      </c>
      <c r="C20" s="127" t="s">
        <v>466</v>
      </c>
      <c r="D20" s="130">
        <v>30</v>
      </c>
      <c r="E20" s="133">
        <f>1</f>
        <v>1</v>
      </c>
      <c r="I20" s="132"/>
      <c r="K20" s="132"/>
      <c r="M20" s="132"/>
      <c r="N20" s="131"/>
    </row>
    <row r="21" spans="2:14" ht="19.5" customHeight="1" x14ac:dyDescent="0.35">
      <c r="B21" s="128">
        <v>43727</v>
      </c>
      <c r="C21" s="127" t="s">
        <v>467</v>
      </c>
      <c r="D21" s="130">
        <v>-25</v>
      </c>
      <c r="E21" s="133">
        <f>1</f>
        <v>1</v>
      </c>
      <c r="I21" s="132"/>
      <c r="K21" s="132"/>
      <c r="L21" s="134"/>
      <c r="M21" s="132"/>
      <c r="N21" s="131"/>
    </row>
    <row r="22" spans="2:14" ht="61.5" customHeight="1" x14ac:dyDescent="0.35">
      <c r="B22" s="128">
        <v>43767</v>
      </c>
      <c r="C22" s="143" t="s">
        <v>471</v>
      </c>
      <c r="D22" s="130">
        <v>5</v>
      </c>
      <c r="E22" s="133">
        <f>1</f>
        <v>1</v>
      </c>
      <c r="I22" s="132"/>
      <c r="K22" s="132"/>
      <c r="M22" s="132"/>
      <c r="N22" s="131"/>
    </row>
    <row r="23" spans="2:14" ht="19.5" customHeight="1" x14ac:dyDescent="0.35">
      <c r="B23" s="128">
        <v>43807</v>
      </c>
      <c r="C23" s="127" t="s">
        <v>461</v>
      </c>
      <c r="D23" s="130">
        <v>-15</v>
      </c>
      <c r="E23" s="133">
        <f>1</f>
        <v>1</v>
      </c>
      <c r="I23" s="132"/>
      <c r="K23" s="132"/>
      <c r="M23" s="132"/>
      <c r="N23" s="131"/>
    </row>
    <row r="24" spans="2:14" ht="19.5" customHeight="1" x14ac:dyDescent="0.35">
      <c r="B24" s="128">
        <v>43847</v>
      </c>
      <c r="C24" s="127" t="s">
        <v>462</v>
      </c>
      <c r="D24" s="130">
        <v>20</v>
      </c>
      <c r="E24" s="133">
        <f>1</f>
        <v>1</v>
      </c>
      <c r="I24" s="132"/>
      <c r="K24" s="132"/>
      <c r="M24" s="132"/>
      <c r="N24" s="131"/>
    </row>
    <row r="25" spans="2:14" ht="54" customHeight="1" x14ac:dyDescent="0.35">
      <c r="B25" s="128">
        <v>43907</v>
      </c>
      <c r="C25" s="143" t="s">
        <v>463</v>
      </c>
      <c r="D25" s="130">
        <v>-30</v>
      </c>
      <c r="E25" s="133">
        <f>1</f>
        <v>1</v>
      </c>
      <c r="I25" s="132"/>
      <c r="K25" s="132"/>
      <c r="M25" s="132"/>
      <c r="N25" s="131"/>
    </row>
    <row r="26" spans="2:14" ht="19.5" customHeight="1" x14ac:dyDescent="0.35">
      <c r="B26" s="128">
        <v>43922</v>
      </c>
      <c r="C26" s="127" t="s">
        <v>472</v>
      </c>
      <c r="D26" s="130">
        <v>10</v>
      </c>
      <c r="E26" s="127">
        <f>1</f>
        <v>1</v>
      </c>
      <c r="I26" s="132"/>
      <c r="K26" s="132"/>
      <c r="M26" s="132"/>
      <c r="N26" s="131"/>
    </row>
    <row r="27" spans="2:14" ht="19.5" customHeight="1" x14ac:dyDescent="0.15">
      <c r="B27" s="128">
        <v>43947</v>
      </c>
      <c r="C27" s="127" t="s">
        <v>464</v>
      </c>
      <c r="D27" s="130">
        <v>-15</v>
      </c>
      <c r="E27" s="133">
        <f>1</f>
        <v>1</v>
      </c>
    </row>
    <row r="28" spans="2:14" ht="19.5" customHeight="1" x14ac:dyDescent="0.15">
      <c r="B28" s="128">
        <v>43966</v>
      </c>
      <c r="C28" s="127" t="s">
        <v>465</v>
      </c>
      <c r="D28" s="130">
        <v>20</v>
      </c>
      <c r="E28" s="125">
        <f>1</f>
        <v>1</v>
      </c>
    </row>
    <row r="29" spans="2:14" ht="19.5" customHeight="1" x14ac:dyDescent="0.15">
      <c r="B29" s="128">
        <v>43995</v>
      </c>
      <c r="C29" s="127" t="s">
        <v>477</v>
      </c>
      <c r="D29" s="130">
        <v>-25</v>
      </c>
      <c r="E29" s="125">
        <f>1</f>
        <v>1</v>
      </c>
      <c r="H29" s="129"/>
    </row>
    <row r="30" spans="2:14" ht="19.5" customHeight="1" x14ac:dyDescent="0.15">
      <c r="B30" s="128">
        <v>44044</v>
      </c>
      <c r="C30" s="127" t="s">
        <v>470</v>
      </c>
      <c r="D30" s="130">
        <v>30</v>
      </c>
      <c r="E30" s="145">
        <f>1</f>
        <v>1</v>
      </c>
      <c r="H30" s="129"/>
    </row>
    <row r="31" spans="2:14" ht="89.25" customHeight="1" x14ac:dyDescent="0.15">
      <c r="B31" s="128">
        <v>44075</v>
      </c>
      <c r="C31" s="143" t="s">
        <v>481</v>
      </c>
      <c r="D31" s="130">
        <v>-25</v>
      </c>
      <c r="E31" s="125">
        <f>1</f>
        <v>1</v>
      </c>
    </row>
    <row r="32" spans="2:14" ht="19.5" customHeight="1" x14ac:dyDescent="0.15">
      <c r="B32" s="128">
        <v>44127</v>
      </c>
      <c r="C32" s="127" t="s">
        <v>468</v>
      </c>
      <c r="D32" s="126">
        <v>-10</v>
      </c>
      <c r="E32" s="125">
        <f>1</f>
        <v>1</v>
      </c>
    </row>
    <row r="33" spans="2:5" ht="73.5" customHeight="1" x14ac:dyDescent="0.15">
      <c r="B33" s="128">
        <v>44165</v>
      </c>
      <c r="C33" s="143" t="s">
        <v>482</v>
      </c>
      <c r="D33" s="126">
        <v>10</v>
      </c>
      <c r="E33" s="145">
        <f>1</f>
        <v>1</v>
      </c>
    </row>
    <row r="34" spans="2:5" ht="19.5" customHeight="1" x14ac:dyDescent="0.15">
      <c r="B34" s="128">
        <v>44196</v>
      </c>
      <c r="C34" s="127" t="s">
        <v>480</v>
      </c>
      <c r="D34" s="126">
        <v>-25</v>
      </c>
      <c r="E34" s="125">
        <f>1</f>
        <v>1</v>
      </c>
    </row>
    <row r="35" spans="2:5" ht="19.5" customHeight="1" x14ac:dyDescent="0.15">
      <c r="B35" s="128">
        <v>44226</v>
      </c>
      <c r="C35" s="127" t="s">
        <v>478</v>
      </c>
      <c r="D35" s="126">
        <v>30</v>
      </c>
      <c r="E35" s="145">
        <f>1</f>
        <v>1</v>
      </c>
    </row>
    <row r="36" spans="2:5" ht="19.5" customHeight="1" x14ac:dyDescent="0.15">
      <c r="B36" s="128" t="s">
        <v>473</v>
      </c>
      <c r="C36" s="127" t="s">
        <v>479</v>
      </c>
      <c r="D36" s="126">
        <v>-15</v>
      </c>
      <c r="E36" s="145">
        <f>1</f>
        <v>1</v>
      </c>
    </row>
    <row r="37" spans="2:5" ht="19.5" customHeight="1" x14ac:dyDescent="0.15">
      <c r="B37" s="128">
        <v>44285</v>
      </c>
      <c r="C37" s="127" t="s">
        <v>475</v>
      </c>
      <c r="D37" s="126">
        <v>5</v>
      </c>
      <c r="E37" s="145">
        <f>1</f>
        <v>1</v>
      </c>
    </row>
    <row r="38" spans="2:5" ht="19.5" customHeight="1" x14ac:dyDescent="0.15">
      <c r="B38" s="128">
        <v>44316</v>
      </c>
      <c r="C38" s="127" t="s">
        <v>476</v>
      </c>
      <c r="D38" s="126">
        <v>-25</v>
      </c>
      <c r="E38" s="145">
        <f>1</f>
        <v>1</v>
      </c>
    </row>
    <row r="39" spans="2:5" ht="19.5" customHeight="1" x14ac:dyDescent="0.15">
      <c r="B39" s="128">
        <v>44285</v>
      </c>
      <c r="C39" s="127" t="s">
        <v>474</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2" type="noConversion"/>
  <pageMargins left="0.7" right="0.7" top="0.75" bottom="0.75" header="0.3" footer="0.3"/>
  <pageSetup scale="78" fitToHeight="0"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9639A4A-ED56-479D-BBC2-24ACE46046AC}">
  <ds:schemaRefs/>
</ds:datastoreItem>
</file>

<file path=customXml/itemProps2.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480F11A6-3660-43C1-99FE-060D2F12406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20</vt:i4>
      </vt:variant>
    </vt:vector>
  </HeadingPairs>
  <TitlesOfParts>
    <vt:vector size="28" baseType="lpstr">
      <vt:lpstr>framework</vt:lpstr>
      <vt:lpstr>opengl</vt:lpstr>
      <vt:lpstr>other</vt:lpstr>
      <vt:lpstr>newbrush SDK总任务表</vt:lpstr>
      <vt:lpstr>newbrush studio总任务表</vt:lpstr>
      <vt:lpstr>newbrush SDK详细任务跟进</vt:lpstr>
      <vt:lpstr>newbrush studio详细任务跟进</vt:lpstr>
      <vt:lpstr>项目时间表</vt:lpstr>
      <vt:lpstr>'newbrush studio总任务表'!Display_Week</vt:lpstr>
      <vt:lpstr>Display_Week</vt:lpstr>
      <vt:lpstr>'newbrush SDK详细任务跟进'!EOI</vt:lpstr>
      <vt:lpstr>'newbrush studio详细任务跟进'!EOI</vt:lpstr>
      <vt:lpstr>opengl!EOI</vt:lpstr>
      <vt:lpstr>other!EOI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2020-04-16T11:23:38Z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