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5" activeTab="7"/>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倒车轨迹线线OpenGL方案" sheetId="17" r:id="rId8"/>
    <sheet name="项目时间表" sheetId="16" r:id="rId9"/>
  </sheets>
  <externalReferences>
    <externalReference r:id="rId10"/>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_xlnm._FilterDatabase" localSheetId="7" hidden="1">倒车轨迹线线OpenGL方案!$A$3:$P$27</definedName>
    <definedName name="ActualBeyond" localSheetId="6">'newbrush studio详细任务跟进'!PeriodInActual*(#REF!&gt;0)</definedName>
    <definedName name="ActualBeyond" localSheetId="4">'newbrush studio总任务表'!PeriodInActual*(#REF!&gt;0)</definedName>
    <definedName name="ActualBeyond" localSheetId="7">倒车轨迹线线OpenGL方案!PeriodInActual*(#REF!&gt;0)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SDK详细任务跟进'!$A$35</definedName>
    <definedName name="EOI" localSheetId="6">'newbrush studio详细任务跟进'!$A$31</definedName>
    <definedName name="EOI" localSheetId="1">opengl!$A$15</definedName>
    <definedName name="EOI" localSheetId="2">other!$A$16</definedName>
    <definedName name="EOI" localSheetId="7">倒车轨迹线线OpenGL方案!$A$28</definedName>
    <definedName name="EOI">framework!$A$19</definedName>
    <definedName name="EOS" localSheetId="3">#REF!</definedName>
    <definedName name="EOS" localSheetId="6">#REF!</definedName>
    <definedName name="EOS" localSheetId="4">#REF!</definedName>
    <definedName name="EOS" localSheetId="7">#REF!</definedName>
    <definedName name="EOS">#REF!</definedName>
    <definedName name="EOT" localSheetId="3">#REF!</definedName>
    <definedName name="EOT" localSheetId="6">#REF!</definedName>
    <definedName name="EOT" localSheetId="4">#REF!</definedName>
    <definedName name="EOT" localSheetId="7">#REF!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 localSheetId="7">倒车轨迹线线OpenGL方案!PercentCompleteBeyond*倒车轨迹线线OpenGL方案!PeriodInPlan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 localSheetId="7">(#REF!=MEDIAN(#REF!,#REF!,#REF!+#REF!)*(#REF!&gt;0))*((#REF!&lt;(INT(#REF!+#REF!*#REF!)))+(#REF!=#REF!))*(#REF!&gt;0)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 localSheetId="7">#REF!</definedName>
    <definedName name="period_selected">#REF!</definedName>
    <definedName name="PeriodInActual" localSheetId="6">#REF!=MEDIAN(#REF!,#REF!,#REF!+#REF!-1)</definedName>
    <definedName name="PeriodInActual" localSheetId="4">#REF!=MEDIAN(#REF!,#REF!,#REF!+#REF!-1)</definedName>
    <definedName name="PeriodInActual" localSheetId="7">#REF!=MEDIAN(#REF!,#REF!,#REF!+#REF!-1)</definedName>
    <definedName name="PeriodInActual">#REF!=MEDIAN(#REF!,#REF!,#REF!+#REF!-1)</definedName>
    <definedName name="PeriodInPlan" localSheetId="6">#REF!=MEDIAN(#REF!,#REF!,#REF!+#REF!-1)</definedName>
    <definedName name="PeriodInPlan" localSheetId="4">#REF!=MEDIAN(#REF!,#REF!,#REF!+#REF!-1)</definedName>
    <definedName name="PeriodInPlan" localSheetId="7">#REF!=MEDIAN(#REF!,#REF!,#REF!+#REF!-1)</definedName>
    <definedName name="PeriodInPlan">#REF!=MEDIAN(#REF!,#REF!,#REF!+#REF!-1)</definedName>
    <definedName name="_xlnm.Print_Area" localSheetId="8">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#REF!</definedName>
    <definedName name="ProjectEnd" localSheetId="8">项目时间表!$L$21</definedName>
    <definedName name="ProjectEnd">#REF!</definedName>
    <definedName name="ProjectStart" localSheetId="7">#REF!</definedName>
    <definedName name="ProjectStart" localSheetId="8">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 localSheetId="7">#REF!</definedName>
    <definedName name="TitleRegion..BO60">#REF!</definedName>
    <definedName name="计划" localSheetId="6">'newbrush studio详细任务跟进'!PeriodInPlan*(#REF!&gt;0)</definedName>
    <definedName name="计划" localSheetId="4">'newbrush studio总任务表'!PeriodInPlan*(#REF!&gt;0)</definedName>
    <definedName name="计划" localSheetId="7">倒车轨迹线线OpenGL方案!PeriodInPlan*(#REF!&gt;0)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 localSheetId="7">(倒车轨迹线线OpenGL方案!PeriodInActual*(#REF!&gt;0))*倒车轨迹线线OpenGL方案!PeriodInPlan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19" i="17" s="1"/>
  <c r="M19" i="17" l="1"/>
  <c r="L19" i="17"/>
  <c r="N19" i="17"/>
  <c r="J21" i="17"/>
  <c r="J23" i="17"/>
  <c r="J25" i="17"/>
  <c r="J27" i="17"/>
  <c r="O5" i="17"/>
  <c r="J5" i="17" s="1"/>
  <c r="J6" i="17"/>
  <c r="J10" i="17"/>
  <c r="J12" i="17"/>
  <c r="J14" i="17"/>
  <c r="J16" i="17"/>
  <c r="J18" i="17"/>
  <c r="J20" i="17"/>
  <c r="J22" i="17"/>
  <c r="J24" i="17"/>
  <c r="J26" i="17"/>
  <c r="O4" i="17"/>
  <c r="J4" i="17" s="1"/>
  <c r="J9" i="17"/>
  <c r="J11" i="17"/>
  <c r="J13" i="17"/>
  <c r="J15" i="17"/>
  <c r="J17" i="17"/>
  <c r="O34" i="8"/>
  <c r="K34" i="8"/>
  <c r="O33" i="8"/>
  <c r="K33" i="8"/>
  <c r="K32" i="8"/>
  <c r="N4" i="17" l="1"/>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J33" i="8" l="1"/>
  <c r="N33" i="8" s="1"/>
  <c r="J34" i="8"/>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M33" i="8" l="1"/>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<sst xmlns="http://schemas.openxmlformats.org/spreadsheetml/2006/main" count="1026" uniqueCount="521">
  <si>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</si>
  <si>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</si>
  <si>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</si>
  <si>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</si>
  <si>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</si>
  <si>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</si>
  <si>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</si>
  <si>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</si>
  <si>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</si>
  <si>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</si>
  <si>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</si>
  <si>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</si>
  <si>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</si>
  <si>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</si>
  <si>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</si>
  <si>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</si>
  <si>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</si>
  <si>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</si>
  <si>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</si>
  <si>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</si>
  <si>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</si>
  <si>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</si>
  <si>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</si>
  <si>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</si>
  <si>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</si>
  <si>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</si>
  <si>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</si>
  <si>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</si>
  <si>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</si>
  <si>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</si>
  <si>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</si>
  <si>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</si>
  <si>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</si>
  <si>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</si>
  <si>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</si>
  <si>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</si>
  <si>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</si>
  <si>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</si>
  <si>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</si>
  <si>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</si>
  <si>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</si>
  <si>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</si>
  <si>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</si>
  <si>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</si>
  <si>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</si>
  <si>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</si>
  <si>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</si>
  <si>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</si>
  <si>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</si>
  <si>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</si>
  <si>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</si>
  <si>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</si>
  <si>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</si>
  <si>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</si>
  <si>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</si>
  <si>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</si>
  <si>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</si>
  <si>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</si>
  <si>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</si>
  <si>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</si>
  <si>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</si>
  <si>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</si>
  <si>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</si>
  <si>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</si>
  <si>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</si>
  <si>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</si>
  <si>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</si>
  <si>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</si>
  <si>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</si>
  <si>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</si>
  <si>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</si>
  <si>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</si>
  <si>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</si>
  <si>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</si>
  <si>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</si>
  <si>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</si>
  <si>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</si>
  <si>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</si>
  <si>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</si>
  <si>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</si>
  <si>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</si>
  <si>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</si>
  <si>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</si>
  <si>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</si>
  <si>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</si>
  <si>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</si>
  <si>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</si>
  <si>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</si>
  <si>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</si>
  <si>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</si>
  <si>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</si>
  <si>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</si>
  <si>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</si>
  <si>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</si>
  <si>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</si>
  <si>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</si>
  <si>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</si>
  <si>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</si>
  <si>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</si>
  <si>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</si>
  <si>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</si>
  <si>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</si>
  <si>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</si>
  <si>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</si>
  <si>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</si>
  <si>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</si>
  <si>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</si>
  <si>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</si>
  <si>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</si>
  <si>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</si>
  <si>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</si>
  <si>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</si>
  <si>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</si>
  <si>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</si>
  <si>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</si>
  <si>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</si>
  <si>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</si>
  <si>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</si>
  <si>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</si>
  <si>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</si>
  <si>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</si>
  <si>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</si>
  <si>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</si>
  <si>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</si>
  <si>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</si>
  <si>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</si>
  <si>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</si>
  <si>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</si>
  <si>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</si>
  <si>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</si>
  <si>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</si>
  <si>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</si>
  <si>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</si>
  <si>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</si>
  <si>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</si>
  <si>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</si>
  <si>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</si>
  <si>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</si>
  <si>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</si>
  <si>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</si>
  <si>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</si>
  <si>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</si>
  <si>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</si>
  <si>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</si>
  <si>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</si>
  <si>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</si>
  <si>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</si>
  <si>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</si>
  <si>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</si>
  <si>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</si>
  <si>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</si>
  <si>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</si>
  <si>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</si>
  <si>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</si>
  <si>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</si>
  <si>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</si>
  <si>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</si>
  <si>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</si>
  <si>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</si>
  <si>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</si>
  <si>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</si>
  <si>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</si>
  <si>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</si>
  <si>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</si>
  <si>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</si>
  <si>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</si>
  <si>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</si>
  <si>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</si>
  <si>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</si>
  <si>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</si>
  <si>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</si>
  <si>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</si>
  <si>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</si>
  <si>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</si>
  <si>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</si>
  <si>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</si>
  <si>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</si>
  <si>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</si>
  <si>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</si>
  <si>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</si>
  <si>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</si>
  <si>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</si>
  <si>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</si>
  <si>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</si>
  <si>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</si>
  <si>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</si>
  <si>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</si>
  <si>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</si>
  <si>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</si>
  <si>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</si>
  <si>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</si>
  <si>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</si>
  <si>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</si>
  <si>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</si>
  <si>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</si>
  <si>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</si>
  <si>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</si>
  <si>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</si>
  <si>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</si>
  <si>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</si>
  <si>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</si>
  <si>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</si>
  <si>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</si>
  <si>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</si>
  <si>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</si>
  <si>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</si>
  <si>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</si>
  <si>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</si>
  <si>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</si>
  <si>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</si>
  <si>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</si>
  <si>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</si>
  <si>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</si>
  <si>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</si>
  <si>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</si>
  <si>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</si>
  <si>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</si>
  <si>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</si>
  <si>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</si>
  <si>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</si>
  <si>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</si>
  <si>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</si>
  <si>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</si>
  <si>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</si>
  <si>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</si>
  <si>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</si>
  <si>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</si>
  <si>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</si>
  <si>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</si>
  <si>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</si>
  <si>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</si>
  <si>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</si>
  <si>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</si>
  <si>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</si>
  <si>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</si>
  <si>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</si>
  <si>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</si>
  <si>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</si>
  <si>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</si>
  <si>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</si>
  <si>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</si>
  <si>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</si>
  <si>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</si>
  <si>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</si>
  <si>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</si>
  <si>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</si>
  <si>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</si>
  <si>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</si>
  <si>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</si>
  <si>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</si>
  <si>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</si>
  <si>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</si>
  <si>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</si>
  <si>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</si>
  <si>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</si>
  <si>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</si>
  <si>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</si>
  <si>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</si>
  <si>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</si>
  <si>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</si>
  <si>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</si>
  <si>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</si>
  <si>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</si>
  <si>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</si>
  <si>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</si>
  <si>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</si>
  <si>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</si>
  <si>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</si>
  <si>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</si>
  <si>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</si>
  <si>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</si>
  <si>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</si>
  <si>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</si>
  <si>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</si>
  <si>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</si>
  <si>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</si>
  <si>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</si>
  <si>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</si>
  <si>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</si>
  <si>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</si>
  <si>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</si>
  <si>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</si>
  <si>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</si>
  <si>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</si>
  <si>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</si>
  <si>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</si>
  <si>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</si>
  <si>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</si>
  <si>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</si>
  <si>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</si>
  <si>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</si>
  <si>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</si>
  <si>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</si>
  <si>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</si>
  <si>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</si>
  <si>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</si>
  <si>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</si>
  <si>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</si>
  <si>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</si>
  <si>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</si>
  <si>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</si>
  <si>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</si>
  <si>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</si>
  <si>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</si>
  <si>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</si>
  <si>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</si>
  <si>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</si>
  <si>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</si>
  <si>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</si>
  <si>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</si>
  <si>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</si>
  <si>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</si>
  <si>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</si>
  <si>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</si>
  <si>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</si>
  <si>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</si>
  <si>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</si>
  <si>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</si>
  <si>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</si>
  <si>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</si>
  <si>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</si>
  <si>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</si>
  <si>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</si>
  <si>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</si>
  <si>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</si>
  <si>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</si>
  <si>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</si>
  <si>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</si>
  <si>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</si>
  <si>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</si>
  <si>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</si>
  <si>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</si>
  <si>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</si>
  <si>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</si>
  <si>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</si>
  <si>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</si>
  <si>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</si>
  <si>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</si>
  <si>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</si>
  <si>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</si>
  <si>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</si>
  <si>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</si>
  <si>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</si>
  <si>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</si>
  <si>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</si>
  <si>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</si>
  <si>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</si>
  <si>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</si>
  <si>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</si>
  <si>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</si>
  <si>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</si>
  <si>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</si>
  <si>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</si>
  <si>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</si>
  <si>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</si>
  <si>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</si>
  <si>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</si>
  <si>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</si>
  <si>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</si>
  <si>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</si>
  <si>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</si>
  <si>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</si>
  <si>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</si>
  <si>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</si>
  <si>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</si>
  <si>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</si>
  <si>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</si>
  <si>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</si>
  <si>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</si>
  <si>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</si>
  <si>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</si>
  <si>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</si>
  <si>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</si>
  <si>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</si>
  <si>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</si>
  <si>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</si>
  <si>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</si>
  <si>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</si>
  <si>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</si>
  <si>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</si>
  <si>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</si>
  <si>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</si>
  <si>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</si>
  <si>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</si>
  <si>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</si>
  <si>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</si>
  <si>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</si>
  <si>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</si>
  <si>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</si>
  <si>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</si>
  <si>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</si>
  <si>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</si>
  <si>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</si>
  <si>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</si>
  <si>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</si>
  <si>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</si>
  <si>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</si>
  <si>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</si>
  <si>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</si>
  <si>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</si>
  <si>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</si>
  <si>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</si>
  <si>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</si>
  <si>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</si>
  <si>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</si>
  <si>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</si>
  <si>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</si>
  <si>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</si>
  <si>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</si>
  <si>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</si>
  <si>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</si>
  <si>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</si>
  <si>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</si>
  <si>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</si>
  <si>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</si>
  <si>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</si>
  <si>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</si>
  <si>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</si>
  <si>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</si>
  <si>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</si>
  <si>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</si>
  <si>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</si>
  <si>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</si>
  <si>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</si>
  <si>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</si>
  <si>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</si>
  <si>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</si>
  <si>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</si>
  <si>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</si>
  <si>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</si>
  <si>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</si>
  <si>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</si>
  <si>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</si>
  <si>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</si>
  <si>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</si>
  <si>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</si>
  <si>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</si>
  <si>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</si>
  <si>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</si>
  <si>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</si>
  <si>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</si>
  <si>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</si>
  <si>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</si>
  <si>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</si>
  <si>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</si>
  <si>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</si>
  <si>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</si>
  <si>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</si>
  <si>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</si>
  <si>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</si>
  <si>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</si>
  <si>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</si>
  <si>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</si>
  <si>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</si>
  <si>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</si>
  <si>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</si>
  <si>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</si>
  <si>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</si>
  <si>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</si>
  <si>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</si>
  <si>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</si>
  <si>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</si>
  <si>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</si>
  <si>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</si>
  <si>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</si>
  <si>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</si>
  <si>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</si>
  <si>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</si>
  <si>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</si>
  <si>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</si>
  <si>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</si>
  <si>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</si>
  <si>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</si>
  <si>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</si>
  <si>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</si>
  <si>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</si>
  <si>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</si>
  <si>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</si>
  <si>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</si>
  <si>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</si>
  <si>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</si>
  <si>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</si>
  <si>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</si>
  <si>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</si>
  <si>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</si>
  <si>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</si>
  <si>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</si>
  <si>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</si>
  <si>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</si>
  <si>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</si>
  <si>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</si>
  <si>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</si>
  <si>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</si>
  <si>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</si>
  <si>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t>
    </r>
  </si>
  <si>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</si>
  <si>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</si>
  <si>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</si>
  <si>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</si>
  <si>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</si>
  <si>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</si>
  <si>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</si>
  <si>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</si>
  <si>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</si>
  <si>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</si>
  <si>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</si>
  <si>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</si>
  <si>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</si>
  <si>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</si>
  <si>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</si>
  <si>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</si>
  <si>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</si>
  <si>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</si>
  <si>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</si>
  <si>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</si>
  <si>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</si>
  <si>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</si>
  <si>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r>
      <t>2020-5-4</t>
    </r>
    <r>
      <rPr>
        <sz val="10"/>
        <rFont val="宋体"/>
        <family val="3"/>
        <charset val="134"/>
      </rPr>
      <t xml:space="preserve">：
</t>
    </r>
    <r>
      <rPr>
        <sz val="10"/>
        <rFont val="Arial"/>
        <family val="2"/>
      </rPr>
      <t>2020-6-29</t>
    </r>
    <r>
      <rPr>
        <sz val="10"/>
        <rFont val="宋体"/>
        <family val="3"/>
        <charset val="134"/>
      </rPr>
      <t xml:space="preserve">：
</t>
    </r>
    <r>
      <rPr>
        <sz val="10"/>
        <rFont val="Arial"/>
        <family val="2"/>
      </rPr>
      <t>2020-7-6</t>
    </r>
    <r>
      <rPr>
        <sz val="10"/>
        <rFont val="宋体"/>
        <family val="3"/>
        <charset val="134"/>
      </rPr>
      <t>：</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</si>
  <si>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t>
    </r>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</si>
  <si>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：机器已经拿到，缺摄像头，后续拿到</t>
    </r>
    <phoneticPr fontId="34" type="noConversion"/>
  </si>
  <si>
    <r>
      <t>2020-6-29</t>
    </r>
    <r>
      <rPr>
        <sz val="10"/>
        <rFont val="宋体"/>
        <family val="3"/>
        <charset val="134"/>
      </rPr>
      <t xml:space="preserve">：本周开始
</t>
    </r>
    <r>
      <rPr>
        <sz val="10"/>
        <rFont val="Arial"/>
        <family val="2"/>
      </rPr>
      <t>2020-7-6</t>
    </r>
    <r>
      <rPr>
        <sz val="10"/>
        <rFont val="宋体"/>
        <family val="3"/>
        <charset val="134"/>
      </rPr>
      <t>：已经可以显示初步的线</t>
    </r>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</si>
</sst>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2"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165">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402">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401"/>
      <tableStyleElement type="headerRow" dxfId="400"/>
      <tableStyleElement type="firstRowStripe" dxfId="399"/>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34</xdr:row>
          <xdr:rowOff>85725</xdr:rowOff>
        </xdr:from>
        <xdr:to>
          <xdr:col>1</xdr:col>
          <xdr:colOff>800100</xdr:colOff>
          <xdr:row>35</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398" dataDxfId="397">
  <tableColumns count="4">
    <tableColumn id="1" name="日期" dataDxfId="396"/>
    <tableColumn id="2" name="里程碑" dataDxfId="395"/>
    <tableColumn id="4" name="位置" dataDxfId="394"/>
    <tableColumn id="5" name="比较基准" dataDxfId="393">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0</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44018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-342</v>
      </c>
      <c r="L4" s="13">
        <f t="shared" ref="L4" ca="1" si="2">IF(J4="OVERDUE",1,0)</f>
        <v>0</v>
      </c>
      <c r="M4" s="13">
        <f t="shared" ref="M4" ca="1" si="3">IF(J4="IN TIME",1,0)</f>
        <v>0</v>
      </c>
      <c r="N4" s="13">
        <f t="shared" ref="N4" ca="1" si="4">IF(J4="DONE",1,0)</f>
        <v>1</v>
      </c>
      <c r="O4" s="13">
        <f t="shared" ref="O4" ca="1" si="5">IF(G4&gt;0,G4-$C$2,"")</f>
        <v>-350</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-365</v>
      </c>
      <c r="L5" s="13">
        <f t="shared" ref="L5" ca="1" si="8">IF(J5="OVERDUE",1,0)</f>
        <v>0</v>
      </c>
      <c r="M5" s="13">
        <f t="shared" ref="M5" ca="1" si="9">IF(J5="IN TIME",1,0)</f>
        <v>0</v>
      </c>
      <c r="N5" s="13">
        <f t="shared" ref="N5" ca="1" si="10">IF(J5="DONE",1,0)</f>
        <v>1</v>
      </c>
      <c r="O5" s="13">
        <f t="shared" ref="O5" ca="1" si="11">IF(G5&gt;0,G5-$C$2,"")</f>
        <v>-372</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-371</v>
      </c>
      <c r="L6" s="13">
        <f t="shared" ref="L6" ca="1" si="14">IF(J6="OVERDUE",1,0)</f>
        <v>0</v>
      </c>
      <c r="M6" s="13">
        <f t="shared" ref="M6" ca="1" si="15">IF(J6="IN TIME",1,0)</f>
        <v>0</v>
      </c>
      <c r="N6" s="13">
        <f t="shared" ref="N6" ca="1" si="16">IF(J6="DONE",1,0)</f>
        <v>1</v>
      </c>
      <c r="O6" s="13">
        <f t="shared" ref="O6" ca="1" si="17">IF(G6&gt;0,G6-$C$2,"")</f>
        <v>-378</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-357</v>
      </c>
      <c r="L7" s="13">
        <f t="shared" ref="L7" ca="1" si="20">IF(J7="OVERDUE",1,0)</f>
        <v>0</v>
      </c>
      <c r="M7" s="13">
        <f t="shared" ref="M7" ca="1" si="21">IF(J7="IN TIME",1,0)</f>
        <v>0</v>
      </c>
      <c r="N7" s="13">
        <f t="shared" ref="N7" ca="1" si="22">IF(J7="DONE",1,0)</f>
        <v>1</v>
      </c>
      <c r="O7" s="13">
        <f t="shared" ref="O7" ca="1" si="23">IF(G7&gt;0,G7-$C$2,"")</f>
        <v>-370</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-340</v>
      </c>
      <c r="L8" s="13">
        <f t="shared" ref="L8" ca="1" si="26">IF(J8="OVERDUE",1,0)</f>
        <v>0</v>
      </c>
      <c r="M8" s="13">
        <f t="shared" ref="M8" ca="1" si="27">IF(J8="IN TIME",1,0)</f>
        <v>0</v>
      </c>
      <c r="N8" s="13">
        <f t="shared" ref="N8" ca="1" si="28">IF(J8="DONE",1,0)</f>
        <v>1</v>
      </c>
      <c r="O8" s="13">
        <f t="shared" ref="O8" ca="1" si="29">IF(G8&gt;0,G8-$C$2,"")</f>
        <v>-371</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-321</v>
      </c>
      <c r="L9" s="13">
        <f t="shared" ref="L9" ca="1" si="32">IF(J9="OVERDUE",1,0)</f>
        <v>0</v>
      </c>
      <c r="M9" s="13">
        <f t="shared" ref="M9" ca="1" si="33">IF(J9="IN TIME",1,0)</f>
        <v>0</v>
      </c>
      <c r="N9" s="13">
        <f t="shared" ref="N9" ca="1" si="34">IF(J9="DONE",1,0)</f>
        <v>1</v>
      </c>
      <c r="O9" s="13">
        <f t="shared" ref="O9" ca="1" si="35">IF(G9&gt;0,G9-$C$2,"")</f>
        <v>-340</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-342</v>
      </c>
      <c r="L10" s="13">
        <f t="shared" ref="L10" ca="1" si="38">IF(J10="OVERDUE",1,0)</f>
        <v>0</v>
      </c>
      <c r="M10" s="13">
        <f t="shared" ref="M10" ca="1" si="39">IF(J10="IN TIME",1,0)</f>
        <v>0</v>
      </c>
      <c r="N10" s="13">
        <f t="shared" ref="N10" ca="1" si="40">IF(J10="DONE",1,0)</f>
        <v>1</v>
      </c>
      <c r="O10" s="13">
        <f t="shared" ref="O10" ca="1" si="41">IF(G10&gt;0,G10-$C$2,"")</f>
        <v>-357</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-327</v>
      </c>
      <c r="L11" s="13">
        <f t="shared" ref="L11" ca="1" si="44">IF(J11="OVERDUE",1,0)</f>
        <v>0</v>
      </c>
      <c r="M11" s="13">
        <f t="shared" ref="M11" ca="1" si="45">IF(J11="IN TIME",1,0)</f>
        <v>0</v>
      </c>
      <c r="N11" s="13">
        <f t="shared" ref="N11" ca="1" si="46">IF(J11="DONE",1,0)</f>
        <v>1</v>
      </c>
      <c r="O11" s="13">
        <f t="shared" ref="O11" ca="1" si="47">IF(G11&gt;0,G11-$C$2,"")</f>
        <v>-334</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-315</v>
      </c>
      <c r="L12" s="13">
        <f t="shared" ref="L12" ca="1" si="50">IF(J12="OVERDUE",1,0)</f>
        <v>0</v>
      </c>
      <c r="M12" s="13">
        <f t="shared" ref="M12" ca="1" si="51">IF(J12="IN TIME",1,0)</f>
        <v>0</v>
      </c>
      <c r="N12" s="13">
        <f t="shared" ref="N12" ca="1" si="52">IF(J12="DONE",1,0)</f>
        <v>1</v>
      </c>
      <c r="O12" s="13">
        <f t="shared" ref="O12" ca="1" si="53">IF(G12&gt;0,G12-$C$2,"")</f>
        <v>-322</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-332</v>
      </c>
      <c r="L13" s="13">
        <f t="shared" ref="L13" ca="1" si="56">IF(J13="OVERDUE",1,0)</f>
        <v>0</v>
      </c>
      <c r="M13" s="13">
        <f t="shared" ref="M13" ca="1" si="57">IF(J13="IN TIME",1,0)</f>
        <v>0</v>
      </c>
      <c r="N13" s="13">
        <f t="shared" ref="N13" ca="1" si="58">IF(J13="DONE",1,0)</f>
        <v>1</v>
      </c>
      <c r="O13" s="13">
        <f t="shared" ref="O13" ca="1" si="59">IF(G13&gt;0,G13-$C$2,"")</f>
        <v>-335</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-295</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-226</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-219</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-107</v>
      </c>
      <c r="P17" s="20" t="s">
        <v>388</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4" type="noConversion"/>
  <conditionalFormatting sqref="J4">
    <cfRule type="cellIs" dxfId="392" priority="43" operator="equal">
      <formula>"OVERDUE"</formula>
    </cfRule>
    <cfRule type="cellIs" dxfId="391" priority="44" operator="equal">
      <formula>"DONE"</formula>
    </cfRule>
    <cfRule type="cellIs" dxfId="390" priority="45" operator="equal">
      <formula>"DONE"</formula>
    </cfRule>
  </conditionalFormatting>
  <conditionalFormatting sqref="J5">
    <cfRule type="cellIs" dxfId="389" priority="40" operator="equal">
      <formula>"OVERDUE"</formula>
    </cfRule>
    <cfRule type="cellIs" dxfId="388" priority="41" operator="equal">
      <formula>"DONE"</formula>
    </cfRule>
    <cfRule type="cellIs" dxfId="387" priority="42" operator="equal">
      <formula>"DONE"</formula>
    </cfRule>
  </conditionalFormatting>
  <conditionalFormatting sqref="J6">
    <cfRule type="cellIs" dxfId="386" priority="37" operator="equal">
      <formula>"OVERDUE"</formula>
    </cfRule>
    <cfRule type="cellIs" dxfId="385" priority="38" operator="equal">
      <formula>"DONE"</formula>
    </cfRule>
    <cfRule type="cellIs" dxfId="384" priority="39" operator="equal">
      <formula>"DONE"</formula>
    </cfRule>
  </conditionalFormatting>
  <conditionalFormatting sqref="J7">
    <cfRule type="cellIs" dxfId="383" priority="34" operator="equal">
      <formula>"OVERDUE"</formula>
    </cfRule>
    <cfRule type="cellIs" dxfId="382" priority="35" operator="equal">
      <formula>"DONE"</formula>
    </cfRule>
    <cfRule type="cellIs" dxfId="381" priority="36" operator="equal">
      <formula>"DONE"</formula>
    </cfRule>
  </conditionalFormatting>
  <conditionalFormatting sqref="J8">
    <cfRule type="cellIs" dxfId="380" priority="31" operator="equal">
      <formula>"OVERDUE"</formula>
    </cfRule>
    <cfRule type="cellIs" dxfId="379" priority="32" operator="equal">
      <formula>"DONE"</formula>
    </cfRule>
    <cfRule type="cellIs" dxfId="378" priority="33" operator="equal">
      <formula>"DONE"</formula>
    </cfRule>
  </conditionalFormatting>
  <conditionalFormatting sqref="J9">
    <cfRule type="cellIs" dxfId="377" priority="28" operator="equal">
      <formula>"OVERDUE"</formula>
    </cfRule>
    <cfRule type="cellIs" dxfId="376" priority="29" operator="equal">
      <formula>"DONE"</formula>
    </cfRule>
    <cfRule type="cellIs" dxfId="375" priority="30" operator="equal">
      <formula>"DONE"</formula>
    </cfRule>
  </conditionalFormatting>
  <conditionalFormatting sqref="J10">
    <cfRule type="cellIs" dxfId="374" priority="25" operator="equal">
      <formula>"OVERDUE"</formula>
    </cfRule>
    <cfRule type="cellIs" dxfId="373" priority="26" operator="equal">
      <formula>"DONE"</formula>
    </cfRule>
    <cfRule type="cellIs" dxfId="372" priority="27" operator="equal">
      <formula>"DONE"</formula>
    </cfRule>
  </conditionalFormatting>
  <conditionalFormatting sqref="J11">
    <cfRule type="cellIs" dxfId="371" priority="22" operator="equal">
      <formula>"OVERDUE"</formula>
    </cfRule>
    <cfRule type="cellIs" dxfId="370" priority="23" operator="equal">
      <formula>"DONE"</formula>
    </cfRule>
    <cfRule type="cellIs" dxfId="369" priority="24" operator="equal">
      <formula>"DONE"</formula>
    </cfRule>
  </conditionalFormatting>
  <conditionalFormatting sqref="J12">
    <cfRule type="cellIs" dxfId="368" priority="19" operator="equal">
      <formula>"OVERDUE"</formula>
    </cfRule>
    <cfRule type="cellIs" dxfId="367" priority="20" operator="equal">
      <formula>"DONE"</formula>
    </cfRule>
    <cfRule type="cellIs" dxfId="366" priority="21" operator="equal">
      <formula>"DONE"</formula>
    </cfRule>
  </conditionalFormatting>
  <conditionalFormatting sqref="J13">
    <cfRule type="cellIs" dxfId="365" priority="16" operator="equal">
      <formula>"OVERDUE"</formula>
    </cfRule>
    <cfRule type="cellIs" dxfId="364" priority="17" operator="equal">
      <formula>"DONE"</formula>
    </cfRule>
    <cfRule type="cellIs" dxfId="363" priority="18" operator="equal">
      <formula>"DONE"</formula>
    </cfRule>
  </conditionalFormatting>
  <conditionalFormatting sqref="J14">
    <cfRule type="cellIs" dxfId="362" priority="13" operator="equal">
      <formula>"OVERDUE"</formula>
    </cfRule>
    <cfRule type="cellIs" dxfId="361" priority="14" operator="equal">
      <formula>"DONE"</formula>
    </cfRule>
    <cfRule type="cellIs" dxfId="360" priority="15" operator="equal">
      <formula>"DONE"</formula>
    </cfRule>
  </conditionalFormatting>
  <conditionalFormatting sqref="J15">
    <cfRule type="cellIs" dxfId="359" priority="10" operator="equal">
      <formula>"OVERDUE"</formula>
    </cfRule>
    <cfRule type="cellIs" dxfId="358" priority="11" operator="equal">
      <formula>"DONE"</formula>
    </cfRule>
    <cfRule type="cellIs" dxfId="357" priority="12" operator="equal">
      <formula>"DONE"</formula>
    </cfRule>
  </conditionalFormatting>
  <conditionalFormatting sqref="J16">
    <cfRule type="cellIs" dxfId="356" priority="7" operator="equal">
      <formula>"OVERDUE"</formula>
    </cfRule>
    <cfRule type="cellIs" dxfId="355" priority="8" operator="equal">
      <formula>"DONE"</formula>
    </cfRule>
    <cfRule type="cellIs" dxfId="354" priority="9" operator="equal">
      <formula>"DONE"</formula>
    </cfRule>
  </conditionalFormatting>
  <conditionalFormatting sqref="J17">
    <cfRule type="cellIs" dxfId="353" priority="4" operator="equal">
      <formula>"OVERDUE"</formula>
    </cfRule>
    <cfRule type="cellIs" dxfId="352" priority="5" operator="equal">
      <formula>"DONE"</formula>
    </cfRule>
    <cfRule type="cellIs" dxfId="351" priority="6" operator="equal">
      <formula>"DONE"</formula>
    </cfRule>
  </conditionalFormatting>
  <conditionalFormatting sqref="J18">
    <cfRule type="cellIs" dxfId="350" priority="1" operator="equal">
      <formula>"OVERDUE"</formula>
    </cfRule>
    <cfRule type="cellIs" dxfId="349" priority="2" operator="equal">
      <formula>"DONE"</formula>
    </cfRule>
    <cfRule type="cellIs" dxfId="348" priority="3" operator="equal">
      <formula>"DONE"</formula>
    </cfRule>
  </conditionalFormatting>
  <conditionalFormatting sqref="J2:J3 J19:J1048576">
    <cfRule type="cellIs" dxfId="347" priority="901" operator="equal">
      <formula>"OVERDUE"</formula>
    </cfRule>
    <cfRule type="cellIs" dxfId="346" priority="902" operator="equal">
      <formula>"DONE"</formula>
    </cfRule>
    <cfRule type="cellIs" dxfId="345"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0</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44018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-325</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-311</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-304</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-297</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-292</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-283</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-280</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344" priority="31" operator="equal">
      <formula>"OVERDUE"</formula>
    </cfRule>
    <cfRule type="cellIs" dxfId="343" priority="32" operator="equal">
      <formula>"DONE"</formula>
    </cfRule>
    <cfRule type="cellIs" dxfId="342" priority="33" operator="equal">
      <formula>"DONE"</formula>
    </cfRule>
  </conditionalFormatting>
  <conditionalFormatting sqref="J5">
    <cfRule type="cellIs" dxfId="341" priority="28" operator="equal">
      <formula>"OVERDUE"</formula>
    </cfRule>
    <cfRule type="cellIs" dxfId="340" priority="29" operator="equal">
      <formula>"DONE"</formula>
    </cfRule>
    <cfRule type="cellIs" dxfId="339" priority="30" operator="equal">
      <formula>"DONE"</formula>
    </cfRule>
  </conditionalFormatting>
  <conditionalFormatting sqref="J6">
    <cfRule type="cellIs" dxfId="338" priority="25" operator="equal">
      <formula>"OVERDUE"</formula>
    </cfRule>
    <cfRule type="cellIs" dxfId="337" priority="26" operator="equal">
      <formula>"DONE"</formula>
    </cfRule>
    <cfRule type="cellIs" dxfId="336" priority="27" operator="equal">
      <formula>"DONE"</formula>
    </cfRule>
  </conditionalFormatting>
  <conditionalFormatting sqref="J7">
    <cfRule type="cellIs" dxfId="335" priority="22" operator="equal">
      <formula>"OVERDUE"</formula>
    </cfRule>
    <cfRule type="cellIs" dxfId="334" priority="23" operator="equal">
      <formula>"DONE"</formula>
    </cfRule>
    <cfRule type="cellIs" dxfId="333" priority="24" operator="equal">
      <formula>"DONE"</formula>
    </cfRule>
  </conditionalFormatting>
  <conditionalFormatting sqref="J8">
    <cfRule type="cellIs" dxfId="332" priority="19" operator="equal">
      <formula>"OVERDUE"</formula>
    </cfRule>
    <cfRule type="cellIs" dxfId="331" priority="20" operator="equal">
      <formula>"DONE"</formula>
    </cfRule>
    <cfRule type="cellIs" dxfId="330" priority="21" operator="equal">
      <formula>"DONE"</formula>
    </cfRule>
  </conditionalFormatting>
  <conditionalFormatting sqref="J9">
    <cfRule type="cellIs" dxfId="329" priority="16" operator="equal">
      <formula>"OVERDUE"</formula>
    </cfRule>
    <cfRule type="cellIs" dxfId="328" priority="17" operator="equal">
      <formula>"DONE"</formula>
    </cfRule>
    <cfRule type="cellIs" dxfId="327" priority="18" operator="equal">
      <formula>"DONE"</formula>
    </cfRule>
  </conditionalFormatting>
  <conditionalFormatting sqref="J10">
    <cfRule type="cellIs" dxfId="326" priority="13" operator="equal">
      <formula>"OVERDUE"</formula>
    </cfRule>
    <cfRule type="cellIs" dxfId="325" priority="14" operator="equal">
      <formula>"DONE"</formula>
    </cfRule>
    <cfRule type="cellIs" dxfId="324" priority="15" operator="equal">
      <formula>"DONE"</formula>
    </cfRule>
  </conditionalFormatting>
  <conditionalFormatting sqref="J11">
    <cfRule type="cellIs" dxfId="323" priority="10" operator="equal">
      <formula>"OVERDUE"</formula>
    </cfRule>
    <cfRule type="cellIs" dxfId="322" priority="11" operator="equal">
      <formula>"DONE"</formula>
    </cfRule>
    <cfRule type="cellIs" dxfId="321" priority="12" operator="equal">
      <formula>"DONE"</formula>
    </cfRule>
  </conditionalFormatting>
  <conditionalFormatting sqref="J12">
    <cfRule type="cellIs" dxfId="320" priority="7" operator="equal">
      <formula>"OVERDUE"</formula>
    </cfRule>
    <cfRule type="cellIs" dxfId="319" priority="8" operator="equal">
      <formula>"DONE"</formula>
    </cfRule>
    <cfRule type="cellIs" dxfId="318" priority="9" operator="equal">
      <formula>"DONE"</formula>
    </cfRule>
  </conditionalFormatting>
  <conditionalFormatting sqref="J13">
    <cfRule type="cellIs" dxfId="317" priority="4" operator="equal">
      <formula>"OVERDUE"</formula>
    </cfRule>
    <cfRule type="cellIs" dxfId="316" priority="5" operator="equal">
      <formula>"DONE"</formula>
    </cfRule>
    <cfRule type="cellIs" dxfId="315" priority="6" operator="equal">
      <formula>"DONE"</formula>
    </cfRule>
  </conditionalFormatting>
  <conditionalFormatting sqref="J14">
    <cfRule type="cellIs" dxfId="314" priority="1" operator="equal">
      <formula>"OVERDUE"</formula>
    </cfRule>
    <cfRule type="cellIs" dxfId="313" priority="2" operator="equal">
      <formula>"DONE"</formula>
    </cfRule>
    <cfRule type="cellIs" dxfId="312" priority="3" operator="equal">
      <formula>"DONE"</formula>
    </cfRule>
  </conditionalFormatting>
  <conditionalFormatting sqref="J2:J3 J15:J1048576">
    <cfRule type="cellIs" dxfId="311" priority="34" operator="equal">
      <formula>"OVERDUE"</formula>
    </cfRule>
    <cfRule type="cellIs" dxfId="310" priority="35" operator="equal">
      <formula>"DONE"</formula>
    </cfRule>
    <cfRule type="cellIs" dxfId="309"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0</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44018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-315</v>
      </c>
      <c r="L4" s="13">
        <f t="shared" ref="L4:L13" ca="1" si="2">IF(J4="OVERDUE",1,0)</f>
        <v>0</v>
      </c>
      <c r="M4" s="13">
        <f t="shared" ref="M4:M13" ca="1" si="3">IF(J4="IN TIME",1,0)</f>
        <v>0</v>
      </c>
      <c r="N4" s="13">
        <f t="shared" ref="N4:N13" ca="1" si="4">IF(J4="DONE",1,0)</f>
        <v>1</v>
      </c>
      <c r="O4" s="13">
        <f t="shared" ref="O4:O13" ca="1" si="5">IF(G4&gt;0,G4-$C$2,"")</f>
        <v>-342</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-291</v>
      </c>
      <c r="L5" s="32">
        <f t="shared" ca="1" si="2"/>
        <v>1</v>
      </c>
      <c r="M5" s="32">
        <f t="shared" ca="1" si="3"/>
        <v>0</v>
      </c>
      <c r="N5" s="32">
        <f t="shared" ca="1" si="4"/>
        <v>0</v>
      </c>
      <c r="O5" s="32">
        <f t="shared" ca="1" si="5"/>
        <v>-365</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-311</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-242</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-242</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-242</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-242</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308" priority="34" operator="equal">
      <formula>"OVERDUE"</formula>
    </cfRule>
    <cfRule type="cellIs" dxfId="307" priority="35" operator="equal">
      <formula>"DONE"</formula>
    </cfRule>
    <cfRule type="cellIs" dxfId="306" priority="36" operator="equal">
      <formula>"DONE"</formula>
    </cfRule>
  </conditionalFormatting>
  <conditionalFormatting sqref="J5">
    <cfRule type="cellIs" dxfId="305" priority="31" operator="equal">
      <formula>"OVERDUE"</formula>
    </cfRule>
    <cfRule type="cellIs" dxfId="304" priority="32" operator="equal">
      <formula>"DONE"</formula>
    </cfRule>
    <cfRule type="cellIs" dxfId="303" priority="33" operator="equal">
      <formula>"DONE"</formula>
    </cfRule>
  </conditionalFormatting>
  <conditionalFormatting sqref="J6">
    <cfRule type="cellIs" dxfId="302" priority="28" operator="equal">
      <formula>"OVERDUE"</formula>
    </cfRule>
    <cfRule type="cellIs" dxfId="301" priority="29" operator="equal">
      <formula>"DONE"</formula>
    </cfRule>
    <cfRule type="cellIs" dxfId="300" priority="30" operator="equal">
      <formula>"DONE"</formula>
    </cfRule>
  </conditionalFormatting>
  <conditionalFormatting sqref="J7">
    <cfRule type="cellIs" dxfId="299" priority="25" operator="equal">
      <formula>"OVERDUE"</formula>
    </cfRule>
    <cfRule type="cellIs" dxfId="298" priority="26" operator="equal">
      <formula>"DONE"</formula>
    </cfRule>
    <cfRule type="cellIs" dxfId="297" priority="27" operator="equal">
      <formula>"DONE"</formula>
    </cfRule>
  </conditionalFormatting>
  <conditionalFormatting sqref="J8">
    <cfRule type="cellIs" dxfId="296" priority="22" operator="equal">
      <formula>"OVERDUE"</formula>
    </cfRule>
    <cfRule type="cellIs" dxfId="295" priority="23" operator="equal">
      <formula>"DONE"</formula>
    </cfRule>
    <cfRule type="cellIs" dxfId="294" priority="24" operator="equal">
      <formula>"DONE"</formula>
    </cfRule>
  </conditionalFormatting>
  <conditionalFormatting sqref="J9">
    <cfRule type="cellIs" dxfId="293" priority="19" operator="equal">
      <formula>"OVERDUE"</formula>
    </cfRule>
    <cfRule type="cellIs" dxfId="292" priority="20" operator="equal">
      <formula>"DONE"</formula>
    </cfRule>
    <cfRule type="cellIs" dxfId="291" priority="21" operator="equal">
      <formula>"DONE"</formula>
    </cfRule>
  </conditionalFormatting>
  <conditionalFormatting sqref="J10">
    <cfRule type="cellIs" dxfId="290" priority="16" operator="equal">
      <formula>"OVERDUE"</formula>
    </cfRule>
    <cfRule type="cellIs" dxfId="289" priority="17" operator="equal">
      <formula>"DONE"</formula>
    </cfRule>
    <cfRule type="cellIs" dxfId="288" priority="18" operator="equal">
      <formula>"DONE"</formula>
    </cfRule>
  </conditionalFormatting>
  <conditionalFormatting sqref="J11">
    <cfRule type="cellIs" dxfId="287" priority="13" operator="equal">
      <formula>"OVERDUE"</formula>
    </cfRule>
    <cfRule type="cellIs" dxfId="286" priority="14" operator="equal">
      <formula>"DONE"</formula>
    </cfRule>
    <cfRule type="cellIs" dxfId="285" priority="15" operator="equal">
      <formula>"DONE"</formula>
    </cfRule>
  </conditionalFormatting>
  <conditionalFormatting sqref="J12">
    <cfRule type="cellIs" dxfId="284" priority="10" operator="equal">
      <formula>"OVERDUE"</formula>
    </cfRule>
    <cfRule type="cellIs" dxfId="283" priority="11" operator="equal">
      <formula>"DONE"</formula>
    </cfRule>
    <cfRule type="cellIs" dxfId="282" priority="12" operator="equal">
      <formula>"DONE"</formula>
    </cfRule>
  </conditionalFormatting>
  <conditionalFormatting sqref="J13">
    <cfRule type="cellIs" dxfId="281" priority="7" operator="equal">
      <formula>"OVERDUE"</formula>
    </cfRule>
    <cfRule type="cellIs" dxfId="280" priority="8" operator="equal">
      <formula>"DONE"</formula>
    </cfRule>
    <cfRule type="cellIs" dxfId="279" priority="9" operator="equal">
      <formula>"DONE"</formula>
    </cfRule>
  </conditionalFormatting>
  <conditionalFormatting sqref="J14">
    <cfRule type="cellIs" dxfId="278" priority="4" operator="equal">
      <formula>"OVERDUE"</formula>
    </cfRule>
    <cfRule type="cellIs" dxfId="277" priority="5" operator="equal">
      <formula>"DONE"</formula>
    </cfRule>
    <cfRule type="cellIs" dxfId="276" priority="6" operator="equal">
      <formula>"DONE"</formula>
    </cfRule>
  </conditionalFormatting>
  <conditionalFormatting sqref="J15">
    <cfRule type="cellIs" dxfId="275" priority="1" operator="equal">
      <formula>"OVERDUE"</formula>
    </cfRule>
    <cfRule type="cellIs" dxfId="274" priority="2" operator="equal">
      <formula>"DONE"</formula>
    </cfRule>
    <cfRule type="cellIs" dxfId="273" priority="3" operator="equal">
      <formula>"DONE"</formula>
    </cfRule>
  </conditionalFormatting>
  <conditionalFormatting sqref="J2:J3 J16:J1048576">
    <cfRule type="cellIs" dxfId="272" priority="37" operator="equal">
      <formula>"OVERDUE"</formula>
    </cfRule>
    <cfRule type="cellIs" dxfId="271" priority="38" operator="equal">
      <formula>"DONE"</formula>
    </cfRule>
    <cfRule type="cellIs" dxfId="270"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60"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60" t="s">
        <v>330</v>
      </c>
      <c r="D3" s="161"/>
      <c r="E3" s="159">
        <v>43647</v>
      </c>
      <c r="F3" s="159"/>
    </row>
    <row r="4" spans="1:65" ht="30" customHeight="1" x14ac:dyDescent="0.3">
      <c r="A4" s="59" t="s">
        <v>329</v>
      </c>
      <c r="C4" s="160" t="s">
        <v>328</v>
      </c>
      <c r="D4" s="161"/>
      <c r="E4" s="113">
        <v>25</v>
      </c>
      <c r="J4" s="156">
        <f>J5</f>
        <v>43814</v>
      </c>
      <c r="K4" s="157"/>
      <c r="L4" s="157"/>
      <c r="M4" s="157"/>
      <c r="N4" s="157"/>
      <c r="O4" s="157"/>
      <c r="P4" s="158"/>
      <c r="Q4" s="156">
        <f>Q5</f>
        <v>43821</v>
      </c>
      <c r="R4" s="157"/>
      <c r="S4" s="157"/>
      <c r="T4" s="157"/>
      <c r="U4" s="157"/>
      <c r="V4" s="157"/>
      <c r="W4" s="158"/>
      <c r="X4" s="156">
        <f>X5</f>
        <v>43828</v>
      </c>
      <c r="Y4" s="157"/>
      <c r="Z4" s="157"/>
      <c r="AA4" s="157"/>
      <c r="AB4" s="157"/>
      <c r="AC4" s="157"/>
      <c r="AD4" s="158"/>
      <c r="AE4" s="156">
        <f>AE5</f>
        <v>43835</v>
      </c>
      <c r="AF4" s="157"/>
      <c r="AG4" s="157"/>
      <c r="AH4" s="157"/>
      <c r="AI4" s="157"/>
      <c r="AJ4" s="157"/>
      <c r="AK4" s="158"/>
      <c r="AL4" s="156">
        <f>AL5</f>
        <v>43842</v>
      </c>
      <c r="AM4" s="157"/>
      <c r="AN4" s="157"/>
      <c r="AO4" s="157"/>
      <c r="AP4" s="157"/>
      <c r="AQ4" s="157"/>
      <c r="AR4" s="158"/>
      <c r="AS4" s="156">
        <f>AS5</f>
        <v>43849</v>
      </c>
      <c r="AT4" s="157"/>
      <c r="AU4" s="157"/>
      <c r="AV4" s="157"/>
      <c r="AW4" s="157"/>
      <c r="AX4" s="157"/>
      <c r="AY4" s="158"/>
      <c r="AZ4" s="156">
        <f>AZ5</f>
        <v>43856</v>
      </c>
      <c r="BA4" s="157"/>
      <c r="BB4" s="157"/>
      <c r="BC4" s="157"/>
      <c r="BD4" s="157"/>
      <c r="BE4" s="157"/>
      <c r="BF4" s="158"/>
      <c r="BG4" s="156">
        <f>BG5</f>
        <v>43863</v>
      </c>
      <c r="BH4" s="157"/>
      <c r="BI4" s="157"/>
      <c r="BJ4" s="157"/>
      <c r="BK4" s="157"/>
      <c r="BL4" s="157"/>
      <c r="BM4" s="158"/>
    </row>
    <row r="5" spans="1:65" ht="15" customHeight="1" x14ac:dyDescent="0.3">
      <c r="A5" s="59" t="s">
        <v>327</v>
      </c>
      <c r="B5" s="162"/>
      <c r="C5" s="162"/>
      <c r="D5" s="162"/>
      <c r="E5" s="162"/>
      <c r="F5" s="162"/>
      <c r="G5" s="162"/>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269" priority="4">
      <formula>AND(TODAY()&gt;=J$5,TODAY()&lt;K$5)</formula>
    </cfRule>
  </conditionalFormatting>
  <conditionalFormatting sqref="J7:BM187">
    <cfRule type="expression" dxfId="268" priority="2">
      <formula>AND(task_start&lt;=J$5,ROUNDDOWN((task_end-task_start+1)*task_progress,0)+task_start-1&gt;=J$5)</formula>
    </cfRule>
    <cfRule type="expression" dxfId="267"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31"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440</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60" t="s">
        <v>330</v>
      </c>
      <c r="D3" s="161"/>
      <c r="E3" s="159">
        <v>43922</v>
      </c>
      <c r="F3" s="159"/>
    </row>
    <row r="4" spans="1:65" ht="30" customHeight="1" x14ac:dyDescent="0.3">
      <c r="A4" s="59" t="s">
        <v>329</v>
      </c>
      <c r="C4" s="160" t="s">
        <v>328</v>
      </c>
      <c r="D4" s="161"/>
      <c r="E4" s="113">
        <v>1</v>
      </c>
      <c r="J4" s="156">
        <f>J5</f>
        <v>43919</v>
      </c>
      <c r="K4" s="157"/>
      <c r="L4" s="157"/>
      <c r="M4" s="157"/>
      <c r="N4" s="157"/>
      <c r="O4" s="157"/>
      <c r="P4" s="158"/>
      <c r="Q4" s="156">
        <f>Q5</f>
        <v>43926</v>
      </c>
      <c r="R4" s="157"/>
      <c r="S4" s="157"/>
      <c r="T4" s="157"/>
      <c r="U4" s="157"/>
      <c r="V4" s="157"/>
      <c r="W4" s="158"/>
      <c r="X4" s="156">
        <f>X5</f>
        <v>43933</v>
      </c>
      <c r="Y4" s="157"/>
      <c r="Z4" s="157"/>
      <c r="AA4" s="157"/>
      <c r="AB4" s="157"/>
      <c r="AC4" s="157"/>
      <c r="AD4" s="158"/>
      <c r="AE4" s="156">
        <f>AE5</f>
        <v>43940</v>
      </c>
      <c r="AF4" s="157"/>
      <c r="AG4" s="157"/>
      <c r="AH4" s="157"/>
      <c r="AI4" s="157"/>
      <c r="AJ4" s="157"/>
      <c r="AK4" s="158"/>
      <c r="AL4" s="156">
        <f>AL5</f>
        <v>43947</v>
      </c>
      <c r="AM4" s="157"/>
      <c r="AN4" s="157"/>
      <c r="AO4" s="157"/>
      <c r="AP4" s="157"/>
      <c r="AQ4" s="157"/>
      <c r="AR4" s="158"/>
      <c r="AS4" s="156">
        <f>AS5</f>
        <v>43954</v>
      </c>
      <c r="AT4" s="157"/>
      <c r="AU4" s="157"/>
      <c r="AV4" s="157"/>
      <c r="AW4" s="157"/>
      <c r="AX4" s="157"/>
      <c r="AY4" s="158"/>
      <c r="AZ4" s="156">
        <f>AZ5</f>
        <v>43961</v>
      </c>
      <c r="BA4" s="157"/>
      <c r="BB4" s="157"/>
      <c r="BC4" s="157"/>
      <c r="BD4" s="157"/>
      <c r="BE4" s="157"/>
      <c r="BF4" s="158"/>
      <c r="BG4" s="156">
        <f>BG5</f>
        <v>43968</v>
      </c>
      <c r="BH4" s="157"/>
      <c r="BI4" s="157"/>
      <c r="BJ4" s="157"/>
      <c r="BK4" s="157"/>
      <c r="BL4" s="157"/>
      <c r="BM4" s="158"/>
    </row>
    <row r="5" spans="1:65" ht="15" customHeight="1" x14ac:dyDescent="0.3">
      <c r="A5" s="59" t="s">
        <v>327</v>
      </c>
      <c r="B5" s="162"/>
      <c r="C5" s="162"/>
      <c r="D5" s="162"/>
      <c r="E5" s="162"/>
      <c r="F5" s="162"/>
      <c r="G5" s="162"/>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416</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411</v>
      </c>
      <c r="C9" s="98" t="s">
        <v>409</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412</v>
      </c>
      <c r="C10" s="98" t="s">
        <v>410</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413</v>
      </c>
      <c r="C11" s="98" t="s">
        <v>410</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414</v>
      </c>
      <c r="C12" s="98" t="s">
        <v>410</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415</v>
      </c>
      <c r="C13" s="98" t="s">
        <v>410</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417</v>
      </c>
      <c r="C14" s="98" t="s">
        <v>410</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418</v>
      </c>
      <c r="C15" s="98" t="s">
        <v>410</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419</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420</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421</v>
      </c>
      <c r="C36" s="87" t="s">
        <v>422</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424</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423</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426</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425</v>
      </c>
      <c r="C40" s="87" t="s">
        <v>427</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428</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429</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431</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430</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432</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433</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434</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435</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436</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437</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438</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439</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467</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441</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442</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443</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444</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445</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446</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447</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448</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449</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450</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451</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452</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453</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266" priority="4">
      <formula>AND(TODAY()&gt;=J$5,TODAY()&lt;K$5)</formula>
    </cfRule>
  </conditionalFormatting>
  <conditionalFormatting sqref="J7:BM187">
    <cfRule type="expression" dxfId="265" priority="2">
      <formula>AND(task_start&lt;=J$5,ROUNDDOWN((task_end-task_start+1)*task_progress,0)+task_start-1&gt;=J$5)</formula>
    </cfRule>
    <cfRule type="expression" dxfId="264"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4"/>
  <sheetViews>
    <sheetView topLeftCell="C1" workbookViewId="0">
      <pane ySplit="3" topLeftCell="A13" activePane="bottomLeft" state="frozen"/>
      <selection pane="bottomLeft" activeCell="P31" sqref="P31"/>
    </sheetView>
  </sheetViews>
  <sheetFormatPr defaultColWidth="9" defaultRowHeight="14.25" x14ac:dyDescent="0.15"/>
  <cols>
    <col min="1" max="1" width="8.25" style="1" customWidth="1"/>
    <col min="2" max="2" width="27.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358</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44018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3"/>
      <c r="R3" s="164"/>
      <c r="S3" s="164"/>
      <c r="T3" s="164"/>
      <c r="U3" s="164"/>
      <c r="V3" s="164"/>
      <c r="W3" s="164"/>
      <c r="X3" s="164"/>
      <c r="Y3" s="164"/>
      <c r="Z3" s="164"/>
      <c r="AA3" s="164"/>
      <c r="AB3" s="164"/>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-168</v>
      </c>
      <c r="P4" s="20" t="s">
        <v>86</v>
      </c>
      <c r="Q4" s="163"/>
      <c r="R4" s="164"/>
      <c r="S4" s="164"/>
      <c r="T4" s="164"/>
      <c r="U4" s="164"/>
      <c r="V4" s="164"/>
      <c r="W4" s="164"/>
      <c r="X4" s="164"/>
      <c r="Y4" s="164"/>
      <c r="Z4" s="164"/>
      <c r="AA4" s="164"/>
      <c r="AB4" s="164"/>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-128</v>
      </c>
      <c r="P5" s="20" t="s">
        <v>365</v>
      </c>
      <c r="Q5" s="163"/>
      <c r="R5" s="164"/>
      <c r="S5" s="164"/>
      <c r="T5" s="164"/>
      <c r="U5" s="164"/>
      <c r="V5" s="164"/>
      <c r="W5" s="164"/>
      <c r="X5" s="164"/>
      <c r="Y5" s="164"/>
      <c r="Z5" s="164"/>
      <c r="AA5" s="164"/>
      <c r="AB5" s="164"/>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-178</v>
      </c>
      <c r="P6" s="20" t="s">
        <v>91</v>
      </c>
      <c r="Q6" s="163"/>
      <c r="R6" s="164"/>
      <c r="S6" s="164"/>
      <c r="T6" s="164"/>
      <c r="U6" s="164"/>
      <c r="V6" s="164"/>
      <c r="W6" s="164"/>
      <c r="X6" s="164"/>
      <c r="Y6" s="164"/>
      <c r="Z6" s="164"/>
      <c r="AA6" s="164"/>
      <c r="AB6" s="164"/>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-178</v>
      </c>
      <c r="P7" s="20" t="s">
        <v>94</v>
      </c>
      <c r="Q7" s="163"/>
      <c r="R7" s="164"/>
      <c r="S7" s="164"/>
      <c r="T7" s="164"/>
      <c r="U7" s="164"/>
      <c r="V7" s="164"/>
      <c r="W7" s="164"/>
      <c r="X7" s="164"/>
      <c r="Y7" s="164"/>
      <c r="Z7" s="164"/>
      <c r="AA7" s="164"/>
      <c r="AB7" s="164"/>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-168</v>
      </c>
      <c r="P8" s="20" t="s">
        <v>98</v>
      </c>
      <c r="Q8" s="163"/>
      <c r="R8" s="164"/>
      <c r="S8" s="164"/>
      <c r="T8" s="164"/>
      <c r="U8" s="164"/>
      <c r="V8" s="164"/>
      <c r="W8" s="164"/>
      <c r="X8" s="164"/>
      <c r="Y8" s="164"/>
      <c r="Z8" s="164"/>
      <c r="AA8" s="164"/>
      <c r="AB8" s="164"/>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-128</v>
      </c>
      <c r="P9" s="20" t="s">
        <v>102</v>
      </c>
      <c r="Q9" s="163"/>
      <c r="R9" s="164"/>
      <c r="S9" s="164"/>
      <c r="T9" s="164"/>
      <c r="U9" s="164"/>
      <c r="V9" s="164"/>
      <c r="W9" s="164"/>
      <c r="X9" s="164"/>
      <c r="Y9" s="164"/>
      <c r="Z9" s="164"/>
      <c r="AA9" s="164"/>
      <c r="AB9" s="164"/>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-128</v>
      </c>
      <c r="P10" s="20" t="s">
        <v>104</v>
      </c>
      <c r="Q10" s="163"/>
      <c r="R10" s="164"/>
      <c r="S10" s="164"/>
      <c r="T10" s="164"/>
      <c r="U10" s="164"/>
      <c r="V10" s="164"/>
      <c r="W10" s="164"/>
      <c r="X10" s="164"/>
      <c r="Y10" s="164"/>
      <c r="Z10" s="164"/>
      <c r="AA10" s="164"/>
      <c r="AB10" s="164"/>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-128</v>
      </c>
      <c r="P11" s="20" t="s">
        <v>106</v>
      </c>
      <c r="Q11" s="163"/>
      <c r="R11" s="164"/>
      <c r="S11" s="164"/>
      <c r="T11" s="164"/>
      <c r="U11" s="164"/>
      <c r="V11" s="164"/>
      <c r="W11" s="164"/>
      <c r="X11" s="164"/>
      <c r="Y11" s="164"/>
      <c r="Z11" s="164"/>
      <c r="AA11" s="164"/>
      <c r="AB11" s="164"/>
      <c r="AC11" s="27"/>
      <c r="AD11" s="27"/>
    </row>
    <row r="12" spans="1:246" ht="39" customHeight="1" x14ac:dyDescent="0.15">
      <c r="A12" s="15">
        <v>248</v>
      </c>
      <c r="B12" s="11" t="s">
        <v>107</v>
      </c>
      <c r="C12" s="12" t="s">
        <v>393</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-128</v>
      </c>
      <c r="P12" s="20" t="s">
        <v>394</v>
      </c>
      <c r="Q12" s="163"/>
      <c r="R12" s="164"/>
      <c r="S12" s="164"/>
      <c r="T12" s="164"/>
      <c r="U12" s="164"/>
      <c r="V12" s="164"/>
      <c r="W12" s="164"/>
      <c r="X12" s="164"/>
      <c r="Y12" s="164"/>
      <c r="Z12" s="164"/>
      <c r="AA12" s="164"/>
      <c r="AB12" s="164"/>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3"/>
      <c r="R13" s="164"/>
      <c r="S13" s="164"/>
      <c r="T13" s="164"/>
      <c r="U13" s="164"/>
      <c r="V13" s="164"/>
      <c r="W13" s="164"/>
      <c r="X13" s="164"/>
      <c r="Y13" s="164"/>
      <c r="Z13" s="164"/>
      <c r="AA13" s="164"/>
      <c r="AB13" s="164"/>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-136</v>
      </c>
      <c r="P14" s="20" t="s">
        <v>111</v>
      </c>
      <c r="Q14" s="163"/>
      <c r="R14" s="164"/>
      <c r="S14" s="164"/>
      <c r="T14" s="164"/>
      <c r="U14" s="164"/>
      <c r="V14" s="164"/>
      <c r="W14" s="164"/>
      <c r="X14" s="164"/>
      <c r="Y14" s="164"/>
      <c r="Z14" s="164"/>
      <c r="AA14" s="164"/>
      <c r="AB14" s="164"/>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-128</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-119</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-87</v>
      </c>
      <c r="P17" s="20" t="s">
        <v>395</v>
      </c>
      <c r="Q17" s="25"/>
      <c r="R17" s="26"/>
      <c r="S17" s="26"/>
      <c r="T17" s="26"/>
      <c r="U17" s="26"/>
      <c r="V17" s="26"/>
      <c r="W17" s="26"/>
      <c r="X17" s="26"/>
      <c r="Y17" s="26"/>
      <c r="Z17" s="26"/>
      <c r="AA17" s="26"/>
      <c r="AB17" s="26"/>
      <c r="AC17" s="27"/>
      <c r="AD17" s="27"/>
    </row>
    <row r="18" spans="1:30" ht="24.6" customHeight="1" x14ac:dyDescent="0.15">
      <c r="A18" s="15"/>
      <c r="B18" s="11" t="s">
        <v>372</v>
      </c>
      <c r="C18" s="16" t="s">
        <v>392</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-87</v>
      </c>
      <c r="P18" s="20" t="s">
        <v>397</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-87</v>
      </c>
      <c r="P19" s="20" t="s">
        <v>396</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-87</v>
      </c>
      <c r="P20" s="20" t="s">
        <v>389</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-87</v>
      </c>
      <c r="P21" s="20" t="s">
        <v>390</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488</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-87</v>
      </c>
      <c r="P22" s="20" t="s">
        <v>391</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-87</v>
      </c>
      <c r="P23" s="20" t="s">
        <v>497</v>
      </c>
      <c r="Q23" s="25"/>
      <c r="R23" s="26"/>
      <c r="S23" s="26"/>
      <c r="T23" s="26"/>
      <c r="U23" s="26"/>
      <c r="V23" s="26"/>
      <c r="W23" s="26"/>
      <c r="X23" s="26"/>
      <c r="Y23" s="26"/>
      <c r="Z23" s="26"/>
      <c r="AA23" s="26"/>
      <c r="AB23" s="26"/>
      <c r="AC23" s="27"/>
      <c r="AD23" s="27"/>
    </row>
    <row r="24" spans="1:30" ht="24" customHeight="1" x14ac:dyDescent="0.15">
      <c r="A24" s="15">
        <v>260</v>
      </c>
      <c r="B24" s="13"/>
      <c r="C24" s="12" t="s">
        <v>406</v>
      </c>
      <c r="D24" s="13" t="s">
        <v>24</v>
      </c>
      <c r="E24" s="13" t="s">
        <v>387</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-67</v>
      </c>
      <c r="P24" s="20" t="s">
        <v>496</v>
      </c>
      <c r="Q24" s="25"/>
      <c r="R24" s="26"/>
      <c r="S24" s="26"/>
      <c r="T24" s="26"/>
      <c r="U24" s="26"/>
      <c r="V24" s="26"/>
      <c r="W24" s="26"/>
      <c r="X24" s="26"/>
      <c r="Y24" s="26"/>
      <c r="Z24" s="26"/>
      <c r="AA24" s="26"/>
      <c r="AB24" s="26"/>
      <c r="AC24" s="27"/>
      <c r="AD24" s="27"/>
    </row>
    <row r="25" spans="1:30" ht="24.6" customHeight="1" x14ac:dyDescent="0.15">
      <c r="A25" s="15">
        <v>261</v>
      </c>
      <c r="B25" s="13"/>
      <c r="C25" s="16" t="s">
        <v>407</v>
      </c>
      <c r="D25" s="13" t="s">
        <v>24</v>
      </c>
      <c r="E25" s="13" t="s">
        <v>360</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-66</v>
      </c>
      <c r="P25" s="20" t="s">
        <v>500</v>
      </c>
      <c r="Q25" s="25"/>
      <c r="R25" s="26"/>
      <c r="S25" s="26"/>
      <c r="T25" s="26"/>
      <c r="U25" s="26"/>
      <c r="V25" s="26"/>
      <c r="W25" s="26"/>
      <c r="X25" s="26"/>
      <c r="Y25" s="26"/>
      <c r="Z25" s="26"/>
      <c r="AA25" s="26"/>
      <c r="AB25" s="26"/>
      <c r="AC25" s="27"/>
      <c r="AD25" s="27"/>
    </row>
    <row r="26" spans="1:30" ht="24.6" customHeight="1" x14ac:dyDescent="0.15">
      <c r="A26" s="15">
        <v>262</v>
      </c>
      <c r="B26" s="13"/>
      <c r="C26" s="12" t="s">
        <v>408</v>
      </c>
      <c r="D26" s="13" t="s">
        <v>24</v>
      </c>
      <c r="E26" s="13" t="s">
        <v>360</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-65</v>
      </c>
      <c r="P26" s="20" t="s">
        <v>495</v>
      </c>
      <c r="Q26" s="25"/>
      <c r="R26" s="26"/>
      <c r="S26" s="26"/>
      <c r="T26" s="26"/>
      <c r="U26" s="26"/>
      <c r="V26" s="26"/>
      <c r="W26" s="26"/>
      <c r="X26" s="26"/>
      <c r="Y26" s="26"/>
      <c r="Z26" s="26"/>
      <c r="AA26" s="26"/>
      <c r="AB26" s="26"/>
      <c r="AC26" s="27"/>
      <c r="AD26" s="27"/>
    </row>
    <row r="27" spans="1:30" ht="24.6" customHeight="1" x14ac:dyDescent="0.15">
      <c r="A27" s="15" t="s">
        <v>493</v>
      </c>
      <c r="B27" s="11" t="s">
        <v>492</v>
      </c>
      <c r="C27" s="148" t="s">
        <v>491</v>
      </c>
      <c r="D27" s="13" t="s">
        <v>24</v>
      </c>
      <c r="E27" s="13" t="s">
        <v>481</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-73</v>
      </c>
      <c r="P27" s="20" t="s">
        <v>504</v>
      </c>
      <c r="Q27" s="25"/>
      <c r="R27" s="26"/>
      <c r="S27" s="26"/>
      <c r="T27" s="26"/>
      <c r="U27" s="26"/>
      <c r="V27" s="26"/>
      <c r="W27" s="26"/>
      <c r="X27" s="26"/>
      <c r="Y27" s="26"/>
      <c r="Z27" s="26"/>
      <c r="AA27" s="26"/>
      <c r="AB27" s="26"/>
      <c r="AC27" s="27"/>
      <c r="AD27" s="27"/>
    </row>
    <row r="28" spans="1:30" ht="24.6" customHeight="1" x14ac:dyDescent="0.15">
      <c r="A28" s="15">
        <v>264</v>
      </c>
      <c r="B28" s="11" t="s">
        <v>482</v>
      </c>
      <c r="C28" s="16" t="s">
        <v>483</v>
      </c>
      <c r="D28" s="13" t="s">
        <v>24</v>
      </c>
      <c r="E28" s="13" t="s">
        <v>481</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-73</v>
      </c>
      <c r="P28" s="20" t="s">
        <v>503</v>
      </c>
      <c r="Q28" s="25"/>
      <c r="R28" s="26"/>
      <c r="S28" s="26"/>
      <c r="T28" s="26"/>
      <c r="U28" s="26"/>
      <c r="V28" s="26"/>
      <c r="W28" s="26"/>
      <c r="X28" s="26"/>
      <c r="Y28" s="26"/>
      <c r="Z28" s="26"/>
      <c r="AA28" s="26"/>
      <c r="AB28" s="26"/>
      <c r="AC28" s="27"/>
      <c r="AD28" s="27"/>
    </row>
    <row r="29" spans="1:30" ht="24.6" customHeight="1" x14ac:dyDescent="0.15">
      <c r="A29" s="15">
        <v>265</v>
      </c>
      <c r="B29" s="11" t="s">
        <v>484</v>
      </c>
      <c r="C29" s="16" t="s">
        <v>485</v>
      </c>
      <c r="D29" s="13" t="s">
        <v>24</v>
      </c>
      <c r="E29" s="13" t="s">
        <v>481</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-62</v>
      </c>
      <c r="P29" s="20" t="s">
        <v>503</v>
      </c>
      <c r="Q29" s="25"/>
      <c r="R29" s="26"/>
      <c r="S29" s="26"/>
      <c r="T29" s="26"/>
      <c r="U29" s="26"/>
      <c r="V29" s="26"/>
      <c r="W29" s="26"/>
      <c r="X29" s="26"/>
      <c r="Y29" s="26"/>
      <c r="Z29" s="26"/>
      <c r="AA29" s="26"/>
      <c r="AB29" s="26"/>
      <c r="AC29" s="27"/>
      <c r="AD29" s="27"/>
    </row>
    <row r="30" spans="1:30" ht="47.25" customHeight="1" x14ac:dyDescent="0.15">
      <c r="A30" s="15">
        <v>266</v>
      </c>
      <c r="B30" s="11" t="s">
        <v>486</v>
      </c>
      <c r="C30" s="16" t="s">
        <v>487</v>
      </c>
      <c r="D30" s="13" t="s">
        <v>24</v>
      </c>
      <c r="E30" s="13" t="s">
        <v>481</v>
      </c>
      <c r="F30" s="14">
        <v>43957</v>
      </c>
      <c r="G30" s="14">
        <v>43971</v>
      </c>
      <c r="H30" s="14"/>
      <c r="I30" s="14"/>
      <c r="J30" s="13" t="str">
        <f t="shared" ref="J30" ca="1" si="138">IF(AND(I30&lt;=$C$2,I30&lt;&gt;0),"DONE",IF(K30&lt;0,"OVERDUE",IF(AND(K30="",O30&lt;0),"OVERDUE","IN TIME")))</f>
        <v>OVERDUE</v>
      </c>
      <c r="K30" s="13" t="str">
        <f t="shared" ref="K30" si="139">IF(H30&gt;0,H30-$C$2,"")</f>
        <v/>
      </c>
      <c r="L30" s="13">
        <f t="shared" ref="L30" ca="1" si="140">IF(J30="OVERDUE",1,0)</f>
        <v>1</v>
      </c>
      <c r="M30" s="13">
        <f t="shared" ref="M30" ca="1" si="141">IF(J30="IN TIME",1,0)</f>
        <v>0</v>
      </c>
      <c r="N30" s="13">
        <f t="shared" ref="N30" ca="1" si="142">IF(J30="DONE",1,0)</f>
        <v>0</v>
      </c>
      <c r="O30" s="13">
        <f t="shared" ref="O30" ca="1" si="143">IF(G30&gt;0,G30-$C$2,"")</f>
        <v>-47</v>
      </c>
      <c r="P30" s="20" t="s">
        <v>518</v>
      </c>
      <c r="Q30" s="25"/>
      <c r="R30" s="26"/>
      <c r="S30" s="26"/>
      <c r="T30" s="26"/>
      <c r="U30" s="26"/>
      <c r="V30" s="26"/>
      <c r="W30" s="26"/>
      <c r="X30" s="26"/>
      <c r="Y30" s="26"/>
      <c r="Z30" s="26"/>
      <c r="AA30" s="26"/>
      <c r="AB30" s="26"/>
      <c r="AC30" s="27"/>
      <c r="AD30" s="27"/>
    </row>
    <row r="31" spans="1:30" ht="43.5" customHeight="1" x14ac:dyDescent="0.15">
      <c r="A31" s="15">
        <v>266</v>
      </c>
      <c r="B31" s="11" t="s">
        <v>489</v>
      </c>
      <c r="C31" s="16" t="s">
        <v>490</v>
      </c>
      <c r="D31" s="13" t="s">
        <v>24</v>
      </c>
      <c r="E31" s="13" t="s">
        <v>481</v>
      </c>
      <c r="F31" s="14">
        <v>43972</v>
      </c>
      <c r="G31" s="14">
        <v>43973</v>
      </c>
      <c r="H31" s="14"/>
      <c r="I31" s="14"/>
      <c r="J31" s="13" t="str">
        <f t="shared" ref="J31" ca="1" si="144">IF(AND(I31&lt;=$C$2,I31&lt;&gt;0),"DONE",IF(K31&lt;0,"OVERDUE",IF(AND(K31="",O31&lt;0),"OVERDUE","IN TIME")))</f>
        <v>OVERDUE</v>
      </c>
      <c r="K31" s="13" t="str">
        <f t="shared" ref="K31" si="145">IF(H31&gt;0,H31-$C$2,"")</f>
        <v/>
      </c>
      <c r="L31" s="13">
        <f t="shared" ref="L31" ca="1" si="146">IF(J31="OVERDUE",1,0)</f>
        <v>1</v>
      </c>
      <c r="M31" s="13">
        <f t="shared" ref="M31" ca="1" si="147">IF(J31="IN TIME",1,0)</f>
        <v>0</v>
      </c>
      <c r="N31" s="13">
        <f t="shared" ref="N31" ca="1" si="148">IF(J31="DONE",1,0)</f>
        <v>0</v>
      </c>
      <c r="O31" s="13">
        <f t="shared" ref="O31" ca="1" si="149">IF(G31&gt;0,G31-$C$2,"")</f>
        <v>-45</v>
      </c>
      <c r="P31" s="20" t="s">
        <v>517</v>
      </c>
      <c r="Q31" s="146"/>
      <c r="R31" s="147"/>
      <c r="S31" s="147"/>
      <c r="T31" s="147"/>
      <c r="U31" s="147"/>
      <c r="V31" s="147"/>
      <c r="W31" s="147"/>
      <c r="X31" s="147"/>
      <c r="Y31" s="147"/>
      <c r="Z31" s="147"/>
      <c r="AA31" s="147"/>
      <c r="AB31" s="147"/>
      <c r="AC31" s="27"/>
      <c r="AD31" s="27"/>
    </row>
    <row r="32" spans="1:30" ht="45" customHeight="1" x14ac:dyDescent="0.15">
      <c r="A32" s="15">
        <v>267</v>
      </c>
      <c r="B32" s="11"/>
      <c r="C32" s="16" t="s">
        <v>502</v>
      </c>
      <c r="D32" s="13"/>
      <c r="E32" s="13" t="s">
        <v>481</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515</v>
      </c>
      <c r="Q32" s="149"/>
      <c r="R32" s="150"/>
      <c r="S32" s="150"/>
      <c r="T32" s="150"/>
      <c r="U32" s="150"/>
      <c r="V32" s="150"/>
      <c r="W32" s="150"/>
      <c r="X32" s="150"/>
      <c r="Y32" s="150"/>
      <c r="Z32" s="150"/>
      <c r="AA32" s="150"/>
      <c r="AB32" s="150"/>
      <c r="AC32" s="27"/>
      <c r="AD32" s="27"/>
    </row>
    <row r="33" spans="1:30" ht="24.6" customHeight="1" x14ac:dyDescent="0.15">
      <c r="A33" s="15">
        <v>268</v>
      </c>
      <c r="B33" s="11"/>
      <c r="C33" s="16"/>
      <c r="D33" s="13"/>
      <c r="E33" s="13"/>
      <c r="F33" s="14"/>
      <c r="G33" s="14"/>
      <c r="H33" s="14"/>
      <c r="I33" s="14"/>
      <c r="J33" s="13" t="str">
        <f t="shared" ref="J33" ca="1" si="156">IF(AND(I33&lt;=$C$2,I33&lt;&gt;0),"DONE",IF(K33&lt;0,"OVERDUE",IF(AND(K33="",O33&lt;0),"OVERDUE","IN TIME")))</f>
        <v>IN TIME</v>
      </c>
      <c r="K33" s="13" t="str">
        <f t="shared" ref="K33" si="157">IF(H33&gt;0,H33-$C$2,"")</f>
        <v/>
      </c>
      <c r="L33" s="13">
        <f t="shared" ref="L33" ca="1" si="158">IF(J33="OVERDUE",1,0)</f>
        <v>0</v>
      </c>
      <c r="M33" s="13">
        <f t="shared" ref="M33" ca="1" si="159">IF(J33="IN TIME",1,0)</f>
        <v>1</v>
      </c>
      <c r="N33" s="13">
        <f t="shared" ref="N33" ca="1" si="160">IF(J33="DONE",1,0)</f>
        <v>0</v>
      </c>
      <c r="O33" s="13" t="str">
        <f t="shared" ref="O33" si="161">IF(G33&gt;0,G33-$C$2,"")</f>
        <v/>
      </c>
      <c r="P33" s="20" t="s">
        <v>494</v>
      </c>
      <c r="Q33" s="149"/>
      <c r="R33" s="150"/>
      <c r="S33" s="150"/>
      <c r="T33" s="150"/>
      <c r="U33" s="150"/>
      <c r="V33" s="150"/>
      <c r="W33" s="150"/>
      <c r="X33" s="150"/>
      <c r="Y33" s="150"/>
      <c r="Z33" s="150"/>
      <c r="AA33" s="150"/>
      <c r="AB33" s="150"/>
      <c r="AC33" s="27"/>
      <c r="AD33" s="27"/>
    </row>
    <row r="34" spans="1:30" ht="24.6" customHeight="1" x14ac:dyDescent="0.15">
      <c r="A34" s="15">
        <v>269</v>
      </c>
      <c r="B34" s="11"/>
      <c r="C34" s="16"/>
      <c r="D34" s="13"/>
      <c r="E34" s="13"/>
      <c r="F34" s="14"/>
      <c r="G34" s="14"/>
      <c r="H34" s="14"/>
      <c r="I34" s="14"/>
      <c r="J34" s="13" t="str">
        <f t="shared" ref="J34" ca="1" si="162">IF(AND(I34&lt;=$C$2,I34&lt;&gt;0),"DONE",IF(K34&lt;0,"OVERDUE",IF(AND(K34="",O34&lt;0),"OVERDUE","IN TIME")))</f>
        <v>IN TIME</v>
      </c>
      <c r="K34" s="13" t="str">
        <f t="shared" ref="K34" si="163">IF(H34&gt;0,H34-$C$2,"")</f>
        <v/>
      </c>
      <c r="L34" s="13">
        <f t="shared" ref="L34" ca="1" si="164">IF(J34="OVERDUE",1,0)</f>
        <v>0</v>
      </c>
      <c r="M34" s="13">
        <f t="shared" ref="M34" ca="1" si="165">IF(J34="IN TIME",1,0)</f>
        <v>1</v>
      </c>
      <c r="N34" s="13">
        <f t="shared" ref="N34" ca="1" si="166">IF(J34="DONE",1,0)</f>
        <v>0</v>
      </c>
      <c r="O34" s="13" t="str">
        <f t="shared" ref="O34" si="167">IF(G34&gt;0,G34-$C$2,"")</f>
        <v/>
      </c>
      <c r="P34" s="20" t="s">
        <v>494</v>
      </c>
      <c r="Q34" s="149"/>
      <c r="R34" s="150"/>
      <c r="S34" s="150"/>
      <c r="T34" s="150"/>
      <c r="U34" s="150"/>
      <c r="V34" s="150"/>
      <c r="W34" s="150"/>
      <c r="X34" s="150"/>
      <c r="Y34" s="150"/>
      <c r="Z34" s="150"/>
      <c r="AA34" s="150"/>
      <c r="AB34" s="150"/>
      <c r="AC34" s="27"/>
      <c r="AD34" s="27"/>
    </row>
  </sheetData>
  <autoFilter ref="A3:P30"/>
  <mergeCells count="3">
    <mergeCell ref="A1:P1"/>
    <mergeCell ref="A2:B2"/>
    <mergeCell ref="Q3:AB14"/>
  </mergeCells>
  <phoneticPr fontId="34" type="noConversion"/>
  <conditionalFormatting sqref="J4">
    <cfRule type="cellIs" dxfId="263" priority="91" operator="equal">
      <formula>"OVERDUE"</formula>
    </cfRule>
    <cfRule type="cellIs" dxfId="262" priority="92" operator="equal">
      <formula>"DONE"</formula>
    </cfRule>
    <cfRule type="cellIs" dxfId="261" priority="93" operator="equal">
      <formula>"DONE"</formula>
    </cfRule>
  </conditionalFormatting>
  <conditionalFormatting sqref="J5">
    <cfRule type="cellIs" dxfId="260" priority="88" operator="equal">
      <formula>"OVERDUE"</formula>
    </cfRule>
    <cfRule type="cellIs" dxfId="259" priority="89" operator="equal">
      <formula>"DONE"</formula>
    </cfRule>
    <cfRule type="cellIs" dxfId="258" priority="90" operator="equal">
      <formula>"DONE"</formula>
    </cfRule>
  </conditionalFormatting>
  <conditionalFormatting sqref="J6">
    <cfRule type="cellIs" dxfId="257" priority="85" operator="equal">
      <formula>"OVERDUE"</formula>
    </cfRule>
    <cfRule type="cellIs" dxfId="256" priority="86" operator="equal">
      <formula>"DONE"</formula>
    </cfRule>
    <cfRule type="cellIs" dxfId="255" priority="87" operator="equal">
      <formula>"DONE"</formula>
    </cfRule>
  </conditionalFormatting>
  <conditionalFormatting sqref="J7">
    <cfRule type="cellIs" dxfId="254" priority="82" operator="equal">
      <formula>"OVERDUE"</formula>
    </cfRule>
    <cfRule type="cellIs" dxfId="253" priority="83" operator="equal">
      <formula>"DONE"</formula>
    </cfRule>
    <cfRule type="cellIs" dxfId="252" priority="84" operator="equal">
      <formula>"DONE"</formula>
    </cfRule>
  </conditionalFormatting>
  <conditionalFormatting sqref="J8">
    <cfRule type="cellIs" dxfId="251" priority="79" operator="equal">
      <formula>"OVERDUE"</formula>
    </cfRule>
    <cfRule type="cellIs" dxfId="250" priority="80" operator="equal">
      <formula>"DONE"</formula>
    </cfRule>
    <cfRule type="cellIs" dxfId="249" priority="81" operator="equal">
      <formula>"DONE"</formula>
    </cfRule>
  </conditionalFormatting>
  <conditionalFormatting sqref="J9">
    <cfRule type="cellIs" dxfId="248" priority="76" operator="equal">
      <formula>"OVERDUE"</formula>
    </cfRule>
    <cfRule type="cellIs" dxfId="247" priority="77" operator="equal">
      <formula>"DONE"</formula>
    </cfRule>
    <cfRule type="cellIs" dxfId="246" priority="78" operator="equal">
      <formula>"DONE"</formula>
    </cfRule>
  </conditionalFormatting>
  <conditionalFormatting sqref="J10">
    <cfRule type="cellIs" dxfId="245" priority="73" operator="equal">
      <formula>"OVERDUE"</formula>
    </cfRule>
    <cfRule type="cellIs" dxfId="244" priority="74" operator="equal">
      <formula>"DONE"</formula>
    </cfRule>
    <cfRule type="cellIs" dxfId="243" priority="75" operator="equal">
      <formula>"DONE"</formula>
    </cfRule>
  </conditionalFormatting>
  <conditionalFormatting sqref="J11">
    <cfRule type="cellIs" dxfId="242" priority="70" operator="equal">
      <formula>"OVERDUE"</formula>
    </cfRule>
    <cfRule type="cellIs" dxfId="241" priority="71" operator="equal">
      <formula>"DONE"</formula>
    </cfRule>
    <cfRule type="cellIs" dxfId="240" priority="72" operator="equal">
      <formula>"DONE"</formula>
    </cfRule>
  </conditionalFormatting>
  <conditionalFormatting sqref="J12">
    <cfRule type="cellIs" dxfId="239" priority="67" operator="equal">
      <formula>"OVERDUE"</formula>
    </cfRule>
    <cfRule type="cellIs" dxfId="238" priority="68" operator="equal">
      <formula>"DONE"</formula>
    </cfRule>
    <cfRule type="cellIs" dxfId="237" priority="69" operator="equal">
      <formula>"DONE"</formula>
    </cfRule>
  </conditionalFormatting>
  <conditionalFormatting sqref="J13">
    <cfRule type="cellIs" dxfId="236" priority="64" operator="equal">
      <formula>"OVERDUE"</formula>
    </cfRule>
    <cfRule type="cellIs" dxfId="235" priority="65" operator="equal">
      <formula>"DONE"</formula>
    </cfRule>
    <cfRule type="cellIs" dxfId="234" priority="66" operator="equal">
      <formula>"DONE"</formula>
    </cfRule>
  </conditionalFormatting>
  <conditionalFormatting sqref="J14">
    <cfRule type="cellIs" dxfId="233" priority="61" operator="equal">
      <formula>"OVERDUE"</formula>
    </cfRule>
    <cfRule type="cellIs" dxfId="232" priority="62" operator="equal">
      <formula>"DONE"</formula>
    </cfRule>
    <cfRule type="cellIs" dxfId="231" priority="63" operator="equal">
      <formula>"DONE"</formula>
    </cfRule>
  </conditionalFormatting>
  <conditionalFormatting sqref="J15">
    <cfRule type="cellIs" dxfId="230" priority="58" operator="equal">
      <formula>"OVERDUE"</formula>
    </cfRule>
    <cfRule type="cellIs" dxfId="229" priority="59" operator="equal">
      <formula>"DONE"</formula>
    </cfRule>
    <cfRule type="cellIs" dxfId="228" priority="60" operator="equal">
      <formula>"DONE"</formula>
    </cfRule>
  </conditionalFormatting>
  <conditionalFormatting sqref="J16">
    <cfRule type="cellIs" dxfId="227" priority="55" operator="equal">
      <formula>"OVERDUE"</formula>
    </cfRule>
    <cfRule type="cellIs" dxfId="226" priority="56" operator="equal">
      <formula>"DONE"</formula>
    </cfRule>
    <cfRule type="cellIs" dxfId="225" priority="57" operator="equal">
      <formula>"DONE"</formula>
    </cfRule>
  </conditionalFormatting>
  <conditionalFormatting sqref="J17">
    <cfRule type="cellIs" dxfId="224" priority="52" operator="equal">
      <formula>"OVERDUE"</formula>
    </cfRule>
    <cfRule type="cellIs" dxfId="223" priority="53" operator="equal">
      <formula>"DONE"</formula>
    </cfRule>
    <cfRule type="cellIs" dxfId="222" priority="54" operator="equal">
      <formula>"DONE"</formula>
    </cfRule>
  </conditionalFormatting>
  <conditionalFormatting sqref="J18">
    <cfRule type="cellIs" dxfId="221" priority="49" operator="equal">
      <formula>"OVERDUE"</formula>
    </cfRule>
    <cfRule type="cellIs" dxfId="220" priority="50" operator="equal">
      <formula>"DONE"</formula>
    </cfRule>
    <cfRule type="cellIs" dxfId="219" priority="51" operator="equal">
      <formula>"DONE"</formula>
    </cfRule>
  </conditionalFormatting>
  <conditionalFormatting sqref="J19">
    <cfRule type="cellIs" dxfId="218" priority="46" operator="equal">
      <formula>"OVERDUE"</formula>
    </cfRule>
    <cfRule type="cellIs" dxfId="217" priority="47" operator="equal">
      <formula>"DONE"</formula>
    </cfRule>
    <cfRule type="cellIs" dxfId="216" priority="48" operator="equal">
      <formula>"DONE"</formula>
    </cfRule>
  </conditionalFormatting>
  <conditionalFormatting sqref="J20">
    <cfRule type="cellIs" dxfId="215" priority="43" operator="equal">
      <formula>"OVERDUE"</formula>
    </cfRule>
    <cfRule type="cellIs" dxfId="214" priority="44" operator="equal">
      <formula>"DONE"</formula>
    </cfRule>
    <cfRule type="cellIs" dxfId="213" priority="45" operator="equal">
      <formula>"DONE"</formula>
    </cfRule>
  </conditionalFormatting>
  <conditionalFormatting sqref="J21">
    <cfRule type="cellIs" dxfId="212" priority="40" operator="equal">
      <formula>"OVERDUE"</formula>
    </cfRule>
    <cfRule type="cellIs" dxfId="211" priority="41" operator="equal">
      <formula>"DONE"</formula>
    </cfRule>
    <cfRule type="cellIs" dxfId="210" priority="42" operator="equal">
      <formula>"DONE"</formula>
    </cfRule>
  </conditionalFormatting>
  <conditionalFormatting sqref="J22">
    <cfRule type="cellIs" dxfId="209" priority="37" operator="equal">
      <formula>"OVERDUE"</formula>
    </cfRule>
    <cfRule type="cellIs" dxfId="208" priority="38" operator="equal">
      <formula>"DONE"</formula>
    </cfRule>
    <cfRule type="cellIs" dxfId="207" priority="39" operator="equal">
      <formula>"DONE"</formula>
    </cfRule>
  </conditionalFormatting>
  <conditionalFormatting sqref="J23">
    <cfRule type="cellIs" dxfId="206" priority="34" operator="equal">
      <formula>"OVERDUE"</formula>
    </cfRule>
    <cfRule type="cellIs" dxfId="205" priority="35" operator="equal">
      <formula>"DONE"</formula>
    </cfRule>
    <cfRule type="cellIs" dxfId="204" priority="36" operator="equal">
      <formula>"DONE"</formula>
    </cfRule>
  </conditionalFormatting>
  <conditionalFormatting sqref="J24">
    <cfRule type="cellIs" dxfId="203" priority="31" operator="equal">
      <formula>"OVERDUE"</formula>
    </cfRule>
    <cfRule type="cellIs" dxfId="202" priority="32" operator="equal">
      <formula>"DONE"</formula>
    </cfRule>
    <cfRule type="cellIs" dxfId="201" priority="33" operator="equal">
      <formula>"DONE"</formula>
    </cfRule>
  </conditionalFormatting>
  <conditionalFormatting sqref="J25">
    <cfRule type="cellIs" dxfId="200" priority="28" operator="equal">
      <formula>"OVERDUE"</formula>
    </cfRule>
    <cfRule type="cellIs" dxfId="199" priority="29" operator="equal">
      <formula>"DONE"</formula>
    </cfRule>
    <cfRule type="cellIs" dxfId="198" priority="30" operator="equal">
      <formula>"DONE"</formula>
    </cfRule>
  </conditionalFormatting>
  <conditionalFormatting sqref="J26">
    <cfRule type="cellIs" dxfId="197" priority="25" operator="equal">
      <formula>"OVERDUE"</formula>
    </cfRule>
    <cfRule type="cellIs" dxfId="196" priority="26" operator="equal">
      <formula>"DONE"</formula>
    </cfRule>
    <cfRule type="cellIs" dxfId="195" priority="27" operator="equal">
      <formula>"DONE"</formula>
    </cfRule>
  </conditionalFormatting>
  <conditionalFormatting sqref="J27">
    <cfRule type="cellIs" dxfId="194" priority="22" operator="equal">
      <formula>"OVERDUE"</formula>
    </cfRule>
    <cfRule type="cellIs" dxfId="193" priority="23" operator="equal">
      <formula>"DONE"</formula>
    </cfRule>
    <cfRule type="cellIs" dxfId="192" priority="24" operator="equal">
      <formula>"DONE"</formula>
    </cfRule>
  </conditionalFormatting>
  <conditionalFormatting sqref="J28">
    <cfRule type="cellIs" dxfId="191" priority="19" operator="equal">
      <formula>"OVERDUE"</formula>
    </cfRule>
    <cfRule type="cellIs" dxfId="190" priority="20" operator="equal">
      <formula>"DONE"</formula>
    </cfRule>
    <cfRule type="cellIs" dxfId="189" priority="21" operator="equal">
      <formula>"DONE"</formula>
    </cfRule>
  </conditionalFormatting>
  <conditionalFormatting sqref="J29">
    <cfRule type="cellIs" dxfId="188" priority="16" operator="equal">
      <formula>"OVERDUE"</formula>
    </cfRule>
    <cfRule type="cellIs" dxfId="187" priority="17" operator="equal">
      <formula>"DONE"</formula>
    </cfRule>
    <cfRule type="cellIs" dxfId="186" priority="18" operator="equal">
      <formula>"DONE"</formula>
    </cfRule>
  </conditionalFormatting>
  <conditionalFormatting sqref="J30">
    <cfRule type="cellIs" dxfId="185" priority="13" operator="equal">
      <formula>"OVERDUE"</formula>
    </cfRule>
    <cfRule type="cellIs" dxfId="184" priority="14" operator="equal">
      <formula>"DONE"</formula>
    </cfRule>
    <cfRule type="cellIs" dxfId="183" priority="15" operator="equal">
      <formula>"DONE"</formula>
    </cfRule>
  </conditionalFormatting>
  <conditionalFormatting sqref="J2:J3 J35:J1048576">
    <cfRule type="cellIs" dxfId="182" priority="112" operator="equal">
      <formula>"OVERDUE"</formula>
    </cfRule>
    <cfRule type="cellIs" dxfId="181" priority="113" operator="equal">
      <formula>"DONE"</formula>
    </cfRule>
    <cfRule type="cellIs" dxfId="180" priority="114" operator="equal">
      <formula>"DONE"</formula>
    </cfRule>
  </conditionalFormatting>
  <conditionalFormatting sqref="J31">
    <cfRule type="cellIs" dxfId="179" priority="10" operator="equal">
      <formula>"OVERDUE"</formula>
    </cfRule>
    <cfRule type="cellIs" dxfId="178" priority="11" operator="equal">
      <formula>"DONE"</formula>
    </cfRule>
    <cfRule type="cellIs" dxfId="177" priority="12" operator="equal">
      <formula>"DONE"</formula>
    </cfRule>
  </conditionalFormatting>
  <conditionalFormatting sqref="J32">
    <cfRule type="cellIs" dxfId="176" priority="7" operator="equal">
      <formula>"OVERDUE"</formula>
    </cfRule>
    <cfRule type="cellIs" dxfId="175" priority="8" operator="equal">
      <formula>"DONE"</formula>
    </cfRule>
    <cfRule type="cellIs" dxfId="174" priority="9" operator="equal">
      <formula>"DONE"</formula>
    </cfRule>
  </conditionalFormatting>
  <conditionalFormatting sqref="J33">
    <cfRule type="cellIs" dxfId="173" priority="4" operator="equal">
      <formula>"OVERDUE"</formula>
    </cfRule>
    <cfRule type="cellIs" dxfId="172" priority="5" operator="equal">
      <formula>"DONE"</formula>
    </cfRule>
    <cfRule type="cellIs" dxfId="171" priority="6" operator="equal">
      <formula>"DONE"</formula>
    </cfRule>
  </conditionalFormatting>
  <conditionalFormatting sqref="J34">
    <cfRule type="cellIs" dxfId="170" priority="1" operator="equal">
      <formula>"OVERDUE"</formula>
    </cfRule>
    <cfRule type="cellIs" dxfId="169" priority="2" operator="equal">
      <formula>"DONE"</formula>
    </cfRule>
    <cfRule type="cellIs" dxfId="168"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34</xdr:row>
                    <xdr:rowOff>85725</xdr:rowOff>
                  </from>
                  <to>
                    <xdr:col>1</xdr:col>
                    <xdr:colOff>800100</xdr:colOff>
                    <xdr:row>35</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H12" sqref="H12"/>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359</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44018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3"/>
      <c r="R3" s="164"/>
      <c r="S3" s="164"/>
      <c r="T3" s="164"/>
      <c r="U3" s="164"/>
      <c r="V3" s="164"/>
      <c r="W3" s="164"/>
      <c r="X3" s="164"/>
      <c r="Y3" s="164"/>
      <c r="Z3" s="164"/>
      <c r="AA3" s="164"/>
      <c r="AB3" s="164"/>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405</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3"/>
      <c r="R4" s="164"/>
      <c r="S4" s="164"/>
      <c r="T4" s="164"/>
      <c r="U4" s="164"/>
      <c r="V4" s="164"/>
      <c r="W4" s="164"/>
      <c r="X4" s="164"/>
      <c r="Y4" s="164"/>
      <c r="Z4" s="164"/>
      <c r="AA4" s="164"/>
      <c r="AB4" s="164"/>
      <c r="AC4" s="27"/>
      <c r="AD4" s="27"/>
    </row>
    <row r="5" spans="1:246" ht="57.75" customHeight="1" x14ac:dyDescent="0.15">
      <c r="A5" s="15">
        <v>241</v>
      </c>
      <c r="B5" s="11"/>
      <c r="C5" s="16" t="s">
        <v>398</v>
      </c>
      <c r="D5" s="13" t="s">
        <v>24</v>
      </c>
      <c r="E5" s="13" t="s">
        <v>399</v>
      </c>
      <c r="F5" s="13">
        <v>43928</v>
      </c>
      <c r="G5" s="14">
        <v>43951</v>
      </c>
      <c r="H5" s="14"/>
      <c r="I5" s="14"/>
      <c r="J5" s="13" t="str">
        <f t="shared" ca="1" si="0"/>
        <v>OVERDUE</v>
      </c>
      <c r="K5" s="13" t="str">
        <f t="shared" si="1"/>
        <v/>
      </c>
      <c r="L5" s="13">
        <f t="shared" ca="1" si="2"/>
        <v>1</v>
      </c>
      <c r="M5" s="13">
        <f t="shared" ca="1" si="3"/>
        <v>0</v>
      </c>
      <c r="N5" s="13">
        <f t="shared" ca="1" si="4"/>
        <v>0</v>
      </c>
      <c r="O5" s="13">
        <f t="shared" ca="1" si="5"/>
        <v>-67</v>
      </c>
      <c r="P5" s="20"/>
      <c r="Q5" s="163"/>
      <c r="R5" s="164"/>
      <c r="S5" s="164"/>
      <c r="T5" s="164"/>
      <c r="U5" s="164"/>
      <c r="V5" s="164"/>
      <c r="W5" s="164"/>
      <c r="X5" s="164"/>
      <c r="Y5" s="164"/>
      <c r="Z5" s="164"/>
      <c r="AA5" s="164"/>
      <c r="AB5" s="164"/>
      <c r="AC5" s="27"/>
      <c r="AD5" s="27"/>
    </row>
    <row r="6" spans="1:246" ht="24.6" customHeight="1" x14ac:dyDescent="0.15">
      <c r="A6" s="15">
        <v>242</v>
      </c>
      <c r="B6" s="11"/>
      <c r="C6" s="16" t="s">
        <v>400</v>
      </c>
      <c r="D6" s="13" t="s">
        <v>24</v>
      </c>
      <c r="E6" s="13" t="s">
        <v>401</v>
      </c>
      <c r="F6" s="14">
        <v>43928</v>
      </c>
      <c r="G6" s="14">
        <v>43951</v>
      </c>
      <c r="H6" s="14"/>
      <c r="I6" s="14"/>
      <c r="J6" s="13" t="str">
        <f t="shared" ca="1" si="0"/>
        <v>OVERDUE</v>
      </c>
      <c r="K6" s="13" t="str">
        <f t="shared" si="1"/>
        <v/>
      </c>
      <c r="L6" s="13">
        <f t="shared" ca="1" si="2"/>
        <v>1</v>
      </c>
      <c r="M6" s="13">
        <f t="shared" ca="1" si="3"/>
        <v>0</v>
      </c>
      <c r="N6" s="13">
        <f t="shared" ca="1" si="4"/>
        <v>0</v>
      </c>
      <c r="O6" s="13">
        <f t="shared" ca="1" si="5"/>
        <v>-67</v>
      </c>
      <c r="P6" s="20"/>
      <c r="Q6" s="163"/>
      <c r="R6" s="164"/>
      <c r="S6" s="164"/>
      <c r="T6" s="164"/>
      <c r="U6" s="164"/>
      <c r="V6" s="164"/>
      <c r="W6" s="164"/>
      <c r="X6" s="164"/>
      <c r="Y6" s="164"/>
      <c r="Z6" s="164"/>
      <c r="AA6" s="164"/>
      <c r="AB6" s="164"/>
      <c r="AC6" s="27"/>
      <c r="AD6" s="27"/>
    </row>
    <row r="7" spans="1:246" ht="45" customHeight="1" x14ac:dyDescent="0.15">
      <c r="A7" s="15">
        <v>243</v>
      </c>
      <c r="B7" s="13"/>
      <c r="C7" s="16" t="s">
        <v>404</v>
      </c>
      <c r="D7" s="13" t="s">
        <v>24</v>
      </c>
      <c r="E7" s="13" t="s">
        <v>403</v>
      </c>
      <c r="F7" s="14">
        <v>43928</v>
      </c>
      <c r="G7" s="14">
        <v>43951</v>
      </c>
      <c r="H7" s="14"/>
      <c r="I7" s="14"/>
      <c r="J7" s="13" t="str">
        <f t="shared" ca="1" si="0"/>
        <v>OVERDUE</v>
      </c>
      <c r="K7" s="13" t="str">
        <f t="shared" si="1"/>
        <v/>
      </c>
      <c r="L7" s="13">
        <f t="shared" ca="1" si="2"/>
        <v>1</v>
      </c>
      <c r="M7" s="13">
        <f t="shared" ca="1" si="3"/>
        <v>0</v>
      </c>
      <c r="N7" s="13">
        <f t="shared" ca="1" si="4"/>
        <v>0</v>
      </c>
      <c r="O7" s="13">
        <f t="shared" ca="1" si="5"/>
        <v>-67</v>
      </c>
      <c r="P7" s="20"/>
      <c r="Q7" s="163"/>
      <c r="R7" s="164"/>
      <c r="S7" s="164"/>
      <c r="T7" s="164"/>
      <c r="U7" s="164"/>
      <c r="V7" s="164"/>
      <c r="W7" s="164"/>
      <c r="X7" s="164"/>
      <c r="Y7" s="164"/>
      <c r="Z7" s="164"/>
      <c r="AA7" s="164"/>
      <c r="AB7" s="164"/>
      <c r="AC7" s="27"/>
      <c r="AD7" s="27"/>
    </row>
    <row r="8" spans="1:246" ht="24.6" customHeight="1" x14ac:dyDescent="0.15">
      <c r="A8" s="10" t="s">
        <v>95</v>
      </c>
      <c r="B8" s="11"/>
      <c r="C8" s="16" t="s">
        <v>402</v>
      </c>
      <c r="D8" s="13" t="s">
        <v>24</v>
      </c>
      <c r="E8" s="13" t="s">
        <v>399</v>
      </c>
      <c r="F8" s="14">
        <v>43928</v>
      </c>
      <c r="G8" s="14">
        <v>43951</v>
      </c>
      <c r="H8" s="14"/>
      <c r="I8" s="14"/>
      <c r="J8" s="13" t="str">
        <f t="shared" ca="1" si="0"/>
        <v>OVERDUE</v>
      </c>
      <c r="K8" s="13" t="str">
        <f t="shared" si="1"/>
        <v/>
      </c>
      <c r="L8" s="13">
        <f t="shared" ca="1" si="2"/>
        <v>1</v>
      </c>
      <c r="M8" s="13">
        <f t="shared" ca="1" si="3"/>
        <v>0</v>
      </c>
      <c r="N8" s="13">
        <f t="shared" ca="1" si="4"/>
        <v>0</v>
      </c>
      <c r="O8" s="13">
        <f t="shared" ca="1" si="5"/>
        <v>-67</v>
      </c>
      <c r="P8" s="20"/>
      <c r="Q8" s="163"/>
      <c r="R8" s="164"/>
      <c r="S8" s="164"/>
      <c r="T8" s="164"/>
      <c r="U8" s="164"/>
      <c r="V8" s="164"/>
      <c r="W8" s="164"/>
      <c r="X8" s="164"/>
      <c r="Y8" s="164"/>
      <c r="Z8" s="164"/>
      <c r="AA8" s="164"/>
      <c r="AB8" s="164"/>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3"/>
      <c r="R9" s="164"/>
      <c r="S9" s="164"/>
      <c r="T9" s="164"/>
      <c r="U9" s="164"/>
      <c r="V9" s="164"/>
      <c r="W9" s="164"/>
      <c r="X9" s="164"/>
      <c r="Y9" s="164"/>
      <c r="Z9" s="164"/>
      <c r="AA9" s="164"/>
      <c r="AB9" s="164"/>
      <c r="AC9" s="27"/>
      <c r="AD9" s="27"/>
    </row>
    <row r="10" spans="1:246" ht="24.6" customHeight="1" x14ac:dyDescent="0.15">
      <c r="A10" s="15">
        <v>246</v>
      </c>
      <c r="B10" s="11"/>
      <c r="C10" s="16" t="s">
        <v>498</v>
      </c>
      <c r="D10" s="13" t="s">
        <v>24</v>
      </c>
      <c r="E10" s="13" t="s">
        <v>499</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-24</v>
      </c>
      <c r="P10" s="20" t="s">
        <v>510</v>
      </c>
      <c r="Q10" s="163"/>
      <c r="R10" s="164"/>
      <c r="S10" s="164"/>
      <c r="T10" s="164"/>
      <c r="U10" s="164"/>
      <c r="V10" s="164"/>
      <c r="W10" s="164"/>
      <c r="X10" s="164"/>
      <c r="Y10" s="164"/>
      <c r="Z10" s="164"/>
      <c r="AA10" s="164"/>
      <c r="AB10" s="164"/>
      <c r="AC10" s="27"/>
      <c r="AD10" s="27"/>
    </row>
    <row r="11" spans="1:246" ht="24.6" customHeight="1" x14ac:dyDescent="0.15">
      <c r="A11" s="15">
        <v>247</v>
      </c>
      <c r="B11" s="11"/>
      <c r="C11" s="16" t="s">
        <v>501</v>
      </c>
      <c r="D11" s="13" t="s">
        <v>24</v>
      </c>
      <c r="E11" s="13" t="s">
        <v>499</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-17</v>
      </c>
      <c r="P11" s="20" t="s">
        <v>511</v>
      </c>
      <c r="Q11" s="163"/>
      <c r="R11" s="164"/>
      <c r="S11" s="164"/>
      <c r="T11" s="164"/>
      <c r="U11" s="164"/>
      <c r="V11" s="164"/>
      <c r="W11" s="164"/>
      <c r="X11" s="164"/>
      <c r="Y11" s="164"/>
      <c r="Z11" s="164"/>
      <c r="AA11" s="164"/>
      <c r="AB11" s="164"/>
      <c r="AC11" s="27"/>
      <c r="AD11" s="27"/>
    </row>
    <row r="12" spans="1:246" ht="39" customHeight="1" x14ac:dyDescent="0.15">
      <c r="A12" s="15">
        <v>248</v>
      </c>
      <c r="B12" s="11"/>
      <c r="C12" s="153" t="s">
        <v>508</v>
      </c>
      <c r="D12" s="13" t="s">
        <v>24</v>
      </c>
      <c r="E12" s="13" t="s">
        <v>509</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-9</v>
      </c>
      <c r="P12" s="20" t="s">
        <v>513</v>
      </c>
      <c r="Q12" s="163"/>
      <c r="R12" s="164"/>
      <c r="S12" s="164"/>
      <c r="T12" s="164"/>
      <c r="U12" s="164"/>
      <c r="V12" s="164"/>
      <c r="W12" s="164"/>
      <c r="X12" s="164"/>
      <c r="Y12" s="164"/>
      <c r="Z12" s="164"/>
      <c r="AA12" s="164"/>
      <c r="AB12" s="164"/>
      <c r="AC12" s="27"/>
      <c r="AD12" s="27"/>
    </row>
    <row r="13" spans="1:246" ht="24.6" customHeight="1" x14ac:dyDescent="0.15">
      <c r="A13" s="15">
        <v>249</v>
      </c>
      <c r="B13" s="13"/>
      <c r="C13" s="153" t="s">
        <v>512</v>
      </c>
      <c r="D13" s="13" t="s">
        <v>24</v>
      </c>
      <c r="E13" s="13" t="s">
        <v>509</v>
      </c>
      <c r="F13" s="14">
        <v>44009</v>
      </c>
      <c r="G13" s="14">
        <v>44022</v>
      </c>
      <c r="H13" s="14"/>
      <c r="I13" s="14"/>
      <c r="J13" s="13" t="str">
        <f t="shared" ca="1" si="0"/>
        <v>IN TIME</v>
      </c>
      <c r="K13" s="13" t="str">
        <f t="shared" si="1"/>
        <v/>
      </c>
      <c r="L13" s="13">
        <f t="shared" ca="1" si="2"/>
        <v>0</v>
      </c>
      <c r="M13" s="13">
        <f t="shared" ca="1" si="3"/>
        <v>1</v>
      </c>
      <c r="N13" s="13">
        <f t="shared" ca="1" si="4"/>
        <v>0</v>
      </c>
      <c r="O13" s="13">
        <f t="shared" ca="1" si="5"/>
        <v>4</v>
      </c>
      <c r="P13" s="20"/>
      <c r="Q13" s="163"/>
      <c r="R13" s="164"/>
      <c r="S13" s="164"/>
      <c r="T13" s="164"/>
      <c r="U13" s="164"/>
      <c r="V13" s="164"/>
      <c r="W13" s="164"/>
      <c r="X13" s="164"/>
      <c r="Y13" s="164"/>
      <c r="Z13" s="164"/>
      <c r="AA13" s="164"/>
      <c r="AB13" s="164"/>
      <c r="AC13" s="27"/>
      <c r="AD13" s="27"/>
    </row>
    <row r="14" spans="1:246" ht="24.6" customHeight="1" x14ac:dyDescent="0.15">
      <c r="A14" s="15"/>
      <c r="B14" s="11"/>
      <c r="C14" s="16" t="s">
        <v>514</v>
      </c>
      <c r="D14" s="13" t="s">
        <v>24</v>
      </c>
      <c r="E14" s="13" t="s">
        <v>509</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-9</v>
      </c>
      <c r="P14" s="20" t="s">
        <v>513</v>
      </c>
      <c r="Q14" s="163"/>
      <c r="R14" s="164"/>
      <c r="S14" s="164"/>
      <c r="T14" s="164"/>
      <c r="U14" s="164"/>
      <c r="V14" s="164"/>
      <c r="W14" s="164"/>
      <c r="X14" s="164"/>
      <c r="Y14" s="164"/>
      <c r="Z14" s="164"/>
      <c r="AA14" s="164"/>
      <c r="AB14" s="164"/>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167" priority="79" operator="equal">
      <formula>"OVERDUE"</formula>
    </cfRule>
    <cfRule type="cellIs" dxfId="166" priority="80" operator="equal">
      <formula>"DONE"</formula>
    </cfRule>
    <cfRule type="cellIs" dxfId="165" priority="81" operator="equal">
      <formula>"DONE"</formula>
    </cfRule>
  </conditionalFormatting>
  <conditionalFormatting sqref="J5">
    <cfRule type="cellIs" dxfId="164" priority="76" operator="equal">
      <formula>"OVERDUE"</formula>
    </cfRule>
    <cfRule type="cellIs" dxfId="163" priority="77" operator="equal">
      <formula>"DONE"</formula>
    </cfRule>
    <cfRule type="cellIs" dxfId="162" priority="78" operator="equal">
      <formula>"DONE"</formula>
    </cfRule>
  </conditionalFormatting>
  <conditionalFormatting sqref="J6">
    <cfRule type="cellIs" dxfId="161" priority="73" operator="equal">
      <formula>"OVERDUE"</formula>
    </cfRule>
    <cfRule type="cellIs" dxfId="160" priority="74" operator="equal">
      <formula>"DONE"</formula>
    </cfRule>
    <cfRule type="cellIs" dxfId="159" priority="75" operator="equal">
      <formula>"DONE"</formula>
    </cfRule>
  </conditionalFormatting>
  <conditionalFormatting sqref="J7">
    <cfRule type="cellIs" dxfId="158" priority="70" operator="equal">
      <formula>"OVERDUE"</formula>
    </cfRule>
    <cfRule type="cellIs" dxfId="157" priority="71" operator="equal">
      <formula>"DONE"</formula>
    </cfRule>
    <cfRule type="cellIs" dxfId="156" priority="72" operator="equal">
      <formula>"DONE"</formula>
    </cfRule>
  </conditionalFormatting>
  <conditionalFormatting sqref="J8">
    <cfRule type="cellIs" dxfId="155" priority="67" operator="equal">
      <formula>"OVERDUE"</formula>
    </cfRule>
    <cfRule type="cellIs" dxfId="154" priority="68" operator="equal">
      <formula>"DONE"</formula>
    </cfRule>
    <cfRule type="cellIs" dxfId="153" priority="69" operator="equal">
      <formula>"DONE"</formula>
    </cfRule>
  </conditionalFormatting>
  <conditionalFormatting sqref="J9">
    <cfRule type="cellIs" dxfId="152" priority="64" operator="equal">
      <formula>"OVERDUE"</formula>
    </cfRule>
    <cfRule type="cellIs" dxfId="151" priority="65" operator="equal">
      <formula>"DONE"</formula>
    </cfRule>
    <cfRule type="cellIs" dxfId="150" priority="66" operator="equal">
      <formula>"DONE"</formula>
    </cfRule>
  </conditionalFormatting>
  <conditionalFormatting sqref="J10">
    <cfRule type="cellIs" dxfId="149" priority="61" operator="equal">
      <formula>"OVERDUE"</formula>
    </cfRule>
    <cfRule type="cellIs" dxfId="148" priority="62" operator="equal">
      <formula>"DONE"</formula>
    </cfRule>
    <cfRule type="cellIs" dxfId="147" priority="63" operator="equal">
      <formula>"DONE"</formula>
    </cfRule>
  </conditionalFormatting>
  <conditionalFormatting sqref="J11">
    <cfRule type="cellIs" dxfId="146" priority="58" operator="equal">
      <formula>"OVERDUE"</formula>
    </cfRule>
    <cfRule type="cellIs" dxfId="145" priority="59" operator="equal">
      <formula>"DONE"</formula>
    </cfRule>
    <cfRule type="cellIs" dxfId="144" priority="60" operator="equal">
      <formula>"DONE"</formula>
    </cfRule>
  </conditionalFormatting>
  <conditionalFormatting sqref="J12">
    <cfRule type="cellIs" dxfId="143" priority="55" operator="equal">
      <formula>"OVERDUE"</formula>
    </cfRule>
    <cfRule type="cellIs" dxfId="142" priority="56" operator="equal">
      <formula>"DONE"</formula>
    </cfRule>
    <cfRule type="cellIs" dxfId="141" priority="57" operator="equal">
      <formula>"DONE"</formula>
    </cfRule>
  </conditionalFormatting>
  <conditionalFormatting sqref="J13">
    <cfRule type="cellIs" dxfId="140" priority="52" operator="equal">
      <formula>"OVERDUE"</formula>
    </cfRule>
    <cfRule type="cellIs" dxfId="139" priority="53" operator="equal">
      <formula>"DONE"</formula>
    </cfRule>
    <cfRule type="cellIs" dxfId="138" priority="54" operator="equal">
      <formula>"DONE"</formula>
    </cfRule>
  </conditionalFormatting>
  <conditionalFormatting sqref="J14">
    <cfRule type="cellIs" dxfId="137" priority="49" operator="equal">
      <formula>"OVERDUE"</formula>
    </cfRule>
    <cfRule type="cellIs" dxfId="136" priority="50" operator="equal">
      <formula>"DONE"</formula>
    </cfRule>
    <cfRule type="cellIs" dxfId="135" priority="51" operator="equal">
      <formula>"DONE"</formula>
    </cfRule>
  </conditionalFormatting>
  <conditionalFormatting sqref="J15">
    <cfRule type="cellIs" dxfId="134" priority="46" operator="equal">
      <formula>"OVERDUE"</formula>
    </cfRule>
    <cfRule type="cellIs" dxfId="133" priority="47" operator="equal">
      <formula>"DONE"</formula>
    </cfRule>
    <cfRule type="cellIs" dxfId="132" priority="48" operator="equal">
      <formula>"DONE"</formula>
    </cfRule>
  </conditionalFormatting>
  <conditionalFormatting sqref="J16">
    <cfRule type="cellIs" dxfId="131" priority="43" operator="equal">
      <formula>"OVERDUE"</formula>
    </cfRule>
    <cfRule type="cellIs" dxfId="130" priority="44" operator="equal">
      <formula>"DONE"</formula>
    </cfRule>
    <cfRule type="cellIs" dxfId="129" priority="45" operator="equal">
      <formula>"DONE"</formula>
    </cfRule>
  </conditionalFormatting>
  <conditionalFormatting sqref="J17">
    <cfRule type="cellIs" dxfId="128" priority="40" operator="equal">
      <formula>"OVERDUE"</formula>
    </cfRule>
    <cfRule type="cellIs" dxfId="127" priority="41" operator="equal">
      <formula>"DONE"</formula>
    </cfRule>
    <cfRule type="cellIs" dxfId="126" priority="42" operator="equal">
      <formula>"DONE"</formula>
    </cfRule>
  </conditionalFormatting>
  <conditionalFormatting sqref="J18">
    <cfRule type="cellIs" dxfId="125" priority="37" operator="equal">
      <formula>"OVERDUE"</formula>
    </cfRule>
    <cfRule type="cellIs" dxfId="124" priority="38" operator="equal">
      <formula>"DONE"</formula>
    </cfRule>
    <cfRule type="cellIs" dxfId="123" priority="39" operator="equal">
      <formula>"DONE"</formula>
    </cfRule>
  </conditionalFormatting>
  <conditionalFormatting sqref="J19">
    <cfRule type="cellIs" dxfId="122" priority="34" operator="equal">
      <formula>"OVERDUE"</formula>
    </cfRule>
    <cfRule type="cellIs" dxfId="121" priority="35" operator="equal">
      <formula>"DONE"</formula>
    </cfRule>
    <cfRule type="cellIs" dxfId="120" priority="36" operator="equal">
      <formula>"DONE"</formula>
    </cfRule>
  </conditionalFormatting>
  <conditionalFormatting sqref="J20">
    <cfRule type="cellIs" dxfId="119" priority="31" operator="equal">
      <formula>"OVERDUE"</formula>
    </cfRule>
    <cfRule type="cellIs" dxfId="118" priority="32" operator="equal">
      <formula>"DONE"</formula>
    </cfRule>
    <cfRule type="cellIs" dxfId="117" priority="33" operator="equal">
      <formula>"DONE"</formula>
    </cfRule>
  </conditionalFormatting>
  <conditionalFormatting sqref="J21">
    <cfRule type="cellIs" dxfId="116" priority="28" operator="equal">
      <formula>"OVERDUE"</formula>
    </cfRule>
    <cfRule type="cellIs" dxfId="115" priority="29" operator="equal">
      <formula>"DONE"</formula>
    </cfRule>
    <cfRule type="cellIs" dxfId="114" priority="30" operator="equal">
      <formula>"DONE"</formula>
    </cfRule>
  </conditionalFormatting>
  <conditionalFormatting sqref="J22">
    <cfRule type="cellIs" dxfId="113" priority="25" operator="equal">
      <formula>"OVERDUE"</formula>
    </cfRule>
    <cfRule type="cellIs" dxfId="112" priority="26" operator="equal">
      <formula>"DONE"</formula>
    </cfRule>
    <cfRule type="cellIs" dxfId="111" priority="27" operator="equal">
      <formula>"DONE"</formula>
    </cfRule>
  </conditionalFormatting>
  <conditionalFormatting sqref="J23">
    <cfRule type="cellIs" dxfId="110" priority="22" operator="equal">
      <formula>"OVERDUE"</formula>
    </cfRule>
    <cfRule type="cellIs" dxfId="109" priority="23" operator="equal">
      <formula>"DONE"</formula>
    </cfRule>
    <cfRule type="cellIs" dxfId="108" priority="24" operator="equal">
      <formula>"DONE"</formula>
    </cfRule>
  </conditionalFormatting>
  <conditionalFormatting sqref="J24">
    <cfRule type="cellIs" dxfId="107" priority="19" operator="equal">
      <formula>"OVERDUE"</formula>
    </cfRule>
    <cfRule type="cellIs" dxfId="106" priority="20" operator="equal">
      <formula>"DONE"</formula>
    </cfRule>
    <cfRule type="cellIs" dxfId="105" priority="21" operator="equal">
      <formula>"DONE"</formula>
    </cfRule>
  </conditionalFormatting>
  <conditionalFormatting sqref="J25">
    <cfRule type="cellIs" dxfId="104" priority="16" operator="equal">
      <formula>"OVERDUE"</formula>
    </cfRule>
    <cfRule type="cellIs" dxfId="103" priority="17" operator="equal">
      <formula>"DONE"</formula>
    </cfRule>
    <cfRule type="cellIs" dxfId="102" priority="18" operator="equal">
      <formula>"DONE"</formula>
    </cfRule>
  </conditionalFormatting>
  <conditionalFormatting sqref="J26">
    <cfRule type="cellIs" dxfId="101" priority="13" operator="equal">
      <formula>"OVERDUE"</formula>
    </cfRule>
    <cfRule type="cellIs" dxfId="100" priority="14" operator="equal">
      <formula>"DONE"</formula>
    </cfRule>
    <cfRule type="cellIs" dxfId="99" priority="15" operator="equal">
      <formula>"DONE"</formula>
    </cfRule>
  </conditionalFormatting>
  <conditionalFormatting sqref="J27">
    <cfRule type="cellIs" dxfId="98" priority="10" operator="equal">
      <formula>"OVERDUE"</formula>
    </cfRule>
    <cfRule type="cellIs" dxfId="97" priority="11" operator="equal">
      <formula>"DONE"</formula>
    </cfRule>
    <cfRule type="cellIs" dxfId="96" priority="12" operator="equal">
      <formula>"DONE"</formula>
    </cfRule>
  </conditionalFormatting>
  <conditionalFormatting sqref="J28">
    <cfRule type="cellIs" dxfId="95" priority="7" operator="equal">
      <formula>"OVERDUE"</formula>
    </cfRule>
    <cfRule type="cellIs" dxfId="94" priority="8" operator="equal">
      <formula>"DONE"</formula>
    </cfRule>
    <cfRule type="cellIs" dxfId="93" priority="9" operator="equal">
      <formula>"DONE"</formula>
    </cfRule>
  </conditionalFormatting>
  <conditionalFormatting sqref="J29">
    <cfRule type="cellIs" dxfId="92" priority="4" operator="equal">
      <formula>"OVERDUE"</formula>
    </cfRule>
    <cfRule type="cellIs" dxfId="91" priority="5" operator="equal">
      <formula>"DONE"</formula>
    </cfRule>
    <cfRule type="cellIs" dxfId="90" priority="6" operator="equal">
      <formula>"DONE"</formula>
    </cfRule>
  </conditionalFormatting>
  <conditionalFormatting sqref="J30">
    <cfRule type="cellIs" dxfId="89" priority="1" operator="equal">
      <formula>"OVERDUE"</formula>
    </cfRule>
    <cfRule type="cellIs" dxfId="88" priority="2" operator="equal">
      <formula>"DONE"</formula>
    </cfRule>
    <cfRule type="cellIs" dxfId="87" priority="3" operator="equal">
      <formula>"DONE"</formula>
    </cfRule>
  </conditionalFormatting>
  <conditionalFormatting sqref="J2:J3 J31:J1048576">
    <cfRule type="cellIs" dxfId="86" priority="82" operator="equal">
      <formula>"OVERDUE"</formula>
    </cfRule>
    <cfRule type="cellIs" dxfId="85" priority="83" operator="equal">
      <formula>"DONE"</formula>
    </cfRule>
    <cfRule type="cellIs" dxfId="84"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abSelected="1" topLeftCell="C1" workbookViewId="0">
      <pane ySplit="3" topLeftCell="A4" activePane="bottomLeft" state="frozen"/>
      <selection pane="bottomLeft" activeCell="P5" sqref="P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516</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44018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3"/>
      <c r="R3" s="164"/>
      <c r="S3" s="164"/>
      <c r="T3" s="164"/>
      <c r="U3" s="164"/>
      <c r="V3" s="164"/>
      <c r="W3" s="164"/>
      <c r="X3" s="164"/>
      <c r="Y3" s="164"/>
      <c r="Z3" s="164"/>
      <c r="AA3" s="164"/>
      <c r="AB3" s="164"/>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45" customHeight="1" x14ac:dyDescent="0.15">
      <c r="A4" s="15">
        <v>243</v>
      </c>
      <c r="B4" s="13"/>
      <c r="C4" s="16" t="s">
        <v>505</v>
      </c>
      <c r="D4" s="13" t="s">
        <v>37</v>
      </c>
      <c r="E4" s="13" t="s">
        <v>403</v>
      </c>
      <c r="F4" s="14">
        <v>44011</v>
      </c>
      <c r="G4" s="14">
        <v>44044</v>
      </c>
      <c r="H4" s="14"/>
      <c r="I4" s="14"/>
      <c r="J4" s="13" t="str">
        <f t="shared" ref="J4:J27" ca="1" si="0">IF(AND(I4&lt;=$C$2,I4&lt;&gt;0),"DONE",IF(K4&lt;0,"OVERDUE",IF(AND(K4="",O4&lt;0),"OVERDUE","IN TIME")))</f>
        <v>IN TIME</v>
      </c>
      <c r="K4" s="13" t="str">
        <f t="shared" ref="K4:K27" si="1">IF(H4&gt;0,H4-$C$2,"")</f>
        <v/>
      </c>
      <c r="L4" s="13">
        <f t="shared" ref="L4:L27" ca="1" si="2">IF(J4="OVERDUE",1,0)</f>
        <v>0</v>
      </c>
      <c r="M4" s="13">
        <f t="shared" ref="M4:M27" ca="1" si="3">IF(J4="IN TIME",1,0)</f>
        <v>1</v>
      </c>
      <c r="N4" s="13">
        <f t="shared" ref="N4:N27" ca="1" si="4">IF(J4="DONE",1,0)</f>
        <v>0</v>
      </c>
      <c r="O4" s="13">
        <f t="shared" ref="O4:O27" ca="1" si="5">IF(G4&gt;0,G4-$C$2,"")</f>
        <v>26</v>
      </c>
      <c r="P4" s="20" t="s">
        <v>519</v>
      </c>
      <c r="Q4" s="163"/>
      <c r="R4" s="164"/>
      <c r="S4" s="164"/>
      <c r="T4" s="164"/>
      <c r="U4" s="164"/>
      <c r="V4" s="164"/>
      <c r="W4" s="164"/>
      <c r="X4" s="164"/>
      <c r="Y4" s="164"/>
      <c r="Z4" s="164"/>
      <c r="AA4" s="164"/>
      <c r="AB4" s="164"/>
      <c r="AC4" s="27"/>
      <c r="AD4" s="27"/>
    </row>
    <row r="5" spans="1:246" ht="24.6" customHeight="1" x14ac:dyDescent="0.15">
      <c r="A5" s="10" t="s">
        <v>95</v>
      </c>
      <c r="B5" s="11"/>
      <c r="C5" s="16" t="s">
        <v>506</v>
      </c>
      <c r="D5" s="13" t="s">
        <v>24</v>
      </c>
      <c r="E5" s="13" t="s">
        <v>507</v>
      </c>
      <c r="F5" s="14">
        <v>44011</v>
      </c>
      <c r="G5" s="14">
        <v>44044</v>
      </c>
      <c r="H5" s="14"/>
      <c r="I5" s="14"/>
      <c r="J5" s="13" t="str">
        <f t="shared" ca="1" si="0"/>
        <v>IN TIME</v>
      </c>
      <c r="K5" s="13" t="str">
        <f t="shared" si="1"/>
        <v/>
      </c>
      <c r="L5" s="13">
        <f t="shared" ca="1" si="2"/>
        <v>0</v>
      </c>
      <c r="M5" s="13">
        <f t="shared" ca="1" si="3"/>
        <v>1</v>
      </c>
      <c r="N5" s="13">
        <f t="shared" ca="1" si="4"/>
        <v>0</v>
      </c>
      <c r="O5" s="13">
        <f t="shared" ca="1" si="5"/>
        <v>26</v>
      </c>
      <c r="P5" s="20" t="s">
        <v>520</v>
      </c>
      <c r="Q5" s="163"/>
      <c r="R5" s="164"/>
      <c r="S5" s="164"/>
      <c r="T5" s="164"/>
      <c r="U5" s="164"/>
      <c r="V5" s="164"/>
      <c r="W5" s="164"/>
      <c r="X5" s="164"/>
      <c r="Y5" s="164"/>
      <c r="Z5" s="164"/>
      <c r="AA5" s="164"/>
      <c r="AB5" s="164"/>
      <c r="AC5" s="27"/>
      <c r="AD5" s="27"/>
    </row>
    <row r="6" spans="1:246" ht="24.6" customHeight="1" x14ac:dyDescent="0.15">
      <c r="A6" s="10" t="s">
        <v>99</v>
      </c>
      <c r="B6" s="11"/>
      <c r="C6" s="16"/>
      <c r="D6" s="13" t="s">
        <v>24</v>
      </c>
      <c r="E6" s="13"/>
      <c r="F6" s="14"/>
      <c r="G6" s="14"/>
      <c r="H6" s="14"/>
      <c r="I6" s="14"/>
      <c r="J6" s="13" t="str">
        <f t="shared" ca="1" si="0"/>
        <v>IN TIME</v>
      </c>
      <c r="K6" s="13" t="str">
        <f t="shared" si="1"/>
        <v/>
      </c>
      <c r="L6" s="13">
        <f t="shared" ca="1" si="2"/>
        <v>0</v>
      </c>
      <c r="M6" s="13">
        <f t="shared" ca="1" si="3"/>
        <v>1</v>
      </c>
      <c r="N6" s="13">
        <f t="shared" ca="1" si="4"/>
        <v>0</v>
      </c>
      <c r="O6" s="13" t="str">
        <f t="shared" si="5"/>
        <v/>
      </c>
      <c r="P6" s="20"/>
      <c r="Q6" s="163"/>
      <c r="R6" s="164"/>
      <c r="S6" s="164"/>
      <c r="T6" s="164"/>
      <c r="U6" s="164"/>
      <c r="V6" s="164"/>
      <c r="W6" s="164"/>
      <c r="X6" s="164"/>
      <c r="Y6" s="164"/>
      <c r="Z6" s="164"/>
      <c r="AA6" s="164"/>
      <c r="AB6" s="164"/>
      <c r="AC6" s="27"/>
      <c r="AD6" s="27"/>
    </row>
    <row r="7" spans="1:246" ht="24.6" customHeight="1" x14ac:dyDescent="0.15">
      <c r="A7" s="15">
        <v>246</v>
      </c>
      <c r="B7" s="11"/>
      <c r="C7" s="16"/>
      <c r="D7" s="13"/>
      <c r="E7" s="13"/>
      <c r="F7" s="14"/>
      <c r="G7" s="14"/>
      <c r="H7" s="14"/>
      <c r="I7" s="14"/>
      <c r="J7" s="13"/>
      <c r="K7" s="13"/>
      <c r="L7" s="13"/>
      <c r="M7" s="13"/>
      <c r="N7" s="13"/>
      <c r="O7" s="13"/>
      <c r="P7" s="20"/>
      <c r="Q7" s="163"/>
      <c r="R7" s="164"/>
      <c r="S7" s="164"/>
      <c r="T7" s="164"/>
      <c r="U7" s="164"/>
      <c r="V7" s="164"/>
      <c r="W7" s="164"/>
      <c r="X7" s="164"/>
      <c r="Y7" s="164"/>
      <c r="Z7" s="164"/>
      <c r="AA7" s="164"/>
      <c r="AB7" s="164"/>
      <c r="AC7" s="27"/>
      <c r="AD7" s="27"/>
    </row>
    <row r="8" spans="1:246" ht="24.6" customHeight="1" x14ac:dyDescent="0.15">
      <c r="A8" s="15">
        <v>247</v>
      </c>
      <c r="B8" s="11"/>
      <c r="C8" s="16"/>
      <c r="D8" s="13"/>
      <c r="E8" s="13"/>
      <c r="F8" s="14"/>
      <c r="G8" s="14"/>
      <c r="H8" s="14"/>
      <c r="I8" s="14"/>
      <c r="J8" s="13"/>
      <c r="K8" s="13"/>
      <c r="L8" s="13"/>
      <c r="M8" s="13"/>
      <c r="N8" s="13"/>
      <c r="O8" s="13"/>
      <c r="P8" s="20"/>
      <c r="Q8" s="163"/>
      <c r="R8" s="164"/>
      <c r="S8" s="164"/>
      <c r="T8" s="164"/>
      <c r="U8" s="164"/>
      <c r="V8" s="164"/>
      <c r="W8" s="164"/>
      <c r="X8" s="164"/>
      <c r="Y8" s="164"/>
      <c r="Z8" s="164"/>
      <c r="AA8" s="164"/>
      <c r="AB8" s="164"/>
      <c r="AC8" s="27"/>
      <c r="AD8" s="27"/>
    </row>
    <row r="9" spans="1:246" ht="39" customHeight="1" x14ac:dyDescent="0.15">
      <c r="A9" s="15">
        <v>248</v>
      </c>
      <c r="B9" s="11"/>
      <c r="C9" s="12"/>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3"/>
      <c r="R9" s="164"/>
      <c r="S9" s="164"/>
      <c r="T9" s="164"/>
      <c r="U9" s="164"/>
      <c r="V9" s="164"/>
      <c r="W9" s="164"/>
      <c r="X9" s="164"/>
      <c r="Y9" s="164"/>
      <c r="Z9" s="164"/>
      <c r="AA9" s="164"/>
      <c r="AB9" s="164"/>
      <c r="AC9" s="27"/>
      <c r="AD9" s="27"/>
    </row>
    <row r="10" spans="1:246" ht="24.6" customHeight="1" x14ac:dyDescent="0.15">
      <c r="A10" s="15">
        <v>249</v>
      </c>
      <c r="B10" s="13"/>
      <c r="C10" s="12"/>
      <c r="D10" s="13"/>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63"/>
      <c r="R10" s="164"/>
      <c r="S10" s="164"/>
      <c r="T10" s="164"/>
      <c r="U10" s="164"/>
      <c r="V10" s="164"/>
      <c r="W10" s="164"/>
      <c r="X10" s="164"/>
      <c r="Y10" s="164"/>
      <c r="Z10" s="164"/>
      <c r="AA10" s="164"/>
      <c r="AB10" s="164"/>
      <c r="AC10" s="27"/>
      <c r="AD10" s="27"/>
    </row>
    <row r="11" spans="1:246" ht="24.6" customHeight="1" x14ac:dyDescent="0.15">
      <c r="A11" s="15"/>
      <c r="B11" s="11"/>
      <c r="C11" s="16"/>
      <c r="D11" s="13" t="s">
        <v>24</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63"/>
      <c r="R11" s="164"/>
      <c r="S11" s="164"/>
      <c r="T11" s="164"/>
      <c r="U11" s="164"/>
      <c r="V11" s="164"/>
      <c r="W11" s="164"/>
      <c r="X11" s="164"/>
      <c r="Y11" s="164"/>
      <c r="Z11" s="164"/>
      <c r="AA11" s="164"/>
      <c r="AB11" s="164"/>
      <c r="AC11" s="27"/>
      <c r="AD11" s="27"/>
    </row>
    <row r="12" spans="1:246" ht="24.6" customHeight="1" x14ac:dyDescent="0.15">
      <c r="A12" s="15">
        <v>251</v>
      </c>
      <c r="B12" s="11"/>
      <c r="C12" s="16"/>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74" priority="70" operator="equal">
      <formula>"OVERDUE"</formula>
    </cfRule>
    <cfRule type="cellIs" dxfId="73" priority="71" operator="equal">
      <formula>"DONE"</formula>
    </cfRule>
    <cfRule type="cellIs" dxfId="72" priority="72" operator="equal">
      <formula>"DONE"</formula>
    </cfRule>
  </conditionalFormatting>
  <conditionalFormatting sqref="J5">
    <cfRule type="cellIs" dxfId="71" priority="67" operator="equal">
      <formula>"OVERDUE"</formula>
    </cfRule>
    <cfRule type="cellIs" dxfId="70" priority="68" operator="equal">
      <formula>"DONE"</formula>
    </cfRule>
    <cfRule type="cellIs" dxfId="69" priority="69" operator="equal">
      <formula>"DONE"</formula>
    </cfRule>
  </conditionalFormatting>
  <conditionalFormatting sqref="J6">
    <cfRule type="cellIs" dxfId="68" priority="64" operator="equal">
      <formula>"OVERDUE"</formula>
    </cfRule>
    <cfRule type="cellIs" dxfId="67" priority="65" operator="equal">
      <formula>"DONE"</formula>
    </cfRule>
    <cfRule type="cellIs" dxfId="66" priority="66" operator="equal">
      <formula>"DONE"</formula>
    </cfRule>
  </conditionalFormatting>
  <conditionalFormatting sqref="J7">
    <cfRule type="cellIs" dxfId="65" priority="61" operator="equal">
      <formula>"OVERDUE"</formula>
    </cfRule>
    <cfRule type="cellIs" dxfId="64" priority="62" operator="equal">
      <formula>"DONE"</formula>
    </cfRule>
    <cfRule type="cellIs" dxfId="63" priority="63" operator="equal">
      <formula>"DONE"</formula>
    </cfRule>
  </conditionalFormatting>
  <conditionalFormatting sqref="J8">
    <cfRule type="cellIs" dxfId="62" priority="58" operator="equal">
      <formula>"OVERDUE"</formula>
    </cfRule>
    <cfRule type="cellIs" dxfId="61" priority="59" operator="equal">
      <formula>"DONE"</formula>
    </cfRule>
    <cfRule type="cellIs" dxfId="60" priority="60" operator="equal">
      <formula>"DONE"</formula>
    </cfRule>
  </conditionalFormatting>
  <conditionalFormatting sqref="J9">
    <cfRule type="cellIs" dxfId="59" priority="55" operator="equal">
      <formula>"OVERDUE"</formula>
    </cfRule>
    <cfRule type="cellIs" dxfId="58" priority="56" operator="equal">
      <formula>"DONE"</formula>
    </cfRule>
    <cfRule type="cellIs" dxfId="57" priority="57" operator="equal">
      <formula>"DONE"</formula>
    </cfRule>
  </conditionalFormatting>
  <conditionalFormatting sqref="J10">
    <cfRule type="cellIs" dxfId="56" priority="52" operator="equal">
      <formula>"OVERDUE"</formula>
    </cfRule>
    <cfRule type="cellIs" dxfId="55" priority="53" operator="equal">
      <formula>"DONE"</formula>
    </cfRule>
    <cfRule type="cellIs" dxfId="54" priority="54" operator="equal">
      <formula>"DONE"</formula>
    </cfRule>
  </conditionalFormatting>
  <conditionalFormatting sqref="J11">
    <cfRule type="cellIs" dxfId="53" priority="49" operator="equal">
      <formula>"OVERDUE"</formula>
    </cfRule>
    <cfRule type="cellIs" dxfId="52" priority="50" operator="equal">
      <formula>"DONE"</formula>
    </cfRule>
    <cfRule type="cellIs" dxfId="51" priority="51" operator="equal">
      <formula>"DONE"</formula>
    </cfRule>
  </conditionalFormatting>
  <conditionalFormatting sqref="J12">
    <cfRule type="cellIs" dxfId="50" priority="46" operator="equal">
      <formula>"OVERDUE"</formula>
    </cfRule>
    <cfRule type="cellIs" dxfId="49" priority="47" operator="equal">
      <formula>"DONE"</formula>
    </cfRule>
    <cfRule type="cellIs" dxfId="48" priority="48" operator="equal">
      <formula>"DONE"</formula>
    </cfRule>
  </conditionalFormatting>
  <conditionalFormatting sqref="J13">
    <cfRule type="cellIs" dxfId="47" priority="43" operator="equal">
      <formula>"OVERDUE"</formula>
    </cfRule>
    <cfRule type="cellIs" dxfId="46" priority="44" operator="equal">
      <formula>"DONE"</formula>
    </cfRule>
    <cfRule type="cellIs" dxfId="45" priority="45" operator="equal">
      <formula>"DONE"</formula>
    </cfRule>
  </conditionalFormatting>
  <conditionalFormatting sqref="J14">
    <cfRule type="cellIs" dxfId="44" priority="40" operator="equal">
      <formula>"OVERDUE"</formula>
    </cfRule>
    <cfRule type="cellIs" dxfId="43" priority="41" operator="equal">
      <formula>"DONE"</formula>
    </cfRule>
    <cfRule type="cellIs" dxfId="42" priority="42" operator="equal">
      <formula>"DONE"</formula>
    </cfRule>
  </conditionalFormatting>
  <conditionalFormatting sqref="J15">
    <cfRule type="cellIs" dxfId="41" priority="37" operator="equal">
      <formula>"OVERDUE"</formula>
    </cfRule>
    <cfRule type="cellIs" dxfId="40" priority="38" operator="equal">
      <formula>"DONE"</formula>
    </cfRule>
    <cfRule type="cellIs" dxfId="39" priority="39" operator="equal">
      <formula>"DONE"</formula>
    </cfRule>
  </conditionalFormatting>
  <conditionalFormatting sqref="J16">
    <cfRule type="cellIs" dxfId="38" priority="34" operator="equal">
      <formula>"OVERDUE"</formula>
    </cfRule>
    <cfRule type="cellIs" dxfId="37" priority="35" operator="equal">
      <formula>"DONE"</formula>
    </cfRule>
    <cfRule type="cellIs" dxfId="36" priority="36" operator="equal">
      <formula>"DONE"</formula>
    </cfRule>
  </conditionalFormatting>
  <conditionalFormatting sqref="J17">
    <cfRule type="cellIs" dxfId="35" priority="31" operator="equal">
      <formula>"OVERDUE"</formula>
    </cfRule>
    <cfRule type="cellIs" dxfId="34" priority="32" operator="equal">
      <formula>"DONE"</formula>
    </cfRule>
    <cfRule type="cellIs" dxfId="33" priority="33" operator="equal">
      <formula>"DONE"</formula>
    </cfRule>
  </conditionalFormatting>
  <conditionalFormatting sqref="J18">
    <cfRule type="cellIs" dxfId="32" priority="28" operator="equal">
      <formula>"OVERDUE"</formula>
    </cfRule>
    <cfRule type="cellIs" dxfId="31" priority="29" operator="equal">
      <formula>"DONE"</formula>
    </cfRule>
    <cfRule type="cellIs" dxfId="30" priority="30" operator="equal">
      <formula>"DONE"</formula>
    </cfRule>
  </conditionalFormatting>
  <conditionalFormatting sqref="J19">
    <cfRule type="cellIs" dxfId="29" priority="25" operator="equal">
      <formula>"OVERDUE"</formula>
    </cfRule>
    <cfRule type="cellIs" dxfId="28" priority="26" operator="equal">
      <formula>"DONE"</formula>
    </cfRule>
    <cfRule type="cellIs" dxfId="27" priority="27" operator="equal">
      <formula>"DONE"</formula>
    </cfRule>
  </conditionalFormatting>
  <conditionalFormatting sqref="J20">
    <cfRule type="cellIs" dxfId="26" priority="22" operator="equal">
      <formula>"OVERDUE"</formula>
    </cfRule>
    <cfRule type="cellIs" dxfId="25" priority="23" operator="equal">
      <formula>"DONE"</formula>
    </cfRule>
    <cfRule type="cellIs" dxfId="24" priority="24" operator="equal">
      <formula>"DONE"</formula>
    </cfRule>
  </conditionalFormatting>
  <conditionalFormatting sqref="J21">
    <cfRule type="cellIs" dxfId="23" priority="19" operator="equal">
      <formula>"OVERDUE"</formula>
    </cfRule>
    <cfRule type="cellIs" dxfId="22" priority="20" operator="equal">
      <formula>"DONE"</formula>
    </cfRule>
    <cfRule type="cellIs" dxfId="21" priority="21" operator="equal">
      <formula>"DONE"</formula>
    </cfRule>
  </conditionalFormatting>
  <conditionalFormatting sqref="J22">
    <cfRule type="cellIs" dxfId="20" priority="16" operator="equal">
      <formula>"OVERDUE"</formula>
    </cfRule>
    <cfRule type="cellIs" dxfId="19" priority="17" operator="equal">
      <formula>"DONE"</formula>
    </cfRule>
    <cfRule type="cellIs" dxfId="18" priority="18" operator="equal">
      <formula>"DONE"</formula>
    </cfRule>
  </conditionalFormatting>
  <conditionalFormatting sqref="J23">
    <cfRule type="cellIs" dxfId="17" priority="13" operator="equal">
      <formula>"OVERDUE"</formula>
    </cfRule>
    <cfRule type="cellIs" dxfId="16" priority="14" operator="equal">
      <formula>"DONE"</formula>
    </cfRule>
    <cfRule type="cellIs" dxfId="15" priority="15" operator="equal">
      <formula>"DONE"</formula>
    </cfRule>
  </conditionalFormatting>
  <conditionalFormatting sqref="J24">
    <cfRule type="cellIs" dxfId="14" priority="10" operator="equal">
      <formula>"OVERDUE"</formula>
    </cfRule>
    <cfRule type="cellIs" dxfId="13" priority="11" operator="equal">
      <formula>"DONE"</formula>
    </cfRule>
    <cfRule type="cellIs" dxfId="12" priority="12" operator="equal">
      <formula>"DONE"</formula>
    </cfRule>
  </conditionalFormatting>
  <conditionalFormatting sqref="J25">
    <cfRule type="cellIs" dxfId="11" priority="7" operator="equal">
      <formula>"OVERDUE"</formula>
    </cfRule>
    <cfRule type="cellIs" dxfId="10" priority="8" operator="equal">
      <formula>"DONE"</formula>
    </cfRule>
    <cfRule type="cellIs" dxfId="9" priority="9" operator="equal">
      <formula>"DONE"</formula>
    </cfRule>
  </conditionalFormatting>
  <conditionalFormatting sqref="J26">
    <cfRule type="cellIs" dxfId="8" priority="4" operator="equal">
      <formula>"OVERDUE"</formula>
    </cfRule>
    <cfRule type="cellIs" dxfId="7" priority="5" operator="equal">
      <formula>"DONE"</formula>
    </cfRule>
    <cfRule type="cellIs" dxfId="6" priority="6" operator="equal">
      <formula>"DONE"</formula>
    </cfRule>
  </conditionalFormatting>
  <conditionalFormatting sqref="J27">
    <cfRule type="cellIs" dxfId="5" priority="1" operator="equal">
      <formula>"OVERDUE"</formula>
    </cfRule>
    <cfRule type="cellIs" dxfId="4" priority="2" operator="equal">
      <formula>"DONE"</formula>
    </cfRule>
    <cfRule type="cellIs" dxfId="3" priority="3" operator="equal">
      <formula>"DONE"</formula>
    </cfRule>
  </conditionalFormatting>
  <conditionalFormatting sqref="J2:J3 J28:J1048576">
    <cfRule type="cellIs" dxfId="2" priority="82" operator="equal">
      <formula>"OVERDUE"</formula>
    </cfRule>
    <cfRule type="cellIs" dxfId="1" priority="83" operator="equal">
      <formula>"DONE"</formula>
    </cfRule>
    <cfRule type="cellIs" dxfId="0"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458</v>
      </c>
      <c r="C1" s="140"/>
      <c r="D1" s="140"/>
      <c r="E1" s="140"/>
      <c r="F1" s="140"/>
      <c r="G1" s="140"/>
      <c r="H1" s="140"/>
      <c r="I1" s="140"/>
      <c r="J1" s="140"/>
      <c r="K1" s="140"/>
      <c r="L1" s="140"/>
      <c r="M1" s="140"/>
      <c r="N1" s="140"/>
    </row>
    <row r="2" spans="1:14" ht="28.5" customHeight="1" x14ac:dyDescent="0.15">
      <c r="A2" s="140"/>
      <c r="B2" s="141" t="s">
        <v>457</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456</v>
      </c>
      <c r="C18" s="138"/>
      <c r="D18" s="137"/>
      <c r="I18" s="132"/>
      <c r="K18" s="132"/>
      <c r="M18" s="132"/>
      <c r="N18" s="131"/>
    </row>
    <row r="19" spans="2:14" ht="24" customHeight="1" x14ac:dyDescent="0.35">
      <c r="B19" s="136" t="s">
        <v>119</v>
      </c>
      <c r="C19" s="136" t="s">
        <v>362</v>
      </c>
      <c r="D19" s="135" t="s">
        <v>455</v>
      </c>
      <c r="E19" s="135" t="s">
        <v>454</v>
      </c>
      <c r="I19" s="132"/>
      <c r="K19" s="132"/>
      <c r="L19" s="134"/>
      <c r="M19" s="132"/>
      <c r="N19" s="131"/>
    </row>
    <row r="20" spans="2:14" ht="19.5" customHeight="1" x14ac:dyDescent="0.35">
      <c r="B20" s="128">
        <v>43647</v>
      </c>
      <c r="C20" s="127" t="s">
        <v>464</v>
      </c>
      <c r="D20" s="130">
        <v>30</v>
      </c>
      <c r="E20" s="133">
        <f>1</f>
        <v>1</v>
      </c>
      <c r="I20" s="132"/>
      <c r="K20" s="132"/>
      <c r="M20" s="132"/>
      <c r="N20" s="131"/>
    </row>
    <row r="21" spans="2:14" ht="19.5" customHeight="1" x14ac:dyDescent="0.35">
      <c r="B21" s="128">
        <v>43727</v>
      </c>
      <c r="C21" s="127" t="s">
        <v>465</v>
      </c>
      <c r="D21" s="130">
        <v>-25</v>
      </c>
      <c r="E21" s="133">
        <f>1</f>
        <v>1</v>
      </c>
      <c r="I21" s="132"/>
      <c r="K21" s="132"/>
      <c r="L21" s="134"/>
      <c r="M21" s="132"/>
      <c r="N21" s="131"/>
    </row>
    <row r="22" spans="2:14" ht="61.5" customHeight="1" x14ac:dyDescent="0.35">
      <c r="B22" s="128">
        <v>43767</v>
      </c>
      <c r="C22" s="143" t="s">
        <v>469</v>
      </c>
      <c r="D22" s="130">
        <v>5</v>
      </c>
      <c r="E22" s="133">
        <f>1</f>
        <v>1</v>
      </c>
      <c r="I22" s="132"/>
      <c r="K22" s="132"/>
      <c r="M22" s="132"/>
      <c r="N22" s="131"/>
    </row>
    <row r="23" spans="2:14" ht="19.5" customHeight="1" x14ac:dyDescent="0.35">
      <c r="B23" s="128">
        <v>43807</v>
      </c>
      <c r="C23" s="127" t="s">
        <v>459</v>
      </c>
      <c r="D23" s="130">
        <v>-15</v>
      </c>
      <c r="E23" s="133">
        <f>1</f>
        <v>1</v>
      </c>
      <c r="I23" s="132"/>
      <c r="K23" s="132"/>
      <c r="M23" s="132"/>
      <c r="N23" s="131"/>
    </row>
    <row r="24" spans="2:14" ht="19.5" customHeight="1" x14ac:dyDescent="0.35">
      <c r="B24" s="128">
        <v>43847</v>
      </c>
      <c r="C24" s="127" t="s">
        <v>460</v>
      </c>
      <c r="D24" s="130">
        <v>20</v>
      </c>
      <c r="E24" s="133">
        <f>1</f>
        <v>1</v>
      </c>
      <c r="I24" s="132"/>
      <c r="K24" s="132"/>
      <c r="M24" s="132"/>
      <c r="N24" s="131"/>
    </row>
    <row r="25" spans="2:14" ht="54" customHeight="1" x14ac:dyDescent="0.35">
      <c r="B25" s="128">
        <v>43907</v>
      </c>
      <c r="C25" s="143" t="s">
        <v>461</v>
      </c>
      <c r="D25" s="130">
        <v>-30</v>
      </c>
      <c r="E25" s="133">
        <f>1</f>
        <v>1</v>
      </c>
      <c r="I25" s="132"/>
      <c r="K25" s="132"/>
      <c r="M25" s="132"/>
      <c r="N25" s="131"/>
    </row>
    <row r="26" spans="2:14" ht="19.5" customHeight="1" x14ac:dyDescent="0.35">
      <c r="B26" s="128">
        <v>43922</v>
      </c>
      <c r="C26" s="127" t="s">
        <v>470</v>
      </c>
      <c r="D26" s="130">
        <v>10</v>
      </c>
      <c r="E26" s="127">
        <f>1</f>
        <v>1</v>
      </c>
      <c r="I26" s="132"/>
      <c r="K26" s="132"/>
      <c r="M26" s="132"/>
      <c r="N26" s="131"/>
    </row>
    <row r="27" spans="2:14" ht="19.5" customHeight="1" x14ac:dyDescent="0.15">
      <c r="B27" s="128">
        <v>43947</v>
      </c>
      <c r="C27" s="127" t="s">
        <v>462</v>
      </c>
      <c r="D27" s="130">
        <v>-15</v>
      </c>
      <c r="E27" s="133">
        <f>1</f>
        <v>1</v>
      </c>
    </row>
    <row r="28" spans="2:14" ht="19.5" customHeight="1" x14ac:dyDescent="0.15">
      <c r="B28" s="128">
        <v>43966</v>
      </c>
      <c r="C28" s="127" t="s">
        <v>463</v>
      </c>
      <c r="D28" s="130">
        <v>20</v>
      </c>
      <c r="E28" s="125">
        <f>1</f>
        <v>1</v>
      </c>
    </row>
    <row r="29" spans="2:14" ht="19.5" customHeight="1" x14ac:dyDescent="0.15">
      <c r="B29" s="128">
        <v>43995</v>
      </c>
      <c r="C29" s="127" t="s">
        <v>475</v>
      </c>
      <c r="D29" s="130">
        <v>-25</v>
      </c>
      <c r="E29" s="125">
        <f>1</f>
        <v>1</v>
      </c>
      <c r="H29" s="129"/>
    </row>
    <row r="30" spans="2:14" ht="19.5" customHeight="1" x14ac:dyDescent="0.15">
      <c r="B30" s="128">
        <v>44044</v>
      </c>
      <c r="C30" s="127" t="s">
        <v>468</v>
      </c>
      <c r="D30" s="130">
        <v>30</v>
      </c>
      <c r="E30" s="145">
        <f>1</f>
        <v>1</v>
      </c>
      <c r="H30" s="129"/>
    </row>
    <row r="31" spans="2:14" ht="89.25" customHeight="1" x14ac:dyDescent="0.15">
      <c r="B31" s="128">
        <v>44075</v>
      </c>
      <c r="C31" s="143" t="s">
        <v>479</v>
      </c>
      <c r="D31" s="130">
        <v>-25</v>
      </c>
      <c r="E31" s="125">
        <f>1</f>
        <v>1</v>
      </c>
    </row>
    <row r="32" spans="2:14" ht="19.5" customHeight="1" x14ac:dyDescent="0.15">
      <c r="B32" s="128">
        <v>44127</v>
      </c>
      <c r="C32" s="127" t="s">
        <v>466</v>
      </c>
      <c r="D32" s="126">
        <v>-10</v>
      </c>
      <c r="E32" s="125">
        <f>1</f>
        <v>1</v>
      </c>
    </row>
    <row r="33" spans="2:5" ht="73.5" customHeight="1" x14ac:dyDescent="0.15">
      <c r="B33" s="128">
        <v>44165</v>
      </c>
      <c r="C33" s="143" t="s">
        <v>480</v>
      </c>
      <c r="D33" s="126">
        <v>10</v>
      </c>
      <c r="E33" s="145">
        <f>1</f>
        <v>1</v>
      </c>
    </row>
    <row r="34" spans="2:5" ht="19.5" customHeight="1" x14ac:dyDescent="0.15">
      <c r="B34" s="128">
        <v>44196</v>
      </c>
      <c r="C34" s="127" t="s">
        <v>478</v>
      </c>
      <c r="D34" s="126">
        <v>-25</v>
      </c>
      <c r="E34" s="125">
        <f>1</f>
        <v>1</v>
      </c>
    </row>
    <row r="35" spans="2:5" ht="19.5" customHeight="1" x14ac:dyDescent="0.15">
      <c r="B35" s="128">
        <v>44226</v>
      </c>
      <c r="C35" s="127" t="s">
        <v>476</v>
      </c>
      <c r="D35" s="126">
        <v>30</v>
      </c>
      <c r="E35" s="145">
        <f>1</f>
        <v>1</v>
      </c>
    </row>
    <row r="36" spans="2:5" ht="19.5" customHeight="1" x14ac:dyDescent="0.15">
      <c r="B36" s="128" t="s">
        <v>471</v>
      </c>
      <c r="C36" s="127" t="s">
        <v>477</v>
      </c>
      <c r="D36" s="126">
        <v>-15</v>
      </c>
      <c r="E36" s="145">
        <f>1</f>
        <v>1</v>
      </c>
    </row>
    <row r="37" spans="2:5" ht="19.5" customHeight="1" x14ac:dyDescent="0.15">
      <c r="B37" s="128">
        <v>44285</v>
      </c>
      <c r="C37" s="127" t="s">
        <v>473</v>
      </c>
      <c r="D37" s="126">
        <v>5</v>
      </c>
      <c r="E37" s="145">
        <f>1</f>
        <v>1</v>
      </c>
    </row>
    <row r="38" spans="2:5" ht="19.5" customHeight="1" x14ac:dyDescent="0.15">
      <c r="B38" s="128">
        <v>44316</v>
      </c>
      <c r="C38" s="127" t="s">
        <v>474</v>
      </c>
      <c r="D38" s="126">
        <v>-25</v>
      </c>
      <c r="E38" s="145">
        <f>1</f>
        <v>1</v>
      </c>
    </row>
    <row r="39" spans="2:5" ht="19.5" customHeight="1" x14ac:dyDescent="0.15">
      <c r="B39" s="128">
        <v>44285</v>
      </c>
      <c r="C39" s="127" t="s">
        <v>472</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21</vt:i4>
      </vt:variant>
    </vt:vector>
  </HeadingPairs>
  <TitlesOfParts>
    <vt:vector size="30" baseType="lpstr">
      <vt:lpstr>framework</vt:lpstr>
      <vt:lpstr>opengl</vt:lpstr>
      <vt:lpstr>other</vt:lpstr>
      <vt:lpstr>newbrush SDK总任务表</vt:lpstr>
      <vt:lpstr>newbrush studio总任务表</vt:lpstr>
      <vt:lpstr>newbrush SDK详细任务跟进</vt:lpstr>
      <vt:lpstr>newbrush studio详细任务跟进</vt:lpstr>
      <vt:lpstr>倒车轨迹线线OpenGL方案</vt:lpstr>
      <vt:lpstr>项目时间表</vt:lpstr>
      <vt:lpstr>'newbrush studio总任务表'!Display_Week</vt:lpstr>
      <vt:lpstr>Display_Week</vt:lpstr>
      <vt:lpstr>'newbrush SDK详细任务跟进'!EOI</vt:lpstr>
      <vt:lpstr>'newbrush studio详细任务跟进'!EOI</vt:lpstr>
      <vt:lpstr>opengl!EOI</vt:lpstr>
      <vt:lpstr>other!EOI</vt:lpstr>
      <vt:lpstr>倒车轨迹线线OpenGL方案!EOI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2020-07-06T02:13:26Z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