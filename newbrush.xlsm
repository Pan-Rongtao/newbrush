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t-newbrush\"/>
    </mc:Choice>
  </mc:AlternateContent>
  <bookViews>
    <workbookView xWindow="0" yWindow="0" windowWidth="0" windowHeight="17490" firstSheet="6" activeTab="6"/>
  </bookViews>
  <sheets>
    <sheet name="newbrush SDK总任务表" sheetId="10" r:id="rId1"/>
    <sheet name="项目时间表" sheetId="16" r:id="rId2"/>
    <sheet name="newbrush studio总任务表" sheetId="15" r:id="rId3"/>
    <sheet name="framework" sheetId="5" state="hidden" r:id="rId4"/>
    <sheet name="opengl" sheetId="7" state="hidden" r:id="rId5"/>
    <sheet name="other" sheetId="9" state="hidden" r:id="rId6"/>
    <sheet name="newbrush SDK详细任务跟进" sheetId="8" r:id="rId7"/>
    <sheet name="newbrush studio详细任务跟进" sheetId="12" r:id="rId8"/>
    <sheet name="倒车轨迹线线OpenGL方案" sheetId="17" r:id="rId9"/>
  </sheets>
  <externalReferences>
    <externalReference r:id="rId10"/>
  </externalReferences>
  <definedNames>
    <definedName name="_xlnm._FilterDatabase" localSheetId="3" hidden="1">framework!$A$3:$P$18</definedName>
    <definedName name="_xlnm._FilterDatabase" localSheetId="6" hidden="1">'newbrush SDK详细任务跟进'!$A$3:$P$30</definedName>
    <definedName name="_xlnm._FilterDatabase" localSheetId="7" hidden="1">'newbrush studio详细任务跟进'!$A$3:$P$30</definedName>
    <definedName name="_xlnm._FilterDatabase" localSheetId="4" hidden="1">opengl!$A$3:$P$14</definedName>
    <definedName name="_xlnm._FilterDatabase" localSheetId="5" hidden="1">other!$A$3:$P$15</definedName>
    <definedName name="_xlnm._FilterDatabase" localSheetId="8" hidden="1">倒车轨迹线线OpenGL方案!$A$3:$P$27</definedName>
    <definedName name="ActualBeyond" localSheetId="7">'newbrush studio详细任务跟进'!PeriodInActual*(#REF!&gt;0)</definedName>
    <definedName name="ActualBeyond" localSheetId="2">'newbrush studio总任务表'!PeriodInActual*(#REF!&gt;0)</definedName>
    <definedName name="ActualBeyond" localSheetId="8">倒车轨迹线线OpenGL方案!PeriodInActual*(#REF!&gt;0)</definedName>
    <definedName name="ActualBeyond">PeriodInActual*(#REF!&gt;0)</definedName>
    <definedName name="Display_Week" localSheetId="2">'newbrush studio总任务表'!$E$4</definedName>
    <definedName name="Display_Week">'newbrush SDK总任务表'!$E$4</definedName>
    <definedName name="EOI" localSheetId="6">'newbrush SDK详细任务跟进'!$A$48</definedName>
    <definedName name="EOI" localSheetId="7">'newbrush studio详细任务跟进'!$A$31</definedName>
    <definedName name="EOI" localSheetId="4">opengl!$A$15</definedName>
    <definedName name="EOI" localSheetId="5">other!$A$16</definedName>
    <definedName name="EOI" localSheetId="8">倒车轨迹线线OpenGL方案!$A$28</definedName>
    <definedName name="EOI">framework!$A$22</definedName>
    <definedName name="EOS" localSheetId="0">#REF!</definedName>
    <definedName name="EOS" localSheetId="7">#REF!</definedName>
    <definedName name="EOS" localSheetId="2">#REF!</definedName>
    <definedName name="EOS" localSheetId="8">#REF!</definedName>
    <definedName name="EOS">#REF!</definedName>
    <definedName name="EOT" localSheetId="0">#REF!</definedName>
    <definedName name="EOT" localSheetId="7">#REF!</definedName>
    <definedName name="EOT" localSheetId="2">#REF!</definedName>
    <definedName name="EOT" localSheetId="8">#REF!</definedName>
    <definedName name="EOT">#REF!</definedName>
    <definedName name="PercentComplete" localSheetId="7">'newbrush studio详细任务跟进'!PercentCompleteBeyond*'newbrush studio详细任务跟进'!PeriodInPlan</definedName>
    <definedName name="PercentComplete" localSheetId="2">'newbrush studio总任务表'!PercentCompleteBeyond*'newbrush studio总任务表'!PeriodInPlan</definedName>
    <definedName name="PercentComplete" localSheetId="8">倒车轨迹线线OpenGL方案!PercentCompleteBeyond*倒车轨迹线线OpenGL方案!PeriodInPlan</definedName>
    <definedName name="PercentComplete">PercentCompleteBeyond*PeriodInPlan</definedName>
    <definedName name="PercentCompleteBeyond" localSheetId="7">(#REF!=MEDIAN(#REF!,#REF!,#REF!+#REF!)*(#REF!&gt;0))*((#REF!&lt;(INT(#REF!+#REF!*#REF!)))+(#REF!=#REF!))*(#REF!&gt;0)</definedName>
    <definedName name="PercentCompleteBeyond" localSheetId="2">(#REF!=MEDIAN(#REF!,#REF!,#REF!+#REF!)*(#REF!&gt;0))*((#REF!&lt;(INT(#REF!+#REF!*#REF!)))+(#REF!=#REF!))*(#REF!&gt;0)</definedName>
    <definedName name="PercentCompleteBeyond" localSheetId="8">(#REF!=MEDIAN(#REF!,#REF!,#REF!+#REF!)*(#REF!&gt;0))*((#REF!&lt;(INT(#REF!+#REF!*#REF!)))+(#REF!=#REF!))*(#REF!&gt;0)</definedName>
    <definedName name="PercentCompleteBeyond">(#REF!=MEDIAN(#REF!,#REF!,#REF!+#REF!)*(#REF!&gt;0))*((#REF!&lt;(INT(#REF!+#REF!*#REF!)))+(#REF!=#REF!))*(#REF!&gt;0)</definedName>
    <definedName name="period_selected" localSheetId="7">#REF!</definedName>
    <definedName name="period_selected" localSheetId="2">#REF!</definedName>
    <definedName name="period_selected" localSheetId="8">#REF!</definedName>
    <definedName name="period_selected">#REF!</definedName>
    <definedName name="PeriodInActual" localSheetId="7">#REF!=MEDIAN(#REF!,#REF!,#REF!+#REF!-1)</definedName>
    <definedName name="PeriodInActual" localSheetId="2">#REF!=MEDIAN(#REF!,#REF!,#REF!+#REF!-1)</definedName>
    <definedName name="PeriodInActual" localSheetId="8">#REF!=MEDIAN(#REF!,#REF!,#REF!+#REF!-1)</definedName>
    <definedName name="PeriodInActual">#REF!=MEDIAN(#REF!,#REF!,#REF!+#REF!-1)</definedName>
    <definedName name="PeriodInPlan" localSheetId="7">#REF!=MEDIAN(#REF!,#REF!,#REF!+#REF!-1)</definedName>
    <definedName name="PeriodInPlan" localSheetId="2">#REF!=MEDIAN(#REF!,#REF!,#REF!+#REF!-1)</definedName>
    <definedName name="PeriodInPlan" localSheetId="8">#REF!=MEDIAN(#REF!,#REF!,#REF!+#REF!-1)</definedName>
    <definedName name="PeriodInPlan">#REF!=MEDIAN(#REF!,#REF!,#REF!+#REF!-1)</definedName>
    <definedName name="_xlnm.Print_Area" localSheetId="1">项目时间表!$A$1:$N$17</definedName>
    <definedName name="_xlnm.Print_Titles" localSheetId="0">'newbrush SDK总任务表'!$4:$6</definedName>
    <definedName name="_xlnm.Print_Titles" localSheetId="2">'newbrush studio总任务表'!$4:$6</definedName>
    <definedName name="Project_Start" localSheetId="2">'newbrush studio总任务表'!$E$3</definedName>
    <definedName name="Project_Start">'newbrush SDK总任务表'!$E$3</definedName>
    <definedName name="ProjectEnd" localSheetId="8">#REF!</definedName>
    <definedName name="ProjectEnd" localSheetId="1">项目时间表!$L$21</definedName>
    <definedName name="ProjectEnd">#REF!</definedName>
    <definedName name="ProjectStart" localSheetId="8">#REF!</definedName>
    <definedName name="ProjectStart" localSheetId="1">项目时间表!$L$19</definedName>
    <definedName name="ProjectStart">#REF!</definedName>
    <definedName name="task_end" localSheetId="0">'newbrush SDK总任务表'!$F1</definedName>
    <definedName name="task_end" localSheetId="2">'newbrush studio总任务表'!$F1</definedName>
    <definedName name="task_progress" localSheetId="0">'newbrush SDK总任务表'!$D1</definedName>
    <definedName name="task_progress" localSheetId="2">'newbrush studio总任务表'!$D1</definedName>
    <definedName name="task_start" localSheetId="0">'newbrush SDK总任务表'!$E1</definedName>
    <definedName name="task_start" localSheetId="2">'newbrush studio总任务表'!$E1</definedName>
    <definedName name="TitleRegion..BO60" localSheetId="7">#REF!</definedName>
    <definedName name="TitleRegion..BO60" localSheetId="2">#REF!</definedName>
    <definedName name="TitleRegion..BO60" localSheetId="8">#REF!</definedName>
    <definedName name="TitleRegion..BO60">#REF!</definedName>
    <definedName name="计划" localSheetId="7">'newbrush studio详细任务跟进'!PeriodInPlan*(#REF!&gt;0)</definedName>
    <definedName name="计划" localSheetId="2">'newbrush studio总任务表'!PeriodInPlan*(#REF!&gt;0)</definedName>
    <definedName name="计划" localSheetId="8">倒车轨迹线线OpenGL方案!PeriodInPlan*(#REF!&gt;0)</definedName>
    <definedName name="计划">PeriodInPlan*(#REF!&gt;0)</definedName>
    <definedName name="今天" localSheetId="0">TODAY()</definedName>
    <definedName name="今天" localSheetId="2">TODAY()</definedName>
    <definedName name="实际值" localSheetId="7">('newbrush studio详细任务跟进'!PeriodInActual*(#REF!&gt;0))*'newbrush studio详细任务跟进'!PeriodInPlan</definedName>
    <definedName name="实际值" localSheetId="2">('newbrush studio总任务表'!PeriodInActual*(#REF!&gt;0))*'newbrush studio总任务表'!PeriodInPlan</definedName>
    <definedName name="实际值" localSheetId="8">(倒车轨迹线线OpenGL方案!PeriodInActual*(#REF!&gt;0))*倒车轨迹线线OpenGL方案!PeriodInPlan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21" i="5" l="1"/>
  <c r="K21" i="5"/>
  <c r="O20" i="5"/>
  <c r="K20" i="5"/>
  <c r="O19" i="5"/>
  <c r="K19" i="5"/>
  <c r="K35" i="8" l="1"/>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19" i="17" s="1"/>
  <c r="M19" i="17" l="1"/>
  <c r="L19" i="17"/>
  <c r="N19" i="17"/>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4" i="17" l="1"/>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K18" i="5"/>
  <c r="K17" i="5"/>
  <c r="K16" i="5"/>
  <c r="K15" i="5"/>
  <c r="K14" i="5"/>
  <c r="C2" i="5"/>
  <c r="O18" i="5" s="1"/>
  <c r="J41" i="8" l="1"/>
  <c r="J44" i="8"/>
  <c r="J38" i="8"/>
  <c r="J39" i="8"/>
  <c r="J36" i="8"/>
  <c r="J37" i="8"/>
  <c r="J20" i="5"/>
  <c r="N20" i="5" s="1"/>
  <c r="J21" i="5"/>
  <c r="O17" i="5"/>
  <c r="J19" i="5"/>
  <c r="O35" i="8"/>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L20" i="5" l="1"/>
  <c r="M20" i="5"/>
  <c r="N21" i="5"/>
  <c r="M21" i="5"/>
  <c r="L21" i="5"/>
  <c r="N19" i="5"/>
  <c r="L19" i="5"/>
  <c r="M19" i="5"/>
  <c r="M35" i="8"/>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<sst xmlns="http://schemas.openxmlformats.org/spreadsheetml/2006/main" count="1087" uniqueCount="559">
  <si>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</si>
  <si>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</si>
  <si>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</si>
  <si>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</si>
  <si>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</si>
  <si>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</si>
  <si>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</si>
  <si>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</si>
  <si>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</si>
  <si>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</si>
  <si>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</si>
  <si>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</si>
  <si>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</si>
  <si>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</si>
  <si>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</si>
  <si>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</si>
  <si>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</si>
  <si>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</si>
  <si>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</si>
  <si>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</si>
  <si>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</si>
  <si>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</si>
  <si>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</si>
  <si>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</si>
  <si>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</si>
  <si>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</si>
  <si>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</si>
  <si>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</si>
  <si>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</si>
  <si>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</si>
  <si>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</si>
  <si>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</si>
  <si>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</si>
  <si>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</si>
  <si>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</si>
  <si>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</si>
  <si>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</si>
  <si>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</si>
  <si>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</si>
  <si>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</si>
  <si>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</si>
  <si>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</si>
  <si>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</si>
  <si>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</si>
  <si>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</si>
  <si>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</si>
  <si>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</si>
  <si>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</si>
  <si>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</si>
  <si>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</si>
  <si>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</si>
  <si>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</si>
  <si>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</si>
  <si>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</si>
  <si>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</si>
  <si>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</si>
  <si>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</si>
  <si>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</si>
  <si>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</si>
  <si>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</si>
  <si>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</si>
  <si>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</si>
  <si>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</si>
  <si>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</si>
  <si>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</si>
  <si>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</si>
  <si>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</si>
  <si>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</si>
  <si>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</si>
  <si>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</si>
  <si>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</si>
  <si>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</si>
  <si>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</si>
  <si>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</si>
  <si>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</si>
  <si>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</si>
  <si>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</si>
  <si>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</si>
  <si>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</si>
  <si>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</si>
  <si>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</si>
  <si>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</si>
  <si>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</si>
  <si>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</si>
  <si>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</si>
  <si>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</si>
  <si>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</si>
  <si>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</si>
  <si>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</si>
  <si>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</si>
  <si>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</si>
  <si>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</si>
  <si>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</si>
  <si>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</si>
  <si>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</si>
  <si>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</si>
  <si>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</si>
  <si>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</si>
  <si>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</si>
  <si>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</si>
  <si>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</si>
  <si>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</si>
  <si>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</si>
  <si>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</si>
  <si>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</si>
  <si>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</si>
  <si>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</si>
  <si>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</si>
  <si>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</si>
  <si>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</si>
  <si>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</si>
  <si>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</si>
  <si>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</si>
  <si>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</si>
  <si>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</si>
  <si>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</si>
  <si>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</si>
  <si>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</si>
  <si>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</si>
  <si>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</si>
  <si>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</si>
  <si>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</si>
  <si>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</si>
  <si>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</si>
  <si>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</si>
  <si>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</si>
  <si>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</si>
  <si>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</si>
  <si>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</si>
  <si>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</si>
  <si>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</si>
  <si>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</si>
  <si>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</si>
  <si>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</si>
  <si>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</si>
  <si>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</si>
  <si>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</si>
  <si>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</si>
  <si>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</si>
  <si>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</si>
  <si>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</si>
  <si>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</si>
  <si>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</si>
  <si>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</si>
  <si>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</si>
  <si>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</si>
  <si>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</si>
  <si>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</si>
  <si>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</si>
  <si>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</si>
  <si>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</si>
  <si>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</si>
  <si>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</si>
  <si>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</si>
  <si>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</si>
  <si>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</si>
  <si>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</si>
  <si>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</si>
  <si>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</si>
  <si>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</si>
  <si>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</si>
  <si>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</si>
  <si>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</si>
  <si>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</si>
  <si>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</si>
  <si>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</si>
  <si>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</si>
  <si>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</si>
  <si>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</si>
  <si>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</si>
  <si>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</si>
  <si>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</si>
  <si>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</si>
  <si>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</si>
  <si>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</si>
  <si>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</si>
  <si>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</si>
  <si>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</si>
  <si>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</si>
  <si>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</si>
  <si>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</si>
  <si>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</si>
  <si>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</si>
  <si>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</si>
  <si>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</si>
  <si>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</si>
  <si>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</si>
  <si>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</si>
  <si>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</si>
  <si>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</si>
  <si>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</si>
  <si>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</si>
  <si>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</si>
  <si>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</si>
  <si>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</si>
  <si>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</si>
  <si>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</si>
  <si>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</si>
  <si>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</si>
  <si>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</si>
  <si>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</si>
  <si>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</si>
  <si>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</si>
  <si>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</si>
  <si>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</si>
  <si>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</si>
  <si>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</si>
  <si>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</si>
  <si>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</si>
  <si>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</si>
  <si>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</si>
  <si>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</si>
  <si>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</si>
  <si>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</si>
  <si>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</si>
  <si>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</si>
  <si>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</si>
  <si>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</si>
  <si>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</si>
  <si>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</si>
  <si>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</si>
  <si>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</si>
  <si>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</si>
  <si>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</si>
  <si>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</si>
  <si>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</si>
  <si>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</si>
  <si>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</si>
  <si>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</si>
  <si>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</si>
  <si>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</si>
  <si>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</si>
  <si>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</si>
  <si>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</si>
  <si>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</si>
  <si>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</si>
  <si>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</si>
  <si>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</si>
  <si>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</si>
  <si>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</si>
  <si>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</si>
  <si>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</si>
  <si>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</si>
  <si>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</si>
  <si>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</si>
  <si>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</si>
  <si>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</si>
  <si>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</si>
  <si>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</si>
  <si>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</si>
  <si>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</si>
  <si>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</si>
  <si>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</si>
  <si>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</si>
  <si>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</si>
  <si>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</si>
  <si>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</si>
  <si>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</si>
  <si>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</si>
  <si>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</si>
  <si>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</si>
  <si>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</si>
  <si>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</si>
  <si>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</si>
  <si>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</si>
  <si>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</si>
  <si>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</si>
  <si>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</si>
  <si>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</si>
  <si>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</si>
  <si>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</si>
  <si>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</si>
  <si>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</si>
  <si>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</si>
  <si>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</si>
  <si>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</si>
  <si>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</si>
  <si>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</si>
  <si>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</si>
  <si>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</si>
  <si>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</si>
  <si>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</si>
  <si>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</si>
  <si>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</si>
  <si>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</si>
  <si>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</si>
  <si>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</si>
  <si>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</si>
  <si>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</si>
  <si>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</si>
  <si>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</si>
  <si>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</si>
  <si>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</si>
  <si>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</si>
  <si>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</si>
  <si>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</si>
  <si>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</si>
  <si>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</si>
  <si>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</si>
  <si>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</si>
  <si>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</si>
  <si>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</si>
  <si>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</si>
  <si>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</si>
  <si>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</si>
  <si>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</si>
  <si>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</si>
  <si>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</si>
  <si>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</si>
  <si>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</si>
  <si>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</si>
  <si>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</si>
  <si>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</si>
  <si>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</si>
  <si>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</si>
  <si>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</si>
  <si>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</si>
  <si>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</si>
  <si>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</si>
  <si>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</si>
  <si>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</si>
  <si>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</si>
  <si>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</si>
  <si>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</si>
  <si>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</si>
  <si>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</si>
  <si>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</si>
  <si>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</si>
  <si>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</si>
  <si>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</si>
  <si>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</si>
  <si>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</si>
  <si>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</si>
  <si>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</si>
  <si>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</si>
  <si>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</si>
  <si>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</si>
  <si>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</si>
  <si>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</si>
  <si>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</si>
  <si>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</si>
  <si>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</si>
  <si>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</si>
  <si>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</si>
  <si>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</si>
  <si>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</si>
  <si>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</si>
  <si>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</si>
  <si>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</si>
  <si>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</si>
  <si>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</si>
  <si>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</si>
  <si>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</si>
  <si>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</si>
  <si>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</si>
  <si>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</si>
  <si>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</si>
  <si>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</si>
  <si>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</si>
  <si>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</si>
  <si>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</si>
  <si>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</si>
  <si>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</si>
  <si>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</si>
  <si>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</si>
  <si>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</si>
  <si>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</si>
  <si>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</si>
  <si>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</si>
  <si>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</si>
  <si>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</si>
  <si>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</si>
  <si>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</si>
  <si>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</si>
  <si>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</si>
  <si>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</si>
  <si>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</si>
  <si>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</si>
  <si>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</si>
  <si>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</si>
  <si>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</si>
  <si>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</si>
  <si>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</si>
  <si>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</si>
  <si>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</si>
  <si>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</si>
  <si>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</si>
  <si>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</si>
  <si>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</si>
  <si>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</si>
  <si>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</si>
  <si>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</si>
  <si>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</si>
  <si>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</si>
  <si>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</si>
  <si>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</si>
  <si>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</si>
  <si>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</si>
  <si>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</si>
  <si>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</si>
  <si>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</si>
  <si>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</si>
  <si>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</si>
  <si>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</si>
  <si>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</si>
  <si>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</si>
  <si>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</si>
  <si>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</si>
  <si>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</si>
  <si>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</si>
  <si>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</si>
  <si>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</si>
  <si>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</si>
  <si>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</si>
  <si>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</si>
  <si>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</si>
  <si>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</si>
  <si>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</si>
  <si>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</si>
  <si>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</si>
  <si>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</si>
  <si>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</si>
  <si>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</si>
  <si>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</si>
  <si>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</si>
  <si>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</si>
  <si>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</si>
  <si>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</si>
  <si>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</si>
  <si>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</si>
  <si>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</si>
  <si>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</si>
  <si>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</si>
  <si>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</si>
  <si>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</si>
  <si>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</si>
  <si>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</si>
  <si>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</si>
  <si>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</si>
  <si>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</si>
  <si>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</si>
  <si>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</si>
  <si>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</si>
  <si>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</si>
  <si>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</si>
  <si>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</si>
  <si>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</si>
  <si>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</si>
  <si>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</si>
  <si>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</si>
  <si>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</si>
  <si>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</si>
  <si>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</si>
  <si>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</si>
  <si>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</si>
  <si>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</si>
  <si>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</si>
  <si>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</si>
  <si>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</si>
  <si>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</si>
  <si>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</si>
  <si>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</si>
  <si>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</si>
  <si>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</si>
  <si>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</si>
  <si>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</si>
  <si>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</si>
  <si>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</si>
  <si>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</si>
  <si>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</si>
  <si>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</si>
  <si>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</si>
  <si>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</si>
  <si>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</si>
  <si>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</si>
  <si>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</si>
  <si>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</si>
  <si>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</si>
  <si>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</si>
  <si>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</si>
  <si>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</si>
  <si>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</si>
  <si>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</si>
  <si>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</si>
  <si>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</si>
  <si>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</si>
  <si>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</si>
  <si>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</si>
  <si>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</si>
  <si>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</si>
  <si>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</si>
  <si>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</si>
  <si>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</si>
  <si>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</si>
  <si>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</si>
  <si>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</si>
  <si>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</si>
  <si>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</si>
  <si>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</si>
  <si>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</si>
  <si>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</si>
  <si>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</si>
  <si>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</si>
  <si>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</si>
  <si>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</si>
  <si>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</si>
  <si>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</si>
  <si>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</si>
  <si>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</si>
  <si>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</si>
  <si>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</si>
  <si>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</si>
  <si>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</si>
  <si>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r>
      <t>2020-5-4</t>
    </r>
    <r>
      <rPr>
        <sz val="10"/>
        <rFont val="宋体"/>
        <family val="3"/>
        <charset val="134"/>
      </rPr>
      <t xml:space="preserve">：
</t>
    </r>
    <r>
      <rPr>
        <sz val="10"/>
        <rFont val="Arial"/>
        <family val="2"/>
      </rPr>
      <t>2020-6-29</t>
    </r>
    <r>
      <rPr>
        <sz val="10"/>
        <rFont val="宋体"/>
        <family val="3"/>
        <charset val="134"/>
      </rPr>
      <t xml:space="preserve">：
</t>
    </r>
    <r>
      <rPr>
        <sz val="10"/>
        <rFont val="Arial"/>
        <family val="2"/>
      </rPr>
      <t>2020-7-6</t>
    </r>
    <r>
      <rPr>
        <sz val="10"/>
        <rFont val="宋体"/>
        <family val="3"/>
        <charset val="134"/>
      </rPr>
      <t>：</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</si>
  <si>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</si>
  <si>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</si>
  <si>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t>3D模型代码整合入NB框架中</t>
    <phoneticPr fontId="34" type="noConversion"/>
  </si>
  <si>
    <t>模型 cubmap天空盒材质</t>
    <phoneticPr fontId="34" type="noConversion"/>
  </si>
  <si>
    <t>Su Zhifei</t>
    <phoneticPr fontId="34" type="noConversion"/>
  </si>
  <si>
    <t>找CM新建Newbrush数据库</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</si>
  <si>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2020-7-27：已完善，关闭
</t>
    </r>
    <phoneticPr fontId="34" type="noConversion"/>
  </si>
  <si>
    <r>
      <t>2020-7-20</t>
    </r>
    <r>
      <rPr>
        <sz val="10"/>
        <rFont val="宋体"/>
        <family val="3"/>
        <charset val="134"/>
      </rPr>
      <t xml:space="preserve">：本周
</t>
    </r>
    <r>
      <rPr>
        <sz val="10"/>
        <rFont val="Arial"/>
        <family val="2"/>
      </rPr>
      <t>2020-7-27</t>
    </r>
    <r>
      <rPr>
        <sz val="10"/>
        <rFont val="宋体"/>
        <family val="3"/>
        <charset val="134"/>
      </rPr>
      <t>：已经建立</t>
    </r>
    <phoneticPr fontId="34" type="noConversion"/>
  </si>
  <si>
    <r>
      <t>2020-7-20</t>
    </r>
    <r>
      <rPr>
        <sz val="10"/>
        <rFont val="宋体"/>
        <family val="3"/>
        <charset val="134"/>
      </rPr>
      <t xml:space="preserve">：今天给计划，本周先解决中心点等问题，下周开始
</t>
    </r>
    <r>
      <rPr>
        <sz val="10"/>
        <rFont val="Arial"/>
        <family val="2"/>
      </rPr>
      <t>2020-7-27</t>
    </r>
    <r>
      <rPr>
        <sz val="10"/>
        <rFont val="宋体"/>
        <family val="3"/>
        <charset val="134"/>
      </rPr>
      <t xml:space="preserve">：尽可能本周初步调试完成
</t>
    </r>
    <r>
      <rPr>
        <sz val="10"/>
        <rFont val="Arial"/>
        <family val="2"/>
      </rPr>
      <t>2020-8-3</t>
    </r>
    <r>
      <rPr>
        <sz val="10"/>
        <rFont val="宋体"/>
        <family val="3"/>
        <charset val="134"/>
      </rPr>
      <t>：完成</t>
    </r>
    <phoneticPr fontId="34" type="noConversion"/>
  </si>
  <si>
    <r>
      <t>2020-8-3</t>
    </r>
    <r>
      <rPr>
        <sz val="10"/>
        <rFont val="宋体"/>
        <family val="3"/>
        <charset val="134"/>
      </rPr>
      <t>：先思考怎么做，大概做成什么样。本周给出计划</t>
    </r>
    <phoneticPr fontId="34" type="noConversion"/>
  </si>
  <si>
    <t>kanzi2.8.13升级</t>
  </si>
  <si>
    <t>2019-11-18：正在进行
2019-12-2：升级到2.8.13，但是项目概率挂死。</t>
    <phoneticPr fontId="34" type="noConversion"/>
  </si>
  <si>
    <r>
      <rPr>
        <sz val="11"/>
        <color theme="1"/>
        <rFont val="宋体"/>
        <family val="3"/>
        <charset val="134"/>
      </rPr>
      <t>数据驱动替换掉</t>
    </r>
    <r>
      <rPr>
        <sz val="11"/>
        <color theme="1"/>
        <rFont val="Arial"/>
        <family val="2"/>
      </rPr>
      <t>SOMEIP</t>
    </r>
    <r>
      <rPr>
        <sz val="11"/>
        <color theme="1"/>
        <rFont val="宋体"/>
        <family val="3"/>
        <charset val="134"/>
      </rPr>
      <t>方案</t>
    </r>
    <phoneticPr fontId="34" type="noConversion"/>
  </si>
  <si>
    <t>Pan Rongtao</t>
    <phoneticPr fontId="34" type="noConversion"/>
  </si>
  <si>
    <t>模型demo问题解决：cubemap效果调整，倒影贴图，座位渲染不完整问题，
放大缩小按钮</t>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</si>
  <si>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 xml:space="preserve">：基本的线基本可以绘制，接下来研究渐变
</t>
    </r>
    <r>
      <rPr>
        <sz val="10"/>
        <rFont val="Arial"/>
        <family val="2"/>
      </rPr>
      <t>2020-7-27</t>
    </r>
    <r>
      <rPr>
        <sz val="10"/>
        <rFont val="宋体"/>
        <family val="3"/>
        <charset val="134"/>
      </rPr>
      <t xml:space="preserve">：目前有个半弧形缝隙问题仍然在调试，预计本周解决
</t>
    </r>
    <r>
      <rPr>
        <sz val="10"/>
        <rFont val="Arial"/>
        <family val="2"/>
      </rPr>
      <t>2020-8-3</t>
    </r>
    <r>
      <rPr>
        <sz val="10"/>
        <rFont val="宋体"/>
        <family val="3"/>
        <charset val="134"/>
      </rPr>
      <t xml:space="preserve">：半弧问题已经解决，是数据给得有问题。本周等待算法给过来几个项目的数据，然后调试看结果
</t>
    </r>
    <r>
      <rPr>
        <sz val="10"/>
        <rFont val="Arial"/>
        <family val="2"/>
      </rPr>
      <t>2020-8-10</t>
    </r>
    <r>
      <rPr>
        <sz val="10"/>
        <rFont val="宋体"/>
        <family val="3"/>
        <charset val="134"/>
      </rPr>
      <t xml:space="preserve">：已经把模拟程序给到算法调试，本项基本完成
</t>
    </r>
    <r>
      <rPr>
        <sz val="10"/>
        <rFont val="Arial"/>
        <family val="2"/>
      </rPr>
      <t>2020-8-19</t>
    </r>
    <r>
      <rPr>
        <sz val="10"/>
        <rFont val="宋体"/>
        <family val="3"/>
        <charset val="134"/>
      </rPr>
      <t>：挂起，后续联调</t>
    </r>
    <phoneticPr fontId="34" type="noConversion"/>
  </si>
  <si>
    <r>
      <t>2020-8-10</t>
    </r>
    <r>
      <rPr>
        <sz val="10"/>
        <rFont val="宋体"/>
        <family val="3"/>
        <charset val="134"/>
      </rPr>
      <t>：正在调试基于</t>
    </r>
    <r>
      <rPr>
        <sz val="10"/>
        <rFont val="Arial"/>
        <family val="2"/>
      </rPr>
      <t>Poco::Net</t>
    </r>
    <r>
      <rPr>
        <sz val="10"/>
        <rFont val="宋体"/>
        <family val="3"/>
        <charset val="134"/>
      </rPr>
      <t xml:space="preserve">的方案
</t>
    </r>
    <r>
      <rPr>
        <sz val="10"/>
        <rFont val="Arial"/>
        <family val="2"/>
      </rPr>
      <t>2020-8-19</t>
    </r>
    <r>
      <rPr>
        <sz val="10"/>
        <rFont val="宋体"/>
        <family val="3"/>
        <charset val="134"/>
      </rPr>
      <t xml:space="preserve">：已经给到项目做各方面测试
</t>
    </r>
    <r>
      <rPr>
        <sz val="10"/>
        <rFont val="Arial"/>
        <family val="2"/>
      </rPr>
      <t>2020-8-24</t>
    </r>
    <r>
      <rPr>
        <sz val="10"/>
        <rFont val="宋体"/>
        <family val="3"/>
        <charset val="134"/>
      </rPr>
      <t>：项目已经经过压力测试，并集成到了</t>
    </r>
    <r>
      <rPr>
        <sz val="10"/>
        <rFont val="Arial"/>
        <family val="2"/>
      </rPr>
      <t>T1D</t>
    </r>
    <r>
      <rPr>
        <sz val="10"/>
        <rFont val="宋体"/>
        <family val="3"/>
        <charset val="134"/>
      </rPr>
      <t>项目，应该没有问题了。</t>
    </r>
    <phoneticPr fontId="34" type="noConversion"/>
  </si>
  <si>
    <r>
      <t>2020-7-13</t>
    </r>
    <r>
      <rPr>
        <sz val="10"/>
        <rFont val="宋体"/>
        <family val="3"/>
        <charset val="134"/>
      </rPr>
      <t>：本周开始review代码，整理model部分
2020-7-27：整合工作量有点多，暂定还需两周完成初步移植
2020-8-3：正在处理
2020-8-10：先优先处理数据驱动方案
2020-8-19：本周开始可以重点处理次任务
2020-8-24：为了应对新的项目时间要求（9个月全功能+文档），把项目精简了，不再支持STUDIO等功能。目前已经有初版</t>
    </r>
    <phoneticPr fontId="34" type="noConversion"/>
  </si>
  <si>
    <t>丰富材质数据结构，满足更多细节</t>
    <phoneticPr fontId="34" type="noConversion"/>
  </si>
  <si>
    <t>Pan Rongtao</t>
    <phoneticPr fontId="34" type="noConversion"/>
  </si>
  <si>
    <t>提取光照对象</t>
    <phoneticPr fontId="34" type="noConversion"/>
  </si>
  <si>
    <t>考虑AD/DD/RD的形式和做法</t>
    <phoneticPr fontId="34" type="noConversion"/>
  </si>
  <si>
    <t>Su Zhifei</t>
    <phoneticPr fontId="34" type="noConversion"/>
  </si>
  <si>
    <t>Pan Rongtao</t>
    <phoneticPr fontId="34" type="noConversion"/>
  </si>
  <si>
    <t>架构设计文档</t>
    <phoneticPr fontId="34" type="noConversion"/>
  </si>
  <si>
    <r>
      <t>2020-8-19</t>
    </r>
    <r>
      <rPr>
        <sz val="10"/>
        <rFont val="宋体"/>
        <family val="3"/>
        <charset val="134"/>
      </rPr>
      <t xml:space="preserve">：节点顺序引起的渲染顺序问题，新的车模修改了顺序就没有问题了。
</t>
    </r>
    <r>
      <rPr>
        <sz val="10"/>
        <rFont val="Arial"/>
        <family val="2"/>
      </rPr>
      <t>2020-8-24</t>
    </r>
    <r>
      <rPr>
        <sz val="10"/>
        <rFont val="宋体"/>
        <family val="3"/>
        <charset val="134"/>
      </rPr>
      <t>：今天搞定放大缩小问题，本周完成cubemap调整
2020-8-30：已完成</t>
    </r>
    <phoneticPr fontId="34" type="noConversion"/>
  </si>
  <si>
    <r>
      <t>2020-8-24</t>
    </r>
    <r>
      <rPr>
        <sz val="10"/>
        <rFont val="宋体"/>
        <family val="3"/>
        <charset val="134"/>
      </rPr>
      <t xml:space="preserve">：本周开始
</t>
    </r>
    <r>
      <rPr>
        <sz val="10"/>
        <rFont val="Arial"/>
        <family val="2"/>
      </rPr>
      <t>2020-8-30</t>
    </r>
    <r>
      <rPr>
        <sz val="10"/>
        <rFont val="宋体"/>
        <family val="3"/>
        <charset val="134"/>
      </rPr>
      <t>：已完成</t>
    </r>
    <phoneticPr fontId="34" type="noConversion"/>
  </si>
  <si>
    <t>动画系统整合</t>
    <phoneticPr fontId="34" type="noConversion"/>
  </si>
  <si>
    <t>Pan Rongtao</t>
    <phoneticPr fontId="34" type="noConversion"/>
  </si>
  <si>
    <t>节点动画整合</t>
    <phoneticPr fontId="34" type="noConversion"/>
  </si>
  <si>
    <t>矩阵封装</t>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</si>
  <si>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 xml:space="preserve">：机器已经拿到，缺摄像头，后续拿到
</t>
    </r>
    <r>
      <rPr>
        <sz val="10"/>
        <rFont val="Arial"/>
        <family val="2"/>
      </rPr>
      <t>2020-7-27</t>
    </r>
    <r>
      <rPr>
        <sz val="10"/>
        <rFont val="宋体"/>
        <family val="3"/>
        <charset val="134"/>
      </rPr>
      <t xml:space="preserve">：尽可能下周开始
</t>
    </r>
    <r>
      <rPr>
        <sz val="10"/>
        <rFont val="Arial"/>
        <family val="2"/>
      </rPr>
      <t>2020-8-3</t>
    </r>
    <r>
      <rPr>
        <sz val="10"/>
        <rFont val="宋体"/>
        <family val="3"/>
        <charset val="134"/>
      </rPr>
      <t xml:space="preserve">：本周开始
</t>
    </r>
    <r>
      <rPr>
        <sz val="10"/>
        <rFont val="Arial"/>
        <family val="2"/>
      </rPr>
      <t>2020-8-10</t>
    </r>
    <r>
      <rPr>
        <sz val="10"/>
        <rFont val="宋体"/>
        <family val="3"/>
        <charset val="134"/>
      </rPr>
      <t>：需要南京配合调试</t>
    </r>
    <r>
      <rPr>
        <sz val="10"/>
        <rFont val="Arial"/>
        <family val="2"/>
      </rPr>
      <t>EGL</t>
    </r>
    <r>
      <rPr>
        <sz val="10"/>
        <rFont val="宋体"/>
        <family val="3"/>
        <charset val="134"/>
      </rPr>
      <t xml:space="preserve">部分，协调人员部分已经给到项目经理。确定了基本的接口，本周可以先按照接口写实现，并调试完成。
</t>
    </r>
    <r>
      <rPr>
        <sz val="10"/>
        <rFont val="Arial"/>
        <family val="2"/>
      </rPr>
      <t>2020-8-19</t>
    </r>
    <r>
      <rPr>
        <sz val="10"/>
        <rFont val="宋体"/>
        <family val="3"/>
        <charset val="134"/>
      </rPr>
      <t xml:space="preserve">：等项目经理协调人力，本周或者下周正式邮件询问进度
</t>
    </r>
    <r>
      <rPr>
        <sz val="10"/>
        <rFont val="Arial"/>
        <family val="2"/>
      </rPr>
      <t>2020-8-24</t>
    </r>
    <r>
      <rPr>
        <sz val="10"/>
        <rFont val="宋体"/>
        <family val="3"/>
        <charset val="134"/>
      </rPr>
      <t xml:space="preserve">：本周发出正式的邮件督促协调人员
</t>
    </r>
    <r>
      <rPr>
        <sz val="10"/>
        <rFont val="Arial"/>
        <family val="2"/>
      </rPr>
      <t>2020-8-31</t>
    </r>
    <r>
      <rPr>
        <sz val="10"/>
        <rFont val="宋体"/>
        <family val="3"/>
        <charset val="134"/>
      </rPr>
      <t>：等待原平台解决协调人员、历史各种问题</t>
    </r>
    <phoneticPr fontId="34" type="noConversion"/>
  </si>
  <si>
    <r>
      <t>2020-8-30</t>
    </r>
    <r>
      <rPr>
        <sz val="10"/>
        <rFont val="宋体"/>
        <family val="3"/>
        <charset val="134"/>
      </rPr>
      <t xml:space="preserve">：本周开始
</t>
    </r>
    <r>
      <rPr>
        <sz val="10"/>
        <rFont val="Arial"/>
        <family val="2"/>
      </rPr>
      <t>2020-9-7</t>
    </r>
    <r>
      <rPr>
        <sz val="10"/>
        <rFont val="宋体"/>
        <family val="3"/>
        <charset val="134"/>
      </rPr>
      <t>：完成</t>
    </r>
    <phoneticPr fontId="34" type="noConversion"/>
  </si>
  <si>
    <t>模型展示周边优化：禁用侧边栏、禁用下拉菜单，按钮位置等的重新布局、启动方式方案、小人图标隐藏；展示机器平台选择</t>
    <phoneticPr fontId="34" type="noConversion"/>
  </si>
  <si>
    <t>推介会《NewBrush 3D》课题准备</t>
    <phoneticPr fontId="34" type="noConversion"/>
  </si>
  <si>
    <t>Pan Rongtao</t>
    <phoneticPr fontId="34" type="noConversion"/>
  </si>
  <si>
    <r>
      <t>2020-9-7</t>
    </r>
    <r>
      <rPr>
        <sz val="10"/>
        <rFont val="宋体"/>
        <family val="3"/>
        <charset val="134"/>
      </rPr>
      <t>：完成</t>
    </r>
    <phoneticPr fontId="34" type="noConversion"/>
  </si>
  <si>
    <t>车模背景效果优化（木地板+光照）</t>
    <phoneticPr fontId="34" type="noConversion"/>
  </si>
  <si>
    <t>Su Zhifei</t>
    <phoneticPr fontId="34" type="noConversion"/>
  </si>
  <si>
    <t>推介会《倒车轨迹线》课题准备</t>
    <phoneticPr fontId="34" type="noConversion"/>
  </si>
  <si>
    <r>
      <t>2020-9-7</t>
    </r>
    <r>
      <rPr>
        <sz val="10"/>
        <rFont val="宋体"/>
        <family val="3"/>
        <charset val="134"/>
      </rPr>
      <t xml:space="preserve">：本周开始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</si>
  <si>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</si>
  <si>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：本周开始
</t>
    </r>
    <r>
      <rPr>
        <sz val="10"/>
        <rFont val="Arial"/>
        <family val="2"/>
      </rPr>
      <t>2020-9-14</t>
    </r>
    <r>
      <rPr>
        <sz val="10"/>
        <rFont val="宋体"/>
        <family val="3"/>
        <charset val="134"/>
      </rPr>
      <t>：光照先不弄，地板完成</t>
    </r>
    <phoneticPr fontId="34" type="noConversion"/>
  </si>
  <si>
    <r>
      <t>2020-8-30</t>
    </r>
    <r>
      <rPr>
        <sz val="10"/>
        <rFont val="宋体"/>
        <family val="3"/>
        <charset val="134"/>
      </rPr>
      <t xml:space="preserve">：本周开始，预计一周完成
</t>
    </r>
    <r>
      <rPr>
        <sz val="10"/>
        <rFont val="Arial"/>
        <family val="2"/>
      </rPr>
      <t>2020-9-7</t>
    </r>
    <r>
      <rPr>
        <sz val="10"/>
        <rFont val="宋体"/>
        <family val="3"/>
        <charset val="134"/>
      </rPr>
      <t xml:space="preserve">：已完成禁用侧边栏、禁用下拉菜单，尽量本周解决掉这些环境方面的问题
</t>
    </r>
    <r>
      <rPr>
        <sz val="10"/>
        <rFont val="Arial"/>
        <family val="2"/>
      </rPr>
      <t>2020-9-14</t>
    </r>
    <r>
      <rPr>
        <sz val="10"/>
        <rFont val="宋体"/>
        <family val="3"/>
        <charset val="134"/>
      </rPr>
      <t>：自启动还没弄，今天先尝试自己弄，不行就问下</t>
    </r>
    <r>
      <rPr>
        <sz val="10"/>
        <rFont val="Arial"/>
        <family val="2"/>
      </rPr>
      <t>Android</t>
    </r>
    <r>
      <rPr>
        <sz val="10"/>
        <rFont val="宋体"/>
        <family val="3"/>
        <charset val="134"/>
      </rPr>
      <t>相关人员</t>
    </r>
    <phoneticPr fontId="34" type="noConversion"/>
  </si>
  <si>
    <r>
      <t>2020-9-14</t>
    </r>
    <r>
      <rPr>
        <sz val="10"/>
        <rFont val="宋体"/>
        <family val="3"/>
        <charset val="134"/>
      </rPr>
      <t>：下周开始</t>
    </r>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</si>
</sst>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3"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
      <strike/>
      <sz val="11"/>
      <color theme="1"/>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180">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49" fontId="27" fillId="0" borderId="1" xfId="6" applyNumberFormat="1" applyFont="1" applyFill="1" applyBorder="1" applyAlignment="1">
      <alignment horizontal="center" vertical="center" wrapText="1"/>
    </xf>
    <xf numFmtId="176" fontId="27" fillId="0" borderId="1" xfId="6" applyNumberFormat="1" applyFont="1" applyFill="1" applyBorder="1" applyAlignment="1">
      <alignment horizontal="center" vertical="center" wrapText="1"/>
    </xf>
    <xf numFmtId="176" fontId="62" fillId="0" borderId="1" xfId="0" applyNumberFormat="1" applyFont="1" applyBorder="1" applyAlignment="1">
      <alignment vertical="center" wrapText="1"/>
    </xf>
    <xf numFmtId="176" fontId="27" fillId="0" borderId="1" xfId="6" applyNumberFormat="1" applyFont="1" applyFill="1" applyBorder="1" applyAlignment="1" applyProtection="1">
      <alignment horizontal="center" vertical="center" wrapText="1"/>
    </xf>
    <xf numFmtId="176" fontId="27" fillId="0" borderId="1" xfId="6" applyNumberFormat="1" applyFont="1" applyFill="1" applyBorder="1" applyAlignment="1">
      <alignment horizontal="left" vertical="center" wrapText="1"/>
    </xf>
    <xf numFmtId="176" fontId="27" fillId="0" borderId="0" xfId="6" applyNumberFormat="1" applyFont="1" applyFill="1" applyBorder="1" applyAlignment="1">
      <alignment vertical="center"/>
    </xf>
    <xf numFmtId="176" fontId="62" fillId="0" borderId="0" xfId="0" applyNumberFormat="1" applyFo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438">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437"/>
      <tableStyleElement type="headerRow" dxfId="436"/>
      <tableStyleElement type="firstRowStripe" dxfId="435"/>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47</xdr:row>
          <xdr:rowOff>85725</xdr:rowOff>
        </xdr:from>
        <xdr:to>
          <xdr:col>1</xdr:col>
          <xdr:colOff>800100</xdr:colOff>
          <xdr:row>48</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431" dataDxfId="430">
  <tableColumns count="4">
    <tableColumn id="1" name="日期" dataDxfId="429"/>
    <tableColumn id="2" name="里程碑" dataDxfId="428"/>
    <tableColumn id="4" name="位置" dataDxfId="427"/>
    <tableColumn id="5" name="比较基准" dataDxfId="426">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335</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173" t="s">
        <v>328</v>
      </c>
      <c r="D3" s="174"/>
      <c r="E3" s="172">
        <v>43647</v>
      </c>
      <c r="F3" s="172"/>
    </row>
    <row r="4" spans="1:65" ht="30" customHeight="1" x14ac:dyDescent="0.3">
      <c r="A4" s="59" t="s">
        <v>327</v>
      </c>
      <c r="C4" s="173" t="s">
        <v>326</v>
      </c>
      <c r="D4" s="174"/>
      <c r="E4" s="113">
        <v>25</v>
      </c>
      <c r="J4" s="169">
        <f>J5</f>
        <v>43814</v>
      </c>
      <c r="K4" s="170"/>
      <c r="L4" s="170"/>
      <c r="M4" s="170"/>
      <c r="N4" s="170"/>
      <c r="O4" s="170"/>
      <c r="P4" s="171"/>
      <c r="Q4" s="169">
        <f>Q5</f>
        <v>43821</v>
      </c>
      <c r="R4" s="170"/>
      <c r="S4" s="170"/>
      <c r="T4" s="170"/>
      <c r="U4" s="170"/>
      <c r="V4" s="170"/>
      <c r="W4" s="171"/>
      <c r="X4" s="169">
        <f>X5</f>
        <v>43828</v>
      </c>
      <c r="Y4" s="170"/>
      <c r="Z4" s="170"/>
      <c r="AA4" s="170"/>
      <c r="AB4" s="170"/>
      <c r="AC4" s="170"/>
      <c r="AD4" s="171"/>
      <c r="AE4" s="169">
        <f>AE5</f>
        <v>43835</v>
      </c>
      <c r="AF4" s="170"/>
      <c r="AG4" s="170"/>
      <c r="AH4" s="170"/>
      <c r="AI4" s="170"/>
      <c r="AJ4" s="170"/>
      <c r="AK4" s="171"/>
      <c r="AL4" s="169">
        <f>AL5</f>
        <v>43842</v>
      </c>
      <c r="AM4" s="170"/>
      <c r="AN4" s="170"/>
      <c r="AO4" s="170"/>
      <c r="AP4" s="170"/>
      <c r="AQ4" s="170"/>
      <c r="AR4" s="171"/>
      <c r="AS4" s="169">
        <f>AS5</f>
        <v>43849</v>
      </c>
      <c r="AT4" s="170"/>
      <c r="AU4" s="170"/>
      <c r="AV4" s="170"/>
      <c r="AW4" s="170"/>
      <c r="AX4" s="170"/>
      <c r="AY4" s="171"/>
      <c r="AZ4" s="169">
        <f>AZ5</f>
        <v>43856</v>
      </c>
      <c r="BA4" s="170"/>
      <c r="BB4" s="170"/>
      <c r="BC4" s="170"/>
      <c r="BD4" s="170"/>
      <c r="BE4" s="170"/>
      <c r="BF4" s="171"/>
      <c r="BG4" s="169">
        <f>BG5</f>
        <v>43863</v>
      </c>
      <c r="BH4" s="170"/>
      <c r="BI4" s="170"/>
      <c r="BJ4" s="170"/>
      <c r="BK4" s="170"/>
      <c r="BL4" s="170"/>
      <c r="BM4" s="171"/>
    </row>
    <row r="5" spans="1:65" ht="15" customHeight="1" x14ac:dyDescent="0.3">
      <c r="A5" s="59" t="s">
        <v>325</v>
      </c>
      <c r="B5" s="175"/>
      <c r="C5" s="175"/>
      <c r="D5" s="175"/>
      <c r="E5" s="175"/>
      <c r="F5" s="175"/>
      <c r="G5" s="175"/>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316</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314</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312</v>
      </c>
      <c r="C9" s="98" t="s">
        <v>285</v>
      </c>
      <c r="D9" s="97">
        <v>0.8</v>
      </c>
      <c r="E9" s="96">
        <v>43647</v>
      </c>
      <c r="F9" s="96">
        <f>E9+2</f>
        <v>43649</v>
      </c>
      <c r="G9" s="61"/>
      <c r="H9" s="61">
        <f t="shared" si="4"/>
        <v>3</v>
      </c>
      <c r="I9" s="66" t="s">
        <v>311</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310</v>
      </c>
      <c r="C10" s="98" t="s">
        <v>285</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308</v>
      </c>
      <c r="C11" s="98" t="s">
        <v>285</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307</v>
      </c>
      <c r="C12" s="98" t="s">
        <v>285</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306</v>
      </c>
      <c r="C13" s="98" t="s">
        <v>285</v>
      </c>
      <c r="D13" s="97">
        <v>0.9</v>
      </c>
      <c r="E13" s="96">
        <v>43658</v>
      </c>
      <c r="F13" s="96">
        <f>E13+14</f>
        <v>43672</v>
      </c>
      <c r="G13" s="61"/>
      <c r="H13" s="61">
        <f t="shared" si="4"/>
        <v>15</v>
      </c>
      <c r="I13" s="89" t="s">
        <v>305</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304</v>
      </c>
      <c r="C14" s="98" t="s">
        <v>285</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303</v>
      </c>
      <c r="C15" s="98" t="s">
        <v>285</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302</v>
      </c>
      <c r="C16" s="98" t="s">
        <v>285</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301</v>
      </c>
      <c r="C17" s="98" t="s">
        <v>285</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300</v>
      </c>
      <c r="C18" s="98" t="s">
        <v>285</v>
      </c>
      <c r="D18" s="97">
        <v>0.9</v>
      </c>
      <c r="E18" s="96">
        <v>43689</v>
      </c>
      <c r="F18" s="96">
        <f>E18+2</f>
        <v>43691</v>
      </c>
      <c r="G18" s="61"/>
      <c r="H18" s="61">
        <f t="shared" si="4"/>
        <v>3</v>
      </c>
      <c r="I18" s="89" t="s">
        <v>299</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298</v>
      </c>
      <c r="C19" s="98" t="s">
        <v>285</v>
      </c>
      <c r="D19" s="97">
        <v>0.8</v>
      </c>
      <c r="E19" s="96">
        <v>43811</v>
      </c>
      <c r="F19" s="96">
        <f>E19+10</f>
        <v>43821</v>
      </c>
      <c r="G19" s="61"/>
      <c r="H19" s="61">
        <f t="shared" si="4"/>
        <v>11</v>
      </c>
      <c r="I19" s="89" t="s">
        <v>297</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296</v>
      </c>
      <c r="C20" s="98" t="s">
        <v>285</v>
      </c>
      <c r="D20" s="97">
        <v>0.85</v>
      </c>
      <c r="E20" s="96">
        <v>43823</v>
      </c>
      <c r="F20" s="96">
        <f>E20+3</f>
        <v>43826</v>
      </c>
      <c r="G20" s="61"/>
      <c r="H20" s="61">
        <f t="shared" si="4"/>
        <v>4</v>
      </c>
      <c r="I20" s="66" t="s">
        <v>295</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294</v>
      </c>
      <c r="C21" s="98" t="s">
        <v>285</v>
      </c>
      <c r="D21" s="97">
        <v>0.9</v>
      </c>
      <c r="E21" s="96">
        <v>43702</v>
      </c>
      <c r="F21" s="96">
        <f>E21+7</f>
        <v>43709</v>
      </c>
      <c r="G21" s="61"/>
      <c r="H21" s="61">
        <f t="shared" si="4"/>
        <v>8</v>
      </c>
      <c r="I21" s="66" t="s">
        <v>293</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292</v>
      </c>
      <c r="C22" s="98" t="s">
        <v>285</v>
      </c>
      <c r="D22" s="97">
        <v>0.7</v>
      </c>
      <c r="E22" s="96">
        <v>43703</v>
      </c>
      <c r="F22" s="96">
        <f>E22+7</f>
        <v>43710</v>
      </c>
      <c r="G22" s="61"/>
      <c r="H22" s="61">
        <f t="shared" si="4"/>
        <v>8</v>
      </c>
      <c r="I22" s="89" t="s">
        <v>290</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291</v>
      </c>
      <c r="C23" s="98" t="s">
        <v>285</v>
      </c>
      <c r="D23" s="97">
        <v>0.7</v>
      </c>
      <c r="E23" s="96">
        <v>43704</v>
      </c>
      <c r="F23" s="96">
        <f>E23+2</f>
        <v>43706</v>
      </c>
      <c r="G23" s="61"/>
      <c r="H23" s="61">
        <f t="shared" si="4"/>
        <v>3</v>
      </c>
      <c r="I23" s="89" t="s">
        <v>290</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289</v>
      </c>
      <c r="C24" s="98" t="s">
        <v>285</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288</v>
      </c>
      <c r="C25" s="98" t="s">
        <v>285</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287</v>
      </c>
      <c r="C26" s="98" t="s">
        <v>285</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286</v>
      </c>
      <c r="C27" s="98" t="s">
        <v>285</v>
      </c>
      <c r="D27" s="97">
        <v>0.5</v>
      </c>
      <c r="E27" s="96">
        <f>F13</f>
        <v>43672</v>
      </c>
      <c r="F27" s="96">
        <f>E27+1</f>
        <v>43673</v>
      </c>
      <c r="G27" s="61"/>
      <c r="H27" s="61">
        <f t="shared" si="4"/>
        <v>2</v>
      </c>
      <c r="I27" s="89" t="s">
        <v>284</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283</v>
      </c>
      <c r="C28" s="98" t="s">
        <v>119</v>
      </c>
      <c r="D28" s="97">
        <v>0.9</v>
      </c>
      <c r="E28" s="96">
        <v>43879</v>
      </c>
      <c r="F28" s="96">
        <f>E28+3</f>
        <v>43882</v>
      </c>
      <c r="G28" s="61"/>
      <c r="H28" s="61">
        <f t="shared" si="4"/>
        <v>4</v>
      </c>
      <c r="I28" s="66" t="s">
        <v>282</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281</v>
      </c>
      <c r="C29" s="98" t="s">
        <v>119</v>
      </c>
      <c r="D29" s="97">
        <v>0.8</v>
      </c>
      <c r="E29" s="96">
        <v>43843</v>
      </c>
      <c r="F29" s="96">
        <f>E29+7</f>
        <v>43850</v>
      </c>
      <c r="G29" s="61"/>
      <c r="H29" s="61">
        <f t="shared" si="4"/>
        <v>8</v>
      </c>
      <c r="I29" s="66" t="s">
        <v>280</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279</v>
      </c>
      <c r="C30" s="98" t="s">
        <v>119</v>
      </c>
      <c r="D30" s="97">
        <v>0.5</v>
      </c>
      <c r="E30" s="96">
        <v>43843</v>
      </c>
      <c r="F30" s="96">
        <f>E30+7</f>
        <v>43850</v>
      </c>
      <c r="G30" s="61"/>
      <c r="H30" s="61">
        <f t="shared" si="4"/>
        <v>8</v>
      </c>
      <c r="I30" s="89" t="s">
        <v>278</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277</v>
      </c>
      <c r="C31" s="98" t="s">
        <v>119</v>
      </c>
      <c r="D31" s="97">
        <v>0</v>
      </c>
      <c r="E31" s="96"/>
      <c r="F31" s="96">
        <f>E31+3</f>
        <v>3</v>
      </c>
      <c r="G31" s="61"/>
      <c r="H31" s="61" t="str">
        <f t="shared" si="4"/>
        <v/>
      </c>
      <c r="I31" s="66" t="s">
        <v>276</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275</v>
      </c>
      <c r="C32" s="98" t="s">
        <v>119</v>
      </c>
      <c r="D32" s="97">
        <v>0.5</v>
      </c>
      <c r="E32" s="96">
        <v>43843</v>
      </c>
      <c r="F32" s="96">
        <f>E32+7</f>
        <v>43850</v>
      </c>
      <c r="G32" s="61"/>
      <c r="H32" s="61">
        <f t="shared" si="4"/>
        <v>8</v>
      </c>
      <c r="I32" s="66" t="s">
        <v>274</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272</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271</v>
      </c>
      <c r="C35" s="87" t="s">
        <v>119</v>
      </c>
      <c r="D35" s="87">
        <v>0.95</v>
      </c>
      <c r="E35" s="86">
        <v>43709</v>
      </c>
      <c r="F35" s="86">
        <f>E35+3</f>
        <v>43712</v>
      </c>
      <c r="G35" s="61"/>
      <c r="H35" s="61">
        <f t="shared" si="4"/>
        <v>4</v>
      </c>
      <c r="I35" s="66" t="s">
        <v>270</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269</v>
      </c>
      <c r="C36" s="87" t="s">
        <v>119</v>
      </c>
      <c r="D36" s="87">
        <v>0.5</v>
      </c>
      <c r="E36" s="86">
        <v>43712</v>
      </c>
      <c r="F36" s="86">
        <f>E36+3</f>
        <v>43715</v>
      </c>
      <c r="G36" s="61"/>
      <c r="H36" s="61">
        <f t="shared" si="4"/>
        <v>4</v>
      </c>
      <c r="I36" s="89" t="s">
        <v>268</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267</v>
      </c>
      <c r="C37" s="87" t="s">
        <v>119</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266</v>
      </c>
      <c r="C38" s="87" t="s">
        <v>119</v>
      </c>
      <c r="D38" s="87">
        <v>0.4</v>
      </c>
      <c r="E38" s="86">
        <v>43721</v>
      </c>
      <c r="F38" s="86">
        <f>E38+1</f>
        <v>43722</v>
      </c>
      <c r="G38" s="61"/>
      <c r="H38" s="61">
        <f t="shared" si="4"/>
        <v>2</v>
      </c>
      <c r="I38" s="89" t="s">
        <v>265</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264</v>
      </c>
      <c r="C39" s="87" t="s">
        <v>119</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263</v>
      </c>
      <c r="C40" s="87" t="s">
        <v>119</v>
      </c>
      <c r="D40" s="87">
        <v>0.4</v>
      </c>
      <c r="E40" s="86">
        <v>43723</v>
      </c>
      <c r="F40" s="86">
        <f>E40+3</f>
        <v>43726</v>
      </c>
      <c r="G40" s="61"/>
      <c r="H40" s="61">
        <f t="shared" si="5"/>
        <v>4</v>
      </c>
      <c r="I40" s="89" t="s">
        <v>262</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261</v>
      </c>
      <c r="C41" s="87" t="s">
        <v>119</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260</v>
      </c>
      <c r="C42" s="87"/>
      <c r="D42" s="87">
        <v>0.5</v>
      </c>
      <c r="E42" s="86">
        <v>43727</v>
      </c>
      <c r="F42" s="86">
        <f>E42+1</f>
        <v>43728</v>
      </c>
      <c r="G42" s="61"/>
      <c r="H42" s="61">
        <f t="shared" si="5"/>
        <v>2</v>
      </c>
      <c r="I42" s="66" t="s">
        <v>259</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258</v>
      </c>
      <c r="C43" s="87" t="s">
        <v>119</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257</v>
      </c>
      <c r="C44" s="87" t="s">
        <v>119</v>
      </c>
      <c r="D44" s="87">
        <v>0.95</v>
      </c>
      <c r="E44" s="86">
        <v>43725</v>
      </c>
      <c r="F44" s="86">
        <f>E44+4</f>
        <v>43729</v>
      </c>
      <c r="G44" s="61"/>
      <c r="H44" s="61">
        <f t="shared" si="5"/>
        <v>5</v>
      </c>
      <c r="I44" s="89" t="s">
        <v>256</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255</v>
      </c>
      <c r="C45" s="87" t="s">
        <v>119</v>
      </c>
      <c r="D45" s="87">
        <v>0.8</v>
      </c>
      <c r="E45" s="86">
        <v>43862</v>
      </c>
      <c r="F45" s="86">
        <f t="shared" ref="F45:F76" si="6">E45+28</f>
        <v>43890</v>
      </c>
      <c r="G45" s="61"/>
      <c r="H45" s="61">
        <f t="shared" si="5"/>
        <v>29</v>
      </c>
      <c r="I45" s="89" t="s">
        <v>254</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253</v>
      </c>
      <c r="C46" s="87" t="s">
        <v>119</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252</v>
      </c>
      <c r="C47" s="87" t="s">
        <v>119</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251</v>
      </c>
      <c r="C48" s="87" t="s">
        <v>119</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250</v>
      </c>
      <c r="C49" s="87" t="s">
        <v>119</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249</v>
      </c>
      <c r="C50" s="87" t="s">
        <v>119</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248</v>
      </c>
      <c r="C51" s="87" t="s">
        <v>119</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248</v>
      </c>
      <c r="C52" s="87" t="s">
        <v>119</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247</v>
      </c>
      <c r="C53" s="87" t="s">
        <v>119</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246</v>
      </c>
      <c r="C54" s="87" t="s">
        <v>119</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245</v>
      </c>
      <c r="C55" s="87" t="s">
        <v>119</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244</v>
      </c>
      <c r="C56" s="87" t="s">
        <v>119</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243</v>
      </c>
      <c r="C57" s="87" t="s">
        <v>119</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242</v>
      </c>
      <c r="C58" s="87" t="s">
        <v>119</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241</v>
      </c>
      <c r="C59" s="87" t="s">
        <v>119</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240</v>
      </c>
      <c r="C60" s="87" t="s">
        <v>119</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239</v>
      </c>
      <c r="C61" s="87" t="s">
        <v>119</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238</v>
      </c>
      <c r="C62" s="87" t="s">
        <v>119</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237</v>
      </c>
      <c r="C63" s="87" t="s">
        <v>222</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236</v>
      </c>
      <c r="C64" s="87" t="s">
        <v>222</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235</v>
      </c>
      <c r="C65" s="87" t="s">
        <v>222</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234</v>
      </c>
      <c r="C66" s="87" t="s">
        <v>179</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233</v>
      </c>
      <c r="C67" s="87" t="s">
        <v>179</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232</v>
      </c>
      <c r="C68" s="87" t="s">
        <v>179</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231</v>
      </c>
      <c r="C69" s="87" t="s">
        <v>222</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230</v>
      </c>
      <c r="C70" s="87" t="s">
        <v>119</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229</v>
      </c>
      <c r="C71" s="87" t="s">
        <v>119</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228</v>
      </c>
      <c r="C72" s="87" t="s">
        <v>119</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227</v>
      </c>
      <c r="C73" s="87" t="s">
        <v>119</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226</v>
      </c>
      <c r="C74" s="87" t="s">
        <v>179</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225</v>
      </c>
      <c r="C75" s="87" t="s">
        <v>179</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224</v>
      </c>
      <c r="C76" s="87" t="s">
        <v>119</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223</v>
      </c>
      <c r="C77" s="87" t="s">
        <v>222</v>
      </c>
      <c r="D77" s="87">
        <v>0.3</v>
      </c>
      <c r="E77" s="86">
        <v>43730</v>
      </c>
      <c r="F77" s="86">
        <f>E77+5</f>
        <v>43735</v>
      </c>
      <c r="G77" s="61"/>
      <c r="H77" s="61">
        <f t="shared" si="7"/>
        <v>6</v>
      </c>
      <c r="I77" s="89" t="s">
        <v>220</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221</v>
      </c>
      <c r="C78" s="87" t="s">
        <v>119</v>
      </c>
      <c r="D78" s="87">
        <v>0.3</v>
      </c>
      <c r="E78" s="86">
        <v>43730</v>
      </c>
      <c r="F78" s="86">
        <f>E78+5</f>
        <v>43735</v>
      </c>
      <c r="G78" s="61"/>
      <c r="H78" s="61">
        <f t="shared" si="7"/>
        <v>6</v>
      </c>
      <c r="I78" s="89" t="s">
        <v>220</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219</v>
      </c>
      <c r="C79" s="87" t="s">
        <v>119</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218</v>
      </c>
      <c r="C80" s="87" t="s">
        <v>119</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217</v>
      </c>
      <c r="C81" s="87" t="s">
        <v>119</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216</v>
      </c>
      <c r="C82" s="87" t="s">
        <v>119</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215</v>
      </c>
      <c r="C83" s="87" t="s">
        <v>119</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214</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213</v>
      </c>
      <c r="C89" s="79" t="s">
        <v>119</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212</v>
      </c>
      <c r="C90" s="79" t="s">
        <v>179</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211</v>
      </c>
      <c r="C91" s="79" t="s">
        <v>119</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210</v>
      </c>
      <c r="C92" s="79" t="s">
        <v>119</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209</v>
      </c>
      <c r="C93" s="79" t="s">
        <v>119</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208</v>
      </c>
      <c r="C94" s="79" t="s">
        <v>179</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207</v>
      </c>
      <c r="C95" s="79" t="s">
        <v>119</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206</v>
      </c>
      <c r="C96" s="79" t="s">
        <v>119</v>
      </c>
      <c r="D96" s="78">
        <v>0.5</v>
      </c>
      <c r="E96" s="77">
        <v>43770</v>
      </c>
      <c r="F96" s="77">
        <f>E96+2</f>
        <v>43772</v>
      </c>
      <c r="G96" s="61"/>
      <c r="H96" s="61">
        <f t="shared" si="8"/>
        <v>3</v>
      </c>
      <c r="I96" s="66" t="s">
        <v>205</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204</v>
      </c>
      <c r="C97" s="79" t="s">
        <v>179</v>
      </c>
      <c r="D97" s="78">
        <v>0.5</v>
      </c>
      <c r="E97" s="77">
        <v>43770</v>
      </c>
      <c r="F97" s="77">
        <f>E97+2</f>
        <v>43772</v>
      </c>
      <c r="G97" s="61"/>
      <c r="H97" s="61">
        <f t="shared" si="8"/>
        <v>3</v>
      </c>
      <c r="I97" s="66" t="s">
        <v>203</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202</v>
      </c>
      <c r="C98" s="79" t="s">
        <v>119</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201</v>
      </c>
      <c r="C99" s="79" t="s">
        <v>119</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200</v>
      </c>
      <c r="C100" s="79" t="s">
        <v>119</v>
      </c>
      <c r="D100" s="78">
        <v>0.9</v>
      </c>
      <c r="E100" s="77">
        <v>43773</v>
      </c>
      <c r="F100" s="77">
        <f>E100+7</f>
        <v>43780</v>
      </c>
      <c r="G100" s="61"/>
      <c r="H100" s="61">
        <f t="shared" si="8"/>
        <v>8</v>
      </c>
      <c r="I100" s="66" t="s">
        <v>338</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199</v>
      </c>
      <c r="C101" s="79" t="s">
        <v>198</v>
      </c>
      <c r="D101" s="78">
        <v>0.8</v>
      </c>
      <c r="E101" s="77">
        <v>43885</v>
      </c>
      <c r="F101" s="77">
        <f>E101+14</f>
        <v>43899</v>
      </c>
      <c r="G101" s="61"/>
      <c r="H101" s="61">
        <f t="shared" si="8"/>
        <v>15</v>
      </c>
      <c r="I101" s="66" t="s">
        <v>337</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197</v>
      </c>
      <c r="C102" s="79" t="s">
        <v>119</v>
      </c>
      <c r="D102" s="78">
        <v>0.8</v>
      </c>
      <c r="E102" s="77">
        <v>43781</v>
      </c>
      <c r="F102" s="77">
        <f>E102+7</f>
        <v>43788</v>
      </c>
      <c r="G102" s="61"/>
      <c r="H102" s="61">
        <f t="shared" si="8"/>
        <v>8</v>
      </c>
      <c r="I102" s="66" t="s">
        <v>339</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196</v>
      </c>
      <c r="C103" s="79" t="s">
        <v>119</v>
      </c>
      <c r="D103" s="78">
        <v>0.7</v>
      </c>
      <c r="E103" s="77">
        <v>43789</v>
      </c>
      <c r="F103" s="77">
        <f>E103+3</f>
        <v>43792</v>
      </c>
      <c r="G103" s="61"/>
      <c r="H103" s="61">
        <f t="shared" si="8"/>
        <v>4</v>
      </c>
      <c r="I103" s="66" t="s">
        <v>339</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195</v>
      </c>
      <c r="C104" s="79" t="s">
        <v>119</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194</v>
      </c>
      <c r="C105" s="79" t="s">
        <v>119</v>
      </c>
      <c r="D105" s="78">
        <v>0.1</v>
      </c>
      <c r="E105" s="77">
        <v>43796</v>
      </c>
      <c r="F105" s="77">
        <f>E105+5</f>
        <v>43801</v>
      </c>
      <c r="G105" s="61"/>
      <c r="H105" s="61">
        <f t="shared" si="8"/>
        <v>6</v>
      </c>
      <c r="I105" s="66" t="s">
        <v>340</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193</v>
      </c>
      <c r="C106" s="79" t="s">
        <v>119</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192</v>
      </c>
      <c r="C107" s="79" t="s">
        <v>119</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191</v>
      </c>
      <c r="C108" s="79" t="s">
        <v>119</v>
      </c>
      <c r="D108" s="78">
        <v>0.3</v>
      </c>
      <c r="E108" s="77">
        <v>43807</v>
      </c>
      <c r="F108" s="77">
        <f>E108+3</f>
        <v>43810</v>
      </c>
      <c r="G108" s="61"/>
      <c r="H108" s="61">
        <f t="shared" si="8"/>
        <v>4</v>
      </c>
      <c r="I108" s="66" t="s">
        <v>343</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190</v>
      </c>
      <c r="C109" s="79" t="s">
        <v>119</v>
      </c>
      <c r="D109" s="78">
        <v>0</v>
      </c>
      <c r="E109" s="77"/>
      <c r="F109" s="77">
        <f t="shared" si="9"/>
        <v>7</v>
      </c>
      <c r="G109" s="61"/>
      <c r="H109" s="61" t="str">
        <f t="shared" si="8"/>
        <v/>
      </c>
      <c r="I109" s="66" t="s">
        <v>342</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189</v>
      </c>
      <c r="C110" s="79" t="s">
        <v>179</v>
      </c>
      <c r="D110" s="78">
        <v>0</v>
      </c>
      <c r="E110" s="77"/>
      <c r="F110" s="77">
        <f t="shared" si="9"/>
        <v>7</v>
      </c>
      <c r="G110" s="61"/>
      <c r="H110" s="61" t="str">
        <f t="shared" si="8"/>
        <v/>
      </c>
      <c r="I110" s="66" t="s">
        <v>342</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188</v>
      </c>
      <c r="C111" s="79" t="s">
        <v>119</v>
      </c>
      <c r="D111" s="78">
        <v>0.1</v>
      </c>
      <c r="E111" s="77"/>
      <c r="F111" s="77">
        <f t="shared" si="9"/>
        <v>7</v>
      </c>
      <c r="G111" s="61"/>
      <c r="H111" s="61" t="str">
        <f t="shared" si="8"/>
        <v/>
      </c>
      <c r="I111" s="66" t="s">
        <v>341</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187</v>
      </c>
      <c r="C112" s="79" t="s">
        <v>179</v>
      </c>
      <c r="D112" s="78">
        <v>0.1</v>
      </c>
      <c r="E112" s="77"/>
      <c r="F112" s="77">
        <f t="shared" si="9"/>
        <v>7</v>
      </c>
      <c r="G112" s="61"/>
      <c r="H112" s="61" t="str">
        <f t="shared" si="8"/>
        <v/>
      </c>
      <c r="I112" s="66" t="s">
        <v>341</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186</v>
      </c>
      <c r="C113" s="79" t="s">
        <v>179</v>
      </c>
      <c r="D113" s="78">
        <v>0.1</v>
      </c>
      <c r="E113" s="77"/>
      <c r="F113" s="77">
        <f t="shared" si="9"/>
        <v>7</v>
      </c>
      <c r="G113" s="61"/>
      <c r="H113" s="61" t="str">
        <f t="shared" si="8"/>
        <v/>
      </c>
      <c r="I113" s="66" t="s">
        <v>341</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185</v>
      </c>
      <c r="C114" s="79" t="s">
        <v>119</v>
      </c>
      <c r="D114" s="78">
        <v>0.1</v>
      </c>
      <c r="E114" s="77"/>
      <c r="F114" s="77">
        <f t="shared" si="9"/>
        <v>7</v>
      </c>
      <c r="G114" s="61"/>
      <c r="H114" s="61" t="str">
        <f t="shared" si="8"/>
        <v/>
      </c>
      <c r="I114" s="66" t="s">
        <v>341</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182</v>
      </c>
      <c r="C117" s="69" t="s">
        <v>119</v>
      </c>
      <c r="D117" s="68">
        <v>0.7</v>
      </c>
      <c r="E117" s="71">
        <v>43811</v>
      </c>
      <c r="F117" s="122">
        <f>E117+5</f>
        <v>43816</v>
      </c>
      <c r="G117" s="61"/>
      <c r="H117" s="61">
        <f t="shared" si="10"/>
        <v>6</v>
      </c>
      <c r="I117" s="66" t="s">
        <v>344</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181</v>
      </c>
      <c r="C118" s="69" t="s">
        <v>119</v>
      </c>
      <c r="D118" s="68">
        <v>0.5</v>
      </c>
      <c r="E118" s="67">
        <v>43817</v>
      </c>
      <c r="F118" s="122">
        <f>E118+14</f>
        <v>43831</v>
      </c>
      <c r="G118" s="61"/>
      <c r="H118" s="61">
        <f t="shared" si="10"/>
        <v>15</v>
      </c>
      <c r="I118" s="66" t="s">
        <v>345</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180</v>
      </c>
      <c r="C119" s="69" t="s">
        <v>179</v>
      </c>
      <c r="D119" s="68">
        <v>0.5</v>
      </c>
      <c r="E119" s="67">
        <v>43833</v>
      </c>
      <c r="F119" s="122">
        <f>E119+14</f>
        <v>43847</v>
      </c>
      <c r="G119" s="61"/>
      <c r="H119" s="61">
        <f t="shared" si="10"/>
        <v>15</v>
      </c>
      <c r="I119" s="66" t="s">
        <v>346</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178</v>
      </c>
      <c r="C120" s="69" t="s">
        <v>119</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177</v>
      </c>
      <c r="C121" s="69" t="s">
        <v>119</v>
      </c>
      <c r="D121" s="68">
        <v>0.7</v>
      </c>
      <c r="E121" s="67">
        <v>43837</v>
      </c>
      <c r="F121" s="122">
        <f t="shared" ref="F121:F128" si="11">E121+5</f>
        <v>43842</v>
      </c>
      <c r="G121" s="61"/>
      <c r="H121" s="61">
        <f t="shared" si="10"/>
        <v>6</v>
      </c>
      <c r="I121" s="66" t="s">
        <v>347</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176</v>
      </c>
      <c r="C122" s="69" t="s">
        <v>119</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175</v>
      </c>
      <c r="C123" s="69" t="s">
        <v>119</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174</v>
      </c>
      <c r="C124" s="69" t="s">
        <v>119</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173</v>
      </c>
      <c r="C125" s="69" t="s">
        <v>119</v>
      </c>
      <c r="D125" s="68">
        <v>0.7</v>
      </c>
      <c r="E125" s="67">
        <v>43854</v>
      </c>
      <c r="F125" s="122">
        <f>E125+5</f>
        <v>43859</v>
      </c>
      <c r="G125" s="61"/>
      <c r="H125" s="61">
        <f t="shared" si="10"/>
        <v>6</v>
      </c>
      <c r="I125" s="66" t="s">
        <v>348</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172</v>
      </c>
      <c r="C126" s="69" t="s">
        <v>119</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171</v>
      </c>
      <c r="C127" s="69" t="s">
        <v>119</v>
      </c>
      <c r="D127" s="68">
        <v>0.5</v>
      </c>
      <c r="E127" s="67">
        <v>43862</v>
      </c>
      <c r="F127" s="122">
        <f>E127+2</f>
        <v>43864</v>
      </c>
      <c r="G127" s="61"/>
      <c r="H127" s="61">
        <f t="shared" si="10"/>
        <v>3</v>
      </c>
      <c r="I127" s="66" t="s">
        <v>349</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170</v>
      </c>
      <c r="C128" s="69" t="s">
        <v>119</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169</v>
      </c>
      <c r="C129" s="69" t="s">
        <v>119</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168</v>
      </c>
      <c r="C130" s="69" t="s">
        <v>119</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167</v>
      </c>
      <c r="C131" s="69" t="s">
        <v>119</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166</v>
      </c>
      <c r="C132" s="69" t="s">
        <v>119</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165</v>
      </c>
      <c r="C133" s="69" t="s">
        <v>119</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164</v>
      </c>
      <c r="C134" s="69" t="s">
        <v>119</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163</v>
      </c>
      <c r="C135" s="69" t="s">
        <v>119</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162</v>
      </c>
      <c r="C136" s="69" t="s">
        <v>119</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161</v>
      </c>
      <c r="C137" s="69" t="s">
        <v>119</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160</v>
      </c>
      <c r="C138" s="69" t="s">
        <v>119</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159</v>
      </c>
      <c r="C139" s="69" t="s">
        <v>119</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158</v>
      </c>
      <c r="C140" s="69" t="s">
        <v>119</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157</v>
      </c>
      <c r="C141" s="69" t="s">
        <v>119</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156</v>
      </c>
      <c r="C142" s="69" t="s">
        <v>119</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155</v>
      </c>
      <c r="C143" s="69" t="s">
        <v>119</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154</v>
      </c>
      <c r="C144" s="69" t="s">
        <v>119</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153</v>
      </c>
      <c r="C145" s="69" t="s">
        <v>119</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152</v>
      </c>
      <c r="C146" s="69" t="s">
        <v>119</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151</v>
      </c>
      <c r="C147" s="69" t="s">
        <v>119</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150</v>
      </c>
      <c r="C148" s="69" t="s">
        <v>119</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149</v>
      </c>
      <c r="C149" s="69" t="s">
        <v>119</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148</v>
      </c>
      <c r="C150" s="69" t="s">
        <v>119</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147</v>
      </c>
      <c r="C151" s="69" t="s">
        <v>119</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146</v>
      </c>
      <c r="C152" s="69" t="s">
        <v>119</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145</v>
      </c>
      <c r="C153" s="69" t="s">
        <v>119</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144</v>
      </c>
      <c r="C154" s="69" t="s">
        <v>119</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143</v>
      </c>
      <c r="C155" s="69" t="s">
        <v>119</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142</v>
      </c>
      <c r="C156" s="69" t="s">
        <v>119</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351</v>
      </c>
      <c r="C157" s="69" t="s">
        <v>119</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350</v>
      </c>
      <c r="C158" s="69" t="s">
        <v>119</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352</v>
      </c>
      <c r="C159" s="69" t="s">
        <v>119</v>
      </c>
      <c r="D159" s="68">
        <v>0.3</v>
      </c>
      <c r="E159" s="67"/>
      <c r="F159" s="67"/>
      <c r="G159" s="61"/>
      <c r="H159" s="61" t="str">
        <f t="shared" si="12"/>
        <v/>
      </c>
      <c r="I159" s="66" t="s">
        <v>353</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141</v>
      </c>
      <c r="C160" s="69" t="s">
        <v>119</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140</v>
      </c>
      <c r="C161" s="69" t="s">
        <v>119</v>
      </c>
      <c r="D161" s="68">
        <v>0.6</v>
      </c>
      <c r="E161" s="67"/>
      <c r="F161" s="67"/>
      <c r="G161" s="61"/>
      <c r="H161" s="61" t="str">
        <f t="shared" si="12"/>
        <v/>
      </c>
      <c r="I161" s="66" t="s">
        <v>354</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139</v>
      </c>
      <c r="C162" s="69" t="s">
        <v>119</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138</v>
      </c>
      <c r="C163" s="69" t="s">
        <v>119</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137</v>
      </c>
      <c r="C164" s="69" t="s">
        <v>119</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136</v>
      </c>
      <c r="C165" s="69" t="s">
        <v>119</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135</v>
      </c>
      <c r="C166" s="69" t="s">
        <v>119</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134</v>
      </c>
      <c r="C167" s="69" t="s">
        <v>119</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133</v>
      </c>
      <c r="C168" s="69" t="s">
        <v>119</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119</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132</v>
      </c>
      <c r="C170" s="69" t="s">
        <v>119</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131</v>
      </c>
      <c r="C171" s="69" t="s">
        <v>119</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130</v>
      </c>
      <c r="C172" s="69" t="s">
        <v>119</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129</v>
      </c>
      <c r="C173" s="69" t="s">
        <v>119</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128</v>
      </c>
      <c r="C174" s="69" t="s">
        <v>119</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127</v>
      </c>
      <c r="C175" s="69" t="s">
        <v>119</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126</v>
      </c>
      <c r="C176" s="69" t="s">
        <v>119</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125</v>
      </c>
      <c r="C177" s="69" t="s">
        <v>119</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124</v>
      </c>
      <c r="C178" s="69" t="s">
        <v>119</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123</v>
      </c>
      <c r="C179" s="69" t="s">
        <v>119</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122</v>
      </c>
      <c r="C180" s="69" t="s">
        <v>119</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121</v>
      </c>
      <c r="C181" s="69" t="s">
        <v>119</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120</v>
      </c>
      <c r="C182" s="69" t="s">
        <v>119</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355</v>
      </c>
      <c r="C183" s="69" t="s">
        <v>119</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434" priority="4">
      <formula>AND(TODAY()&gt;=J$5,TODAY()&lt;K$5)</formula>
    </cfRule>
  </conditionalFormatting>
  <conditionalFormatting sqref="J7:BM187">
    <cfRule type="expression" dxfId="433" priority="2">
      <formula>AND(task_start&lt;=J$5,ROUNDDOWN((task_end-task_start+1)*task_progress,0)+task_start-1&gt;=J$5)</formula>
    </cfRule>
    <cfRule type="expression" dxfId="432"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C35" sqref="C35"/>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455</v>
      </c>
      <c r="C1" s="140"/>
      <c r="D1" s="140"/>
      <c r="E1" s="140"/>
      <c r="F1" s="140"/>
      <c r="G1" s="140"/>
      <c r="H1" s="140"/>
      <c r="I1" s="140"/>
      <c r="J1" s="140"/>
      <c r="K1" s="140"/>
      <c r="L1" s="140"/>
      <c r="M1" s="140"/>
      <c r="N1" s="140"/>
    </row>
    <row r="2" spans="1:14" ht="28.5" customHeight="1" x14ac:dyDescent="0.15">
      <c r="A2" s="140"/>
      <c r="B2" s="141" t="s">
        <v>454</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453</v>
      </c>
      <c r="C18" s="138"/>
      <c r="D18" s="137"/>
      <c r="I18" s="132"/>
      <c r="K18" s="132"/>
      <c r="M18" s="132"/>
      <c r="N18" s="131"/>
    </row>
    <row r="19" spans="2:14" ht="24" customHeight="1" x14ac:dyDescent="0.35">
      <c r="B19" s="136" t="s">
        <v>117</v>
      </c>
      <c r="C19" s="136" t="s">
        <v>360</v>
      </c>
      <c r="D19" s="135" t="s">
        <v>452</v>
      </c>
      <c r="E19" s="135" t="s">
        <v>451</v>
      </c>
      <c r="I19" s="132"/>
      <c r="K19" s="132"/>
      <c r="L19" s="134"/>
      <c r="M19" s="132"/>
      <c r="N19" s="131"/>
    </row>
    <row r="20" spans="2:14" ht="19.5" customHeight="1" x14ac:dyDescent="0.35">
      <c r="B20" s="128">
        <v>43647</v>
      </c>
      <c r="C20" s="127" t="s">
        <v>461</v>
      </c>
      <c r="D20" s="130">
        <v>30</v>
      </c>
      <c r="E20" s="133">
        <f>1</f>
        <v>1</v>
      </c>
      <c r="I20" s="132"/>
      <c r="K20" s="132"/>
      <c r="M20" s="132"/>
      <c r="N20" s="131"/>
    </row>
    <row r="21" spans="2:14" ht="19.5" customHeight="1" x14ac:dyDescent="0.35">
      <c r="B21" s="128">
        <v>43727</v>
      </c>
      <c r="C21" s="127" t="s">
        <v>462</v>
      </c>
      <c r="D21" s="130">
        <v>-25</v>
      </c>
      <c r="E21" s="133">
        <f>1</f>
        <v>1</v>
      </c>
      <c r="I21" s="132"/>
      <c r="K21" s="132"/>
      <c r="L21" s="134"/>
      <c r="M21" s="132"/>
      <c r="N21" s="131"/>
    </row>
    <row r="22" spans="2:14" ht="61.5" customHeight="1" x14ac:dyDescent="0.35">
      <c r="B22" s="128">
        <v>43767</v>
      </c>
      <c r="C22" s="143" t="s">
        <v>466</v>
      </c>
      <c r="D22" s="130">
        <v>5</v>
      </c>
      <c r="E22" s="133">
        <f>1</f>
        <v>1</v>
      </c>
      <c r="I22" s="132"/>
      <c r="K22" s="132"/>
      <c r="M22" s="132"/>
      <c r="N22" s="131"/>
    </row>
    <row r="23" spans="2:14" ht="19.5" customHeight="1" x14ac:dyDescent="0.35">
      <c r="B23" s="128">
        <v>43807</v>
      </c>
      <c r="C23" s="127" t="s">
        <v>456</v>
      </c>
      <c r="D23" s="130">
        <v>-15</v>
      </c>
      <c r="E23" s="133">
        <f>1</f>
        <v>1</v>
      </c>
      <c r="I23" s="132"/>
      <c r="K23" s="132"/>
      <c r="M23" s="132"/>
      <c r="N23" s="131"/>
    </row>
    <row r="24" spans="2:14" ht="19.5" customHeight="1" x14ac:dyDescent="0.35">
      <c r="B24" s="128">
        <v>43847</v>
      </c>
      <c r="C24" s="127" t="s">
        <v>457</v>
      </c>
      <c r="D24" s="130">
        <v>20</v>
      </c>
      <c r="E24" s="133">
        <f>1</f>
        <v>1</v>
      </c>
      <c r="I24" s="132"/>
      <c r="K24" s="132"/>
      <c r="M24" s="132"/>
      <c r="N24" s="131"/>
    </row>
    <row r="25" spans="2:14" ht="54" customHeight="1" x14ac:dyDescent="0.35">
      <c r="B25" s="128">
        <v>43907</v>
      </c>
      <c r="C25" s="143" t="s">
        <v>458</v>
      </c>
      <c r="D25" s="130">
        <v>-30</v>
      </c>
      <c r="E25" s="133">
        <f>1</f>
        <v>1</v>
      </c>
      <c r="I25" s="132"/>
      <c r="K25" s="132"/>
      <c r="M25" s="132"/>
      <c r="N25" s="131"/>
    </row>
    <row r="26" spans="2:14" ht="19.5" customHeight="1" x14ac:dyDescent="0.35">
      <c r="B26" s="128">
        <v>43922</v>
      </c>
      <c r="C26" s="127" t="s">
        <v>467</v>
      </c>
      <c r="D26" s="130">
        <v>10</v>
      </c>
      <c r="E26" s="127">
        <f>1</f>
        <v>1</v>
      </c>
      <c r="I26" s="132"/>
      <c r="K26" s="132"/>
      <c r="M26" s="132"/>
      <c r="N26" s="131"/>
    </row>
    <row r="27" spans="2:14" ht="19.5" customHeight="1" x14ac:dyDescent="0.15">
      <c r="B27" s="128">
        <v>43947</v>
      </c>
      <c r="C27" s="127" t="s">
        <v>459</v>
      </c>
      <c r="D27" s="130">
        <v>-15</v>
      </c>
      <c r="E27" s="133">
        <f>1</f>
        <v>1</v>
      </c>
    </row>
    <row r="28" spans="2:14" ht="19.5" customHeight="1" x14ac:dyDescent="0.15">
      <c r="B28" s="128">
        <v>43966</v>
      </c>
      <c r="C28" s="127" t="s">
        <v>460</v>
      </c>
      <c r="D28" s="130">
        <v>20</v>
      </c>
      <c r="E28" s="125">
        <f>1</f>
        <v>1</v>
      </c>
    </row>
    <row r="29" spans="2:14" ht="19.5" customHeight="1" x14ac:dyDescent="0.15">
      <c r="B29" s="128">
        <v>43995</v>
      </c>
      <c r="C29" s="127" t="s">
        <v>472</v>
      </c>
      <c r="D29" s="130">
        <v>-25</v>
      </c>
      <c r="E29" s="125">
        <f>1</f>
        <v>1</v>
      </c>
      <c r="H29" s="129"/>
    </row>
    <row r="30" spans="2:14" ht="19.5" customHeight="1" x14ac:dyDescent="0.15">
      <c r="B30" s="128">
        <v>44044</v>
      </c>
      <c r="C30" s="127" t="s">
        <v>465</v>
      </c>
      <c r="D30" s="130">
        <v>30</v>
      </c>
      <c r="E30" s="145">
        <f>1</f>
        <v>1</v>
      </c>
      <c r="H30" s="129"/>
    </row>
    <row r="31" spans="2:14" ht="89.25" customHeight="1" x14ac:dyDescent="0.15">
      <c r="B31" s="128">
        <v>44075</v>
      </c>
      <c r="C31" s="143" t="s">
        <v>476</v>
      </c>
      <c r="D31" s="130">
        <v>-25</v>
      </c>
      <c r="E31" s="125">
        <f>1</f>
        <v>1</v>
      </c>
    </row>
    <row r="32" spans="2:14" ht="19.5" customHeight="1" x14ac:dyDescent="0.15">
      <c r="B32" s="128">
        <v>44127</v>
      </c>
      <c r="C32" s="127" t="s">
        <v>463</v>
      </c>
      <c r="D32" s="126">
        <v>-10</v>
      </c>
      <c r="E32" s="125">
        <f>1</f>
        <v>1</v>
      </c>
    </row>
    <row r="33" spans="2:5" ht="73.5" customHeight="1" x14ac:dyDescent="0.15">
      <c r="B33" s="128">
        <v>44165</v>
      </c>
      <c r="C33" s="143" t="s">
        <v>477</v>
      </c>
      <c r="D33" s="126">
        <v>10</v>
      </c>
      <c r="E33" s="145">
        <f>1</f>
        <v>1</v>
      </c>
    </row>
    <row r="34" spans="2:5" ht="19.5" customHeight="1" x14ac:dyDescent="0.15">
      <c r="B34" s="128">
        <v>44196</v>
      </c>
      <c r="C34" s="127" t="s">
        <v>475</v>
      </c>
      <c r="D34" s="126">
        <v>-25</v>
      </c>
      <c r="E34" s="125">
        <f>1</f>
        <v>1</v>
      </c>
    </row>
    <row r="35" spans="2:5" ht="19.5" customHeight="1" x14ac:dyDescent="0.15">
      <c r="B35" s="128">
        <v>44226</v>
      </c>
      <c r="C35" s="127" t="s">
        <v>473</v>
      </c>
      <c r="D35" s="126">
        <v>30</v>
      </c>
      <c r="E35" s="145">
        <f>1</f>
        <v>1</v>
      </c>
    </row>
    <row r="36" spans="2:5" ht="19.5" customHeight="1" x14ac:dyDescent="0.15">
      <c r="B36" s="128" t="s">
        <v>468</v>
      </c>
      <c r="C36" s="127" t="s">
        <v>474</v>
      </c>
      <c r="D36" s="126">
        <v>-15</v>
      </c>
      <c r="E36" s="145">
        <f>1</f>
        <v>1</v>
      </c>
    </row>
    <row r="37" spans="2:5" ht="19.5" customHeight="1" x14ac:dyDescent="0.15">
      <c r="B37" s="128">
        <v>44285</v>
      </c>
      <c r="C37" s="127" t="s">
        <v>470</v>
      </c>
      <c r="D37" s="126">
        <v>5</v>
      </c>
      <c r="E37" s="145">
        <f>1</f>
        <v>1</v>
      </c>
    </row>
    <row r="38" spans="2:5" ht="19.5" customHeight="1" x14ac:dyDescent="0.15">
      <c r="B38" s="128">
        <v>44316</v>
      </c>
      <c r="C38" s="127" t="s">
        <v>471</v>
      </c>
      <c r="D38" s="126">
        <v>-25</v>
      </c>
      <c r="E38" s="145">
        <f>1</f>
        <v>1</v>
      </c>
    </row>
    <row r="39" spans="2:5" ht="19.5" customHeight="1" x14ac:dyDescent="0.15">
      <c r="B39" s="128">
        <v>44285</v>
      </c>
      <c r="C39" s="127" t="s">
        <v>469</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55"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437</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173" t="s">
        <v>328</v>
      </c>
      <c r="D3" s="174"/>
      <c r="E3" s="172">
        <v>43922</v>
      </c>
      <c r="F3" s="172"/>
    </row>
    <row r="4" spans="1:65" ht="30" customHeight="1" x14ac:dyDescent="0.3">
      <c r="A4" s="59" t="s">
        <v>327</v>
      </c>
      <c r="C4" s="173" t="s">
        <v>326</v>
      </c>
      <c r="D4" s="174"/>
      <c r="E4" s="113">
        <v>1</v>
      </c>
      <c r="J4" s="169">
        <f>J5</f>
        <v>43919</v>
      </c>
      <c r="K4" s="170"/>
      <c r="L4" s="170"/>
      <c r="M4" s="170"/>
      <c r="N4" s="170"/>
      <c r="O4" s="170"/>
      <c r="P4" s="171"/>
      <c r="Q4" s="169">
        <f>Q5</f>
        <v>43926</v>
      </c>
      <c r="R4" s="170"/>
      <c r="S4" s="170"/>
      <c r="T4" s="170"/>
      <c r="U4" s="170"/>
      <c r="V4" s="170"/>
      <c r="W4" s="171"/>
      <c r="X4" s="169">
        <f>X5</f>
        <v>43933</v>
      </c>
      <c r="Y4" s="170"/>
      <c r="Z4" s="170"/>
      <c r="AA4" s="170"/>
      <c r="AB4" s="170"/>
      <c r="AC4" s="170"/>
      <c r="AD4" s="171"/>
      <c r="AE4" s="169">
        <f>AE5</f>
        <v>43940</v>
      </c>
      <c r="AF4" s="170"/>
      <c r="AG4" s="170"/>
      <c r="AH4" s="170"/>
      <c r="AI4" s="170"/>
      <c r="AJ4" s="170"/>
      <c r="AK4" s="171"/>
      <c r="AL4" s="169">
        <f>AL5</f>
        <v>43947</v>
      </c>
      <c r="AM4" s="170"/>
      <c r="AN4" s="170"/>
      <c r="AO4" s="170"/>
      <c r="AP4" s="170"/>
      <c r="AQ4" s="170"/>
      <c r="AR4" s="171"/>
      <c r="AS4" s="169">
        <f>AS5</f>
        <v>43954</v>
      </c>
      <c r="AT4" s="170"/>
      <c r="AU4" s="170"/>
      <c r="AV4" s="170"/>
      <c r="AW4" s="170"/>
      <c r="AX4" s="170"/>
      <c r="AY4" s="171"/>
      <c r="AZ4" s="169">
        <f>AZ5</f>
        <v>43961</v>
      </c>
      <c r="BA4" s="170"/>
      <c r="BB4" s="170"/>
      <c r="BC4" s="170"/>
      <c r="BD4" s="170"/>
      <c r="BE4" s="170"/>
      <c r="BF4" s="171"/>
      <c r="BG4" s="169">
        <f>BG5</f>
        <v>43968</v>
      </c>
      <c r="BH4" s="170"/>
      <c r="BI4" s="170"/>
      <c r="BJ4" s="170"/>
      <c r="BK4" s="170"/>
      <c r="BL4" s="170"/>
      <c r="BM4" s="171"/>
    </row>
    <row r="5" spans="1:65" ht="15" customHeight="1" x14ac:dyDescent="0.3">
      <c r="A5" s="59" t="s">
        <v>325</v>
      </c>
      <c r="B5" s="175"/>
      <c r="C5" s="175"/>
      <c r="D5" s="175"/>
      <c r="E5" s="175"/>
      <c r="F5" s="175"/>
      <c r="G5" s="175"/>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316</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413</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408</v>
      </c>
      <c r="C9" s="98" t="s">
        <v>406</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409</v>
      </c>
      <c r="C10" s="98" t="s">
        <v>407</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410</v>
      </c>
      <c r="C11" s="98" t="s">
        <v>407</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411</v>
      </c>
      <c r="C12" s="98" t="s">
        <v>407</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412</v>
      </c>
      <c r="C13" s="98" t="s">
        <v>407</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414</v>
      </c>
      <c r="C14" s="98" t="s">
        <v>407</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415</v>
      </c>
      <c r="C15" s="98" t="s">
        <v>407</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416</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417</v>
      </c>
      <c r="C35" s="87" t="s">
        <v>198</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418</v>
      </c>
      <c r="C36" s="87" t="s">
        <v>419</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421</v>
      </c>
      <c r="C37" s="87" t="s">
        <v>119</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420</v>
      </c>
      <c r="C38" s="87" t="s">
        <v>119</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423</v>
      </c>
      <c r="C39" s="87" t="s">
        <v>119</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422</v>
      </c>
      <c r="C40" s="87" t="s">
        <v>424</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425</v>
      </c>
      <c r="C41" s="87" t="s">
        <v>119</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426</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428</v>
      </c>
      <c r="C43" s="87" t="s">
        <v>119</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427</v>
      </c>
      <c r="C44" s="87" t="s">
        <v>119</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429</v>
      </c>
      <c r="C45" s="87" t="s">
        <v>119</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430</v>
      </c>
      <c r="C46" s="87" t="s">
        <v>119</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431</v>
      </c>
      <c r="C47" s="87" t="s">
        <v>119</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432</v>
      </c>
      <c r="C48" s="87" t="s">
        <v>119</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433</v>
      </c>
      <c r="C49" s="87" t="s">
        <v>119</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434</v>
      </c>
      <c r="C50" s="87" t="s">
        <v>119</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435</v>
      </c>
      <c r="C51" s="87" t="s">
        <v>119</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436</v>
      </c>
      <c r="C52" s="87" t="s">
        <v>119</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464</v>
      </c>
      <c r="C53" s="87" t="s">
        <v>119</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119</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119</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119</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119</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119</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119</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119</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119</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119</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119</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119</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119</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119</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119</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119</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119</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119</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119</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119</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119</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119</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119</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119</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119</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119</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119</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119</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119</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119</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119</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438</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439</v>
      </c>
      <c r="C89" s="79" t="s">
        <v>119</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440</v>
      </c>
      <c r="C90" s="79" t="s">
        <v>119</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441</v>
      </c>
      <c r="C91" s="79" t="s">
        <v>119</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442</v>
      </c>
      <c r="C92" s="79" t="s">
        <v>119</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443</v>
      </c>
      <c r="C93" s="79" t="s">
        <v>119</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444</v>
      </c>
      <c r="C94" s="79" t="s">
        <v>119</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445</v>
      </c>
      <c r="C95" s="79" t="s">
        <v>119</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446</v>
      </c>
      <c r="C96" s="79" t="s">
        <v>119</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447</v>
      </c>
      <c r="C97" s="79" t="s">
        <v>119</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448</v>
      </c>
      <c r="C98" s="79" t="s">
        <v>119</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449</v>
      </c>
      <c r="C99" s="79" t="s">
        <v>119</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450</v>
      </c>
      <c r="C100" s="79" t="s">
        <v>119</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198</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119</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119</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119</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119</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119</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119</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119</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119</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119</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119</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119</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119</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119</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425" priority="4">
      <formula>AND(TODAY()&gt;=J$5,TODAY()&lt;K$5)</formula>
    </cfRule>
  </conditionalFormatting>
  <conditionalFormatting sqref="J7:BM187">
    <cfRule type="expression" dxfId="424" priority="2">
      <formula>AND(task_start&lt;=J$5,ROUNDDOWN((task_end-task_start+1)*task_progress,0)+task_start-1&gt;=J$5)</formula>
    </cfRule>
    <cfRule type="expression" dxfId="423"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21"/>
  <sheetViews>
    <sheetView topLeftCell="C1" zoomScale="115" zoomScaleNormal="115" workbookViewId="0">
      <pane ySplit="3" topLeftCell="A4" activePane="bottomLeft" state="frozen"/>
      <selection pane="bottomLeft" activeCell="F20" sqref="F20"/>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6" t="s">
        <v>0</v>
      </c>
      <c r="B1" s="176"/>
      <c r="C1" s="176"/>
      <c r="D1" s="176"/>
      <c r="E1" s="176"/>
      <c r="F1" s="176"/>
      <c r="G1" s="176"/>
      <c r="H1" s="176"/>
      <c r="I1" s="176"/>
      <c r="J1" s="176"/>
      <c r="K1" s="176"/>
      <c r="L1" s="176"/>
      <c r="M1" s="176"/>
      <c r="N1" s="176"/>
      <c r="O1" s="176"/>
      <c r="P1" s="17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7" t="s">
        <v>1</v>
      </c>
      <c r="B2" s="177"/>
      <c r="C2" s="5">
        <f ca="1">TODAY()</f>
        <v>44088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-412</v>
      </c>
      <c r="L4" s="13">
        <f t="shared" ref="L4" ca="1" si="2">IF(J4="OVERDUE",1,0)</f>
        <v>0</v>
      </c>
      <c r="M4" s="13">
        <f t="shared" ref="M4" ca="1" si="3">IF(J4="IN TIME",1,0)</f>
        <v>0</v>
      </c>
      <c r="N4" s="13">
        <f t="shared" ref="N4" ca="1" si="4">IF(J4="DONE",1,0)</f>
        <v>1</v>
      </c>
      <c r="O4" s="13">
        <f t="shared" ref="O4" ca="1" si="5">IF(G4&gt;0,G4-$C$2,"")</f>
        <v>-420</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-435</v>
      </c>
      <c r="L5" s="13">
        <f t="shared" ref="L5" ca="1" si="8">IF(J5="OVERDUE",1,0)</f>
        <v>0</v>
      </c>
      <c r="M5" s="13">
        <f t="shared" ref="M5" ca="1" si="9">IF(J5="IN TIME",1,0)</f>
        <v>0</v>
      </c>
      <c r="N5" s="13">
        <f t="shared" ref="N5" ca="1" si="10">IF(J5="DONE",1,0)</f>
        <v>1</v>
      </c>
      <c r="O5" s="13">
        <f t="shared" ref="O5" ca="1" si="11">IF(G5&gt;0,G5-$C$2,"")</f>
        <v>-442</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-441</v>
      </c>
      <c r="L6" s="13">
        <f t="shared" ref="L6" ca="1" si="14">IF(J6="OVERDUE",1,0)</f>
        <v>0</v>
      </c>
      <c r="M6" s="13">
        <f t="shared" ref="M6" ca="1" si="15">IF(J6="IN TIME",1,0)</f>
        <v>0</v>
      </c>
      <c r="N6" s="13">
        <f t="shared" ref="N6" ca="1" si="16">IF(J6="DONE",1,0)</f>
        <v>1</v>
      </c>
      <c r="O6" s="13">
        <f t="shared" ref="O6" ca="1" si="17">IF(G6&gt;0,G6-$C$2,"")</f>
        <v>-448</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-427</v>
      </c>
      <c r="L7" s="13">
        <f t="shared" ref="L7" ca="1" si="20">IF(J7="OVERDUE",1,0)</f>
        <v>0</v>
      </c>
      <c r="M7" s="13">
        <f t="shared" ref="M7" ca="1" si="21">IF(J7="IN TIME",1,0)</f>
        <v>0</v>
      </c>
      <c r="N7" s="13">
        <f t="shared" ref="N7" ca="1" si="22">IF(J7="DONE",1,0)</f>
        <v>1</v>
      </c>
      <c r="O7" s="13">
        <f t="shared" ref="O7" ca="1" si="23">IF(G7&gt;0,G7-$C$2,"")</f>
        <v>-440</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-410</v>
      </c>
      <c r="L8" s="13">
        <f t="shared" ref="L8" ca="1" si="26">IF(J8="OVERDUE",1,0)</f>
        <v>0</v>
      </c>
      <c r="M8" s="13">
        <f t="shared" ref="M8" ca="1" si="27">IF(J8="IN TIME",1,0)</f>
        <v>0</v>
      </c>
      <c r="N8" s="13">
        <f t="shared" ref="N8" ca="1" si="28">IF(J8="DONE",1,0)</f>
        <v>1</v>
      </c>
      <c r="O8" s="13">
        <f t="shared" ref="O8" ca="1" si="29">IF(G8&gt;0,G8-$C$2,"")</f>
        <v>-441</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-391</v>
      </c>
      <c r="L9" s="13">
        <f t="shared" ref="L9" ca="1" si="32">IF(J9="OVERDUE",1,0)</f>
        <v>0</v>
      </c>
      <c r="M9" s="13">
        <f t="shared" ref="M9" ca="1" si="33">IF(J9="IN TIME",1,0)</f>
        <v>0</v>
      </c>
      <c r="N9" s="13">
        <f t="shared" ref="N9" ca="1" si="34">IF(J9="DONE",1,0)</f>
        <v>1</v>
      </c>
      <c r="O9" s="13">
        <f t="shared" ref="O9" ca="1" si="35">IF(G9&gt;0,G9-$C$2,"")</f>
        <v>-410</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-412</v>
      </c>
      <c r="L10" s="13">
        <f t="shared" ref="L10" ca="1" si="38">IF(J10="OVERDUE",1,0)</f>
        <v>0</v>
      </c>
      <c r="M10" s="13">
        <f t="shared" ref="M10" ca="1" si="39">IF(J10="IN TIME",1,0)</f>
        <v>0</v>
      </c>
      <c r="N10" s="13">
        <f t="shared" ref="N10" ca="1" si="40">IF(J10="DONE",1,0)</f>
        <v>1</v>
      </c>
      <c r="O10" s="13">
        <f t="shared" ref="O10" ca="1" si="41">IF(G10&gt;0,G10-$C$2,"")</f>
        <v>-427</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-397</v>
      </c>
      <c r="L11" s="13">
        <f t="shared" ref="L11" ca="1" si="44">IF(J11="OVERDUE",1,0)</f>
        <v>0</v>
      </c>
      <c r="M11" s="13">
        <f t="shared" ref="M11" ca="1" si="45">IF(J11="IN TIME",1,0)</f>
        <v>0</v>
      </c>
      <c r="N11" s="13">
        <f t="shared" ref="N11" ca="1" si="46">IF(J11="DONE",1,0)</f>
        <v>1</v>
      </c>
      <c r="O11" s="13">
        <f t="shared" ref="O11" ca="1" si="47">IF(G11&gt;0,G11-$C$2,"")</f>
        <v>-404</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-385</v>
      </c>
      <c r="L12" s="13">
        <f t="shared" ref="L12" ca="1" si="50">IF(J12="OVERDUE",1,0)</f>
        <v>0</v>
      </c>
      <c r="M12" s="13">
        <f t="shared" ref="M12" ca="1" si="51">IF(J12="IN TIME",1,0)</f>
        <v>0</v>
      </c>
      <c r="N12" s="13">
        <f t="shared" ref="N12" ca="1" si="52">IF(J12="DONE",1,0)</f>
        <v>1</v>
      </c>
      <c r="O12" s="13">
        <f t="shared" ref="O12" ca="1" si="53">IF(G12&gt;0,G12-$C$2,"")</f>
        <v>-392</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-402</v>
      </c>
      <c r="L13" s="13">
        <f t="shared" ref="L13" ca="1" si="56">IF(J13="OVERDUE",1,0)</f>
        <v>0</v>
      </c>
      <c r="M13" s="13">
        <f t="shared" ref="M13" ca="1" si="57">IF(J13="IN TIME",1,0)</f>
        <v>0</v>
      </c>
      <c r="N13" s="13">
        <f t="shared" ref="N13" ca="1" si="58">IF(J13="DONE",1,0)</f>
        <v>1</v>
      </c>
      <c r="O13" s="13">
        <f t="shared" ref="O13" ca="1" si="59">IF(G13&gt;0,G13-$C$2,"")</f>
        <v>-405</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-365</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-296</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-289</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364</v>
      </c>
      <c r="D17" s="13" t="s">
        <v>24</v>
      </c>
      <c r="E17" s="13" t="s">
        <v>365</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-177</v>
      </c>
      <c r="P17" s="20" t="s">
        <v>515</v>
      </c>
      <c r="Q17" s="27"/>
      <c r="R17" s="27"/>
      <c r="S17" s="27"/>
      <c r="T17" s="27"/>
      <c r="U17" s="27"/>
      <c r="V17" s="27"/>
      <c r="W17" s="27"/>
      <c r="X17" s="27"/>
      <c r="Y17" s="27"/>
      <c r="Z17" s="27"/>
      <c r="AA17" s="27"/>
      <c r="AB17" s="27"/>
      <c r="AC17" s="27"/>
      <c r="AD17" s="27"/>
    </row>
    <row r="18" spans="1:30" ht="24.6" customHeight="1" x14ac:dyDescent="0.15">
      <c r="A18" s="15">
        <v>248</v>
      </c>
      <c r="B18" s="13"/>
      <c r="C18" s="12" t="s">
        <v>526</v>
      </c>
      <c r="D18" s="13" t="s">
        <v>24</v>
      </c>
      <c r="E18" s="13" t="s">
        <v>527</v>
      </c>
      <c r="F18" s="14">
        <v>44053</v>
      </c>
      <c r="G18" s="14">
        <v>44064</v>
      </c>
      <c r="H18" s="14"/>
      <c r="I18" s="14">
        <v>44067</v>
      </c>
      <c r="J18" s="13" t="str">
        <f t="shared" ref="J18" ca="1" si="84">IF(AND(I18&lt;=$C$2,I18&lt;&gt;0),"DONE",IF(K18&lt;0,"OVERDUE",IF(AND(K18="",O18&lt;0),"OVERDUE","IN TIME")))</f>
        <v>DONE</v>
      </c>
      <c r="K18" s="13" t="str">
        <f t="shared" ref="K18" si="85">IF(H18&gt;0,H18-$C$2,"")</f>
        <v/>
      </c>
      <c r="L18" s="13">
        <f t="shared" ref="L18" ca="1" si="86">IF(J18="OVERDUE",1,0)</f>
        <v>0</v>
      </c>
      <c r="M18" s="13">
        <f t="shared" ref="M18" ca="1" si="87">IF(J18="IN TIME",1,0)</f>
        <v>0</v>
      </c>
      <c r="N18" s="13">
        <f t="shared" ref="N18" ca="1" si="88">IF(J18="DONE",1,0)</f>
        <v>1</v>
      </c>
      <c r="O18" s="13">
        <f t="shared" ref="O18" ca="1" si="89">IF(G18&gt;0,G18-$C$2,"")</f>
        <v>-24</v>
      </c>
      <c r="P18" s="20" t="s">
        <v>530</v>
      </c>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t="str">
        <f t="shared" ref="J19" ca="1" si="90">IF(AND(I19&lt;=$C$2,I19&lt;&gt;0),"DONE",IF(K19&lt;0,"OVERDUE",IF(AND(K19="",O19&lt;0),"OVERDUE","IN TIME")))</f>
        <v>IN TIME</v>
      </c>
      <c r="K19" s="13" t="str">
        <f t="shared" ref="K19" si="91">IF(H19&gt;0,H19-$C$2,"")</f>
        <v/>
      </c>
      <c r="L19" s="13">
        <f t="shared" ref="L19" ca="1" si="92">IF(J19="OVERDUE",1,0)</f>
        <v>0</v>
      </c>
      <c r="M19" s="13">
        <f t="shared" ref="M19" ca="1" si="93">IF(J19="IN TIME",1,0)</f>
        <v>1</v>
      </c>
      <c r="N19" s="13">
        <f t="shared" ref="N19" ca="1" si="94">IF(J19="DONE",1,0)</f>
        <v>0</v>
      </c>
      <c r="O19" s="13" t="str">
        <f t="shared" ref="O19" si="95">IF(G19&gt;0,G19-$C$2,"")</f>
        <v/>
      </c>
      <c r="P19" s="20"/>
      <c r="Q19" s="27"/>
      <c r="R19" s="27"/>
      <c r="S19" s="27"/>
      <c r="T19" s="27"/>
      <c r="U19" s="27"/>
      <c r="V19" s="27"/>
      <c r="W19" s="27"/>
      <c r="X19" s="27"/>
      <c r="Y19" s="27"/>
      <c r="Z19" s="27"/>
      <c r="AA19" s="27"/>
      <c r="AB19" s="27"/>
      <c r="AC19" s="27"/>
      <c r="AD19" s="27"/>
    </row>
    <row r="20" spans="1:30" ht="24.6" customHeight="1" x14ac:dyDescent="0.15">
      <c r="A20" s="15">
        <v>250</v>
      </c>
      <c r="B20" s="13"/>
      <c r="C20" s="12"/>
      <c r="D20" s="13"/>
      <c r="E20" s="13"/>
      <c r="F20" s="14"/>
      <c r="G20" s="14"/>
      <c r="H20" s="14"/>
      <c r="I20" s="14"/>
      <c r="J20" s="13" t="str">
        <f t="shared" ref="J20" ca="1" si="96">IF(AND(I20&lt;=$C$2,I20&lt;&gt;0),"DONE",IF(K20&lt;0,"OVERDUE",IF(AND(K20="",O20&lt;0),"OVERDUE","IN TIME")))</f>
        <v>IN TIME</v>
      </c>
      <c r="K20" s="13" t="str">
        <f t="shared" ref="K20" si="97">IF(H20&gt;0,H20-$C$2,"")</f>
        <v/>
      </c>
      <c r="L20" s="13">
        <f t="shared" ref="L20" ca="1" si="98">IF(J20="OVERDUE",1,0)</f>
        <v>0</v>
      </c>
      <c r="M20" s="13">
        <f t="shared" ref="M20" ca="1" si="99">IF(J20="IN TIME",1,0)</f>
        <v>1</v>
      </c>
      <c r="N20" s="13">
        <f t="shared" ref="N20" ca="1" si="100">IF(J20="DONE",1,0)</f>
        <v>0</v>
      </c>
      <c r="O20" s="13" t="str">
        <f t="shared" ref="O20" si="101">IF(G20&gt;0,G20-$C$2,"")</f>
        <v/>
      </c>
      <c r="P20" s="20"/>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t="str">
        <f t="shared" ref="J21" ca="1" si="102">IF(AND(I21&lt;=$C$2,I21&lt;&gt;0),"DONE",IF(K21&lt;0,"OVERDUE",IF(AND(K21="",O21&lt;0),"OVERDUE","IN TIME")))</f>
        <v>IN TIME</v>
      </c>
      <c r="K21" s="13" t="str">
        <f t="shared" ref="K21" si="103">IF(H21&gt;0,H21-$C$2,"")</f>
        <v/>
      </c>
      <c r="L21" s="13">
        <f t="shared" ref="L21" ca="1" si="104">IF(J21="OVERDUE",1,0)</f>
        <v>0</v>
      </c>
      <c r="M21" s="13">
        <f t="shared" ref="M21" ca="1" si="105">IF(J21="IN TIME",1,0)</f>
        <v>1</v>
      </c>
      <c r="N21" s="13">
        <f t="shared" ref="N21" ca="1" si="106">IF(J21="DONE",1,0)</f>
        <v>0</v>
      </c>
      <c r="O21" s="13" t="str">
        <f t="shared" ref="O21" si="107">IF(G21&gt;0,G21-$C$2,"")</f>
        <v/>
      </c>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422" priority="52" operator="equal">
      <formula>"OVERDUE"</formula>
    </cfRule>
    <cfRule type="cellIs" dxfId="421" priority="53" operator="equal">
      <formula>"DONE"</formula>
    </cfRule>
    <cfRule type="cellIs" dxfId="420" priority="54" operator="equal">
      <formula>"DONE"</formula>
    </cfRule>
  </conditionalFormatting>
  <conditionalFormatting sqref="J5">
    <cfRule type="cellIs" dxfId="419" priority="49" operator="equal">
      <formula>"OVERDUE"</formula>
    </cfRule>
    <cfRule type="cellIs" dxfId="418" priority="50" operator="equal">
      <formula>"DONE"</formula>
    </cfRule>
    <cfRule type="cellIs" dxfId="417" priority="51" operator="equal">
      <formula>"DONE"</formula>
    </cfRule>
  </conditionalFormatting>
  <conditionalFormatting sqref="J6">
    <cfRule type="cellIs" dxfId="416" priority="46" operator="equal">
      <formula>"OVERDUE"</formula>
    </cfRule>
    <cfRule type="cellIs" dxfId="415" priority="47" operator="equal">
      <formula>"DONE"</formula>
    </cfRule>
    <cfRule type="cellIs" dxfId="414" priority="48" operator="equal">
      <formula>"DONE"</formula>
    </cfRule>
  </conditionalFormatting>
  <conditionalFormatting sqref="J7">
    <cfRule type="cellIs" dxfId="413" priority="43" operator="equal">
      <formula>"OVERDUE"</formula>
    </cfRule>
    <cfRule type="cellIs" dxfId="412" priority="44" operator="equal">
      <formula>"DONE"</formula>
    </cfRule>
    <cfRule type="cellIs" dxfId="411" priority="45" operator="equal">
      <formula>"DONE"</formula>
    </cfRule>
  </conditionalFormatting>
  <conditionalFormatting sqref="J8">
    <cfRule type="cellIs" dxfId="410" priority="40" operator="equal">
      <formula>"OVERDUE"</formula>
    </cfRule>
    <cfRule type="cellIs" dxfId="409" priority="41" operator="equal">
      <formula>"DONE"</formula>
    </cfRule>
    <cfRule type="cellIs" dxfId="408" priority="42" operator="equal">
      <formula>"DONE"</formula>
    </cfRule>
  </conditionalFormatting>
  <conditionalFormatting sqref="J9">
    <cfRule type="cellIs" dxfId="407" priority="37" operator="equal">
      <formula>"OVERDUE"</formula>
    </cfRule>
    <cfRule type="cellIs" dxfId="406" priority="38" operator="equal">
      <formula>"DONE"</formula>
    </cfRule>
    <cfRule type="cellIs" dxfId="405" priority="39" operator="equal">
      <formula>"DONE"</formula>
    </cfRule>
  </conditionalFormatting>
  <conditionalFormatting sqref="J10">
    <cfRule type="cellIs" dxfId="404" priority="34" operator="equal">
      <formula>"OVERDUE"</formula>
    </cfRule>
    <cfRule type="cellIs" dxfId="403" priority="35" operator="equal">
      <formula>"DONE"</formula>
    </cfRule>
    <cfRule type="cellIs" dxfId="402" priority="36" operator="equal">
      <formula>"DONE"</formula>
    </cfRule>
  </conditionalFormatting>
  <conditionalFormatting sqref="J11">
    <cfRule type="cellIs" dxfId="401" priority="31" operator="equal">
      <formula>"OVERDUE"</formula>
    </cfRule>
    <cfRule type="cellIs" dxfId="400" priority="32" operator="equal">
      <formula>"DONE"</formula>
    </cfRule>
    <cfRule type="cellIs" dxfId="399" priority="33" operator="equal">
      <formula>"DONE"</formula>
    </cfRule>
  </conditionalFormatting>
  <conditionalFormatting sqref="J12">
    <cfRule type="cellIs" dxfId="398" priority="28" operator="equal">
      <formula>"OVERDUE"</formula>
    </cfRule>
    <cfRule type="cellIs" dxfId="397" priority="29" operator="equal">
      <formula>"DONE"</formula>
    </cfRule>
    <cfRule type="cellIs" dxfId="396" priority="30" operator="equal">
      <formula>"DONE"</formula>
    </cfRule>
  </conditionalFormatting>
  <conditionalFormatting sqref="J13">
    <cfRule type="cellIs" dxfId="395" priority="25" operator="equal">
      <formula>"OVERDUE"</formula>
    </cfRule>
    <cfRule type="cellIs" dxfId="394" priority="26" operator="equal">
      <formula>"DONE"</formula>
    </cfRule>
    <cfRule type="cellIs" dxfId="393" priority="27" operator="equal">
      <formula>"DONE"</formula>
    </cfRule>
  </conditionalFormatting>
  <conditionalFormatting sqref="J14">
    <cfRule type="cellIs" dxfId="392" priority="22" operator="equal">
      <formula>"OVERDUE"</formula>
    </cfRule>
    <cfRule type="cellIs" dxfId="391" priority="23" operator="equal">
      <formula>"DONE"</formula>
    </cfRule>
    <cfRule type="cellIs" dxfId="390" priority="24" operator="equal">
      <formula>"DONE"</formula>
    </cfRule>
  </conditionalFormatting>
  <conditionalFormatting sqref="J15">
    <cfRule type="cellIs" dxfId="389" priority="19" operator="equal">
      <formula>"OVERDUE"</formula>
    </cfRule>
    <cfRule type="cellIs" dxfId="388" priority="20" operator="equal">
      <formula>"DONE"</formula>
    </cfRule>
    <cfRule type="cellIs" dxfId="387" priority="21" operator="equal">
      <formula>"DONE"</formula>
    </cfRule>
  </conditionalFormatting>
  <conditionalFormatting sqref="J16">
    <cfRule type="cellIs" dxfId="386" priority="16" operator="equal">
      <formula>"OVERDUE"</formula>
    </cfRule>
    <cfRule type="cellIs" dxfId="385" priority="17" operator="equal">
      <formula>"DONE"</formula>
    </cfRule>
    <cfRule type="cellIs" dxfId="384" priority="18" operator="equal">
      <formula>"DONE"</formula>
    </cfRule>
  </conditionalFormatting>
  <conditionalFormatting sqref="J17">
    <cfRule type="cellIs" dxfId="383" priority="13" operator="equal">
      <formula>"OVERDUE"</formula>
    </cfRule>
    <cfRule type="cellIs" dxfId="382" priority="14" operator="equal">
      <formula>"DONE"</formula>
    </cfRule>
    <cfRule type="cellIs" dxfId="381" priority="15" operator="equal">
      <formula>"DONE"</formula>
    </cfRule>
  </conditionalFormatting>
  <conditionalFormatting sqref="J18">
    <cfRule type="cellIs" dxfId="380" priority="10" operator="equal">
      <formula>"OVERDUE"</formula>
    </cfRule>
    <cfRule type="cellIs" dxfId="379" priority="11" operator="equal">
      <formula>"DONE"</formula>
    </cfRule>
    <cfRule type="cellIs" dxfId="378" priority="12" operator="equal">
      <formula>"DONE"</formula>
    </cfRule>
  </conditionalFormatting>
  <conditionalFormatting sqref="J2:J3 J22:J1048576">
    <cfRule type="cellIs" dxfId="377" priority="910" operator="equal">
      <formula>"OVERDUE"</formula>
    </cfRule>
    <cfRule type="cellIs" dxfId="376" priority="911" operator="equal">
      <formula>"DONE"</formula>
    </cfRule>
    <cfRule type="cellIs" dxfId="375" priority="912" operator="equal">
      <formula>"DONE"</formula>
    </cfRule>
  </conditionalFormatting>
  <conditionalFormatting sqref="J19">
    <cfRule type="cellIs" dxfId="374" priority="7" operator="equal">
      <formula>"OVERDUE"</formula>
    </cfRule>
    <cfRule type="cellIs" dxfId="373" priority="8" operator="equal">
      <formula>"DONE"</formula>
    </cfRule>
    <cfRule type="cellIs" dxfId="372" priority="9" operator="equal">
      <formula>"DONE"</formula>
    </cfRule>
  </conditionalFormatting>
  <conditionalFormatting sqref="J20">
    <cfRule type="cellIs" dxfId="371" priority="4" operator="equal">
      <formula>"OVERDUE"</formula>
    </cfRule>
    <cfRule type="cellIs" dxfId="370" priority="5" operator="equal">
      <formula>"DONE"</formula>
    </cfRule>
    <cfRule type="cellIs" dxfId="369" priority="6" operator="equal">
      <formula>"DONE"</formula>
    </cfRule>
  </conditionalFormatting>
  <conditionalFormatting sqref="J21">
    <cfRule type="cellIs" dxfId="368" priority="1" operator="equal">
      <formula>"OVERDUE"</formula>
    </cfRule>
    <cfRule type="cellIs" dxfId="367" priority="2" operator="equal">
      <formula>"DONE"</formula>
    </cfRule>
    <cfRule type="cellIs" dxfId="366"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6" activePane="bottomLeft" state="frozen"/>
      <selection pane="bottomLeft" activeCell="C7" sqref="C7"/>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6" t="s">
        <v>0</v>
      </c>
      <c r="B1" s="176"/>
      <c r="C1" s="176"/>
      <c r="D1" s="176"/>
      <c r="E1" s="176"/>
      <c r="F1" s="176"/>
      <c r="G1" s="176"/>
      <c r="H1" s="176"/>
      <c r="I1" s="176"/>
      <c r="J1" s="176"/>
      <c r="K1" s="176"/>
      <c r="L1" s="176"/>
      <c r="M1" s="176"/>
      <c r="N1" s="176"/>
      <c r="O1" s="176"/>
      <c r="P1" s="17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7" t="s">
        <v>1</v>
      </c>
      <c r="B2" s="177"/>
      <c r="C2" s="5">
        <f ca="1">TODAY()</f>
        <v>44088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-395</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-381</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-374</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-367</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-362</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-353</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-350</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365" priority="31" operator="equal">
      <formula>"OVERDUE"</formula>
    </cfRule>
    <cfRule type="cellIs" dxfId="364" priority="32" operator="equal">
      <formula>"DONE"</formula>
    </cfRule>
    <cfRule type="cellIs" dxfId="363" priority="33" operator="equal">
      <formula>"DONE"</formula>
    </cfRule>
  </conditionalFormatting>
  <conditionalFormatting sqref="J5">
    <cfRule type="cellIs" dxfId="362" priority="28" operator="equal">
      <formula>"OVERDUE"</formula>
    </cfRule>
    <cfRule type="cellIs" dxfId="361" priority="29" operator="equal">
      <formula>"DONE"</formula>
    </cfRule>
    <cfRule type="cellIs" dxfId="360" priority="30" operator="equal">
      <formula>"DONE"</formula>
    </cfRule>
  </conditionalFormatting>
  <conditionalFormatting sqref="J6">
    <cfRule type="cellIs" dxfId="359" priority="25" operator="equal">
      <formula>"OVERDUE"</formula>
    </cfRule>
    <cfRule type="cellIs" dxfId="358" priority="26" operator="equal">
      <formula>"DONE"</formula>
    </cfRule>
    <cfRule type="cellIs" dxfId="357" priority="27" operator="equal">
      <formula>"DONE"</formula>
    </cfRule>
  </conditionalFormatting>
  <conditionalFormatting sqref="J7">
    <cfRule type="cellIs" dxfId="356" priority="22" operator="equal">
      <formula>"OVERDUE"</formula>
    </cfRule>
    <cfRule type="cellIs" dxfId="355" priority="23" operator="equal">
      <formula>"DONE"</formula>
    </cfRule>
    <cfRule type="cellIs" dxfId="354" priority="24" operator="equal">
      <formula>"DONE"</formula>
    </cfRule>
  </conditionalFormatting>
  <conditionalFormatting sqref="J8">
    <cfRule type="cellIs" dxfId="353" priority="19" operator="equal">
      <formula>"OVERDUE"</formula>
    </cfRule>
    <cfRule type="cellIs" dxfId="352" priority="20" operator="equal">
      <formula>"DONE"</formula>
    </cfRule>
    <cfRule type="cellIs" dxfId="351" priority="21" operator="equal">
      <formula>"DONE"</formula>
    </cfRule>
  </conditionalFormatting>
  <conditionalFormatting sqref="J9">
    <cfRule type="cellIs" dxfId="350" priority="16" operator="equal">
      <formula>"OVERDUE"</formula>
    </cfRule>
    <cfRule type="cellIs" dxfId="349" priority="17" operator="equal">
      <formula>"DONE"</formula>
    </cfRule>
    <cfRule type="cellIs" dxfId="348" priority="18" operator="equal">
      <formula>"DONE"</formula>
    </cfRule>
  </conditionalFormatting>
  <conditionalFormatting sqref="J10">
    <cfRule type="cellIs" dxfId="347" priority="13" operator="equal">
      <formula>"OVERDUE"</formula>
    </cfRule>
    <cfRule type="cellIs" dxfId="346" priority="14" operator="equal">
      <formula>"DONE"</formula>
    </cfRule>
    <cfRule type="cellIs" dxfId="345" priority="15" operator="equal">
      <formula>"DONE"</formula>
    </cfRule>
  </conditionalFormatting>
  <conditionalFormatting sqref="J11">
    <cfRule type="cellIs" dxfId="344" priority="10" operator="equal">
      <formula>"OVERDUE"</formula>
    </cfRule>
    <cfRule type="cellIs" dxfId="343" priority="11" operator="equal">
      <formula>"DONE"</formula>
    </cfRule>
    <cfRule type="cellIs" dxfId="342" priority="12" operator="equal">
      <formula>"DONE"</formula>
    </cfRule>
  </conditionalFormatting>
  <conditionalFormatting sqref="J12">
    <cfRule type="cellIs" dxfId="341" priority="7" operator="equal">
      <formula>"OVERDUE"</formula>
    </cfRule>
    <cfRule type="cellIs" dxfId="340" priority="8" operator="equal">
      <formula>"DONE"</formula>
    </cfRule>
    <cfRule type="cellIs" dxfId="339" priority="9" operator="equal">
      <formula>"DONE"</formula>
    </cfRule>
  </conditionalFormatting>
  <conditionalFormatting sqref="J13">
    <cfRule type="cellIs" dxfId="338" priority="4" operator="equal">
      <formula>"OVERDUE"</formula>
    </cfRule>
    <cfRule type="cellIs" dxfId="337" priority="5" operator="equal">
      <formula>"DONE"</formula>
    </cfRule>
    <cfRule type="cellIs" dxfId="336" priority="6" operator="equal">
      <formula>"DONE"</formula>
    </cfRule>
  </conditionalFormatting>
  <conditionalFormatting sqref="J14">
    <cfRule type="cellIs" dxfId="335" priority="1" operator="equal">
      <formula>"OVERDUE"</formula>
    </cfRule>
    <cfRule type="cellIs" dxfId="334" priority="2" operator="equal">
      <formula>"DONE"</formula>
    </cfRule>
    <cfRule type="cellIs" dxfId="333" priority="3" operator="equal">
      <formula>"DONE"</formula>
    </cfRule>
  </conditionalFormatting>
  <conditionalFormatting sqref="J2:J3 J15:J1048576">
    <cfRule type="cellIs" dxfId="332" priority="34" operator="equal">
      <formula>"OVERDUE"</formula>
    </cfRule>
    <cfRule type="cellIs" dxfId="331" priority="35" operator="equal">
      <formula>"DONE"</formula>
    </cfRule>
    <cfRule type="cellIs" dxfId="330"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I15" sqref="I1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6" t="s">
        <v>0</v>
      </c>
      <c r="B1" s="176"/>
      <c r="C1" s="176"/>
      <c r="D1" s="176"/>
      <c r="E1" s="176"/>
      <c r="F1" s="176"/>
      <c r="G1" s="176"/>
      <c r="H1" s="176"/>
      <c r="I1" s="176"/>
      <c r="J1" s="176"/>
      <c r="K1" s="176"/>
      <c r="L1" s="176"/>
      <c r="M1" s="176"/>
      <c r="N1" s="176"/>
      <c r="O1" s="176"/>
      <c r="P1" s="17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7" t="s">
        <v>1</v>
      </c>
      <c r="B2" s="177"/>
      <c r="C2" s="5">
        <f ca="1">TODAY()</f>
        <v>44088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-385</v>
      </c>
      <c r="L4" s="13">
        <f t="shared" ref="L4:L13" ca="1" si="2">IF(J4="OVERDUE",1,0)</f>
        <v>0</v>
      </c>
      <c r="M4" s="13">
        <f t="shared" ref="M4:M13" ca="1" si="3">IF(J4="IN TIME",1,0)</f>
        <v>0</v>
      </c>
      <c r="N4" s="13">
        <f t="shared" ref="N4:N13" ca="1" si="4">IF(J4="DONE",1,0)</f>
        <v>1</v>
      </c>
      <c r="O4" s="13">
        <f t="shared" ref="O4:O13" ca="1" si="5">IF(G4&gt;0,G4-$C$2,"")</f>
        <v>-412</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-361</v>
      </c>
      <c r="L5" s="32">
        <f t="shared" ca="1" si="2"/>
        <v>1</v>
      </c>
      <c r="M5" s="32">
        <f t="shared" ca="1" si="3"/>
        <v>0</v>
      </c>
      <c r="N5" s="32">
        <f t="shared" ca="1" si="4"/>
        <v>0</v>
      </c>
      <c r="O5" s="32">
        <f t="shared" ca="1" si="5"/>
        <v>-435</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-381</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-312</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-312</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-312</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-312</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s="162" customFormat="1" ht="51" customHeight="1" x14ac:dyDescent="0.15">
      <c r="A12" s="156">
        <v>242</v>
      </c>
      <c r="B12" s="157"/>
      <c r="C12" s="158" t="s">
        <v>524</v>
      </c>
      <c r="D12" s="157" t="s">
        <v>24</v>
      </c>
      <c r="E12" s="157" t="s">
        <v>47</v>
      </c>
      <c r="F12" s="159">
        <v>43781</v>
      </c>
      <c r="G12" s="159"/>
      <c r="H12" s="159"/>
      <c r="I12" s="159"/>
      <c r="J12" s="157" t="str">
        <f t="shared" ca="1" si="0"/>
        <v>IN TIME</v>
      </c>
      <c r="K12" s="157" t="str">
        <f t="shared" si="1"/>
        <v/>
      </c>
      <c r="L12" s="157">
        <f t="shared" ca="1" si="2"/>
        <v>0</v>
      </c>
      <c r="M12" s="157">
        <f t="shared" ca="1" si="3"/>
        <v>1</v>
      </c>
      <c r="N12" s="157">
        <f t="shared" ca="1" si="4"/>
        <v>0</v>
      </c>
      <c r="O12" s="157" t="str">
        <f t="shared" si="5"/>
        <v/>
      </c>
      <c r="P12" s="160" t="s">
        <v>525</v>
      </c>
      <c r="Q12" s="161"/>
      <c r="R12" s="161"/>
      <c r="S12" s="161"/>
      <c r="T12" s="161"/>
      <c r="U12" s="161"/>
      <c r="V12" s="161"/>
      <c r="W12" s="161"/>
      <c r="X12" s="161"/>
      <c r="Y12" s="161"/>
      <c r="Z12" s="161"/>
      <c r="AA12" s="161"/>
      <c r="AB12" s="161"/>
      <c r="AC12" s="161"/>
      <c r="AD12" s="161"/>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329" priority="34" operator="equal">
      <formula>"OVERDUE"</formula>
    </cfRule>
    <cfRule type="cellIs" dxfId="328" priority="35" operator="equal">
      <formula>"DONE"</formula>
    </cfRule>
    <cfRule type="cellIs" dxfId="327" priority="36" operator="equal">
      <formula>"DONE"</formula>
    </cfRule>
  </conditionalFormatting>
  <conditionalFormatting sqref="J5">
    <cfRule type="cellIs" dxfId="326" priority="31" operator="equal">
      <formula>"OVERDUE"</formula>
    </cfRule>
    <cfRule type="cellIs" dxfId="325" priority="32" operator="equal">
      <formula>"DONE"</formula>
    </cfRule>
    <cfRule type="cellIs" dxfId="324" priority="33" operator="equal">
      <formula>"DONE"</formula>
    </cfRule>
  </conditionalFormatting>
  <conditionalFormatting sqref="J6">
    <cfRule type="cellIs" dxfId="323" priority="28" operator="equal">
      <formula>"OVERDUE"</formula>
    </cfRule>
    <cfRule type="cellIs" dxfId="322" priority="29" operator="equal">
      <formula>"DONE"</formula>
    </cfRule>
    <cfRule type="cellIs" dxfId="321" priority="30" operator="equal">
      <formula>"DONE"</formula>
    </cfRule>
  </conditionalFormatting>
  <conditionalFormatting sqref="J7">
    <cfRule type="cellIs" dxfId="320" priority="25" operator="equal">
      <formula>"OVERDUE"</formula>
    </cfRule>
    <cfRule type="cellIs" dxfId="319" priority="26" operator="equal">
      <formula>"DONE"</formula>
    </cfRule>
    <cfRule type="cellIs" dxfId="318" priority="27" operator="equal">
      <formula>"DONE"</formula>
    </cfRule>
  </conditionalFormatting>
  <conditionalFormatting sqref="J8">
    <cfRule type="cellIs" dxfId="317" priority="22" operator="equal">
      <formula>"OVERDUE"</formula>
    </cfRule>
    <cfRule type="cellIs" dxfId="316" priority="23" operator="equal">
      <formula>"DONE"</formula>
    </cfRule>
    <cfRule type="cellIs" dxfId="315" priority="24" operator="equal">
      <formula>"DONE"</formula>
    </cfRule>
  </conditionalFormatting>
  <conditionalFormatting sqref="J9">
    <cfRule type="cellIs" dxfId="314" priority="19" operator="equal">
      <formula>"OVERDUE"</formula>
    </cfRule>
    <cfRule type="cellIs" dxfId="313" priority="20" operator="equal">
      <formula>"DONE"</formula>
    </cfRule>
    <cfRule type="cellIs" dxfId="312" priority="21" operator="equal">
      <formula>"DONE"</formula>
    </cfRule>
  </conditionalFormatting>
  <conditionalFormatting sqref="J10">
    <cfRule type="cellIs" dxfId="311" priority="16" operator="equal">
      <formula>"OVERDUE"</formula>
    </cfRule>
    <cfRule type="cellIs" dxfId="310" priority="17" operator="equal">
      <formula>"DONE"</formula>
    </cfRule>
    <cfRule type="cellIs" dxfId="309" priority="18" operator="equal">
      <formula>"DONE"</formula>
    </cfRule>
  </conditionalFormatting>
  <conditionalFormatting sqref="J11">
    <cfRule type="cellIs" dxfId="308" priority="13" operator="equal">
      <formula>"OVERDUE"</formula>
    </cfRule>
    <cfRule type="cellIs" dxfId="307" priority="14" operator="equal">
      <formula>"DONE"</formula>
    </cfRule>
    <cfRule type="cellIs" dxfId="306" priority="15" operator="equal">
      <formula>"DONE"</formula>
    </cfRule>
  </conditionalFormatting>
  <conditionalFormatting sqref="J12">
    <cfRule type="cellIs" dxfId="305" priority="10" operator="equal">
      <formula>"OVERDUE"</formula>
    </cfRule>
    <cfRule type="cellIs" dxfId="304" priority="11" operator="equal">
      <formula>"DONE"</formula>
    </cfRule>
    <cfRule type="cellIs" dxfId="303" priority="12" operator="equal">
      <formula>"DONE"</formula>
    </cfRule>
  </conditionalFormatting>
  <conditionalFormatting sqref="J13">
    <cfRule type="cellIs" dxfId="302" priority="7" operator="equal">
      <formula>"OVERDUE"</formula>
    </cfRule>
    <cfRule type="cellIs" dxfId="301" priority="8" operator="equal">
      <formula>"DONE"</formula>
    </cfRule>
    <cfRule type="cellIs" dxfId="300" priority="9" operator="equal">
      <formula>"DONE"</formula>
    </cfRule>
  </conditionalFormatting>
  <conditionalFormatting sqref="J14">
    <cfRule type="cellIs" dxfId="299" priority="4" operator="equal">
      <formula>"OVERDUE"</formula>
    </cfRule>
    <cfRule type="cellIs" dxfId="298" priority="5" operator="equal">
      <formula>"DONE"</formula>
    </cfRule>
    <cfRule type="cellIs" dxfId="297" priority="6" operator="equal">
      <formula>"DONE"</formula>
    </cfRule>
  </conditionalFormatting>
  <conditionalFormatting sqref="J15">
    <cfRule type="cellIs" dxfId="296" priority="1" operator="equal">
      <formula>"OVERDUE"</formula>
    </cfRule>
    <cfRule type="cellIs" dxfId="295" priority="2" operator="equal">
      <formula>"DONE"</formula>
    </cfRule>
    <cfRule type="cellIs" dxfId="294" priority="3" operator="equal">
      <formula>"DONE"</formula>
    </cfRule>
  </conditionalFormatting>
  <conditionalFormatting sqref="J2:J3 J16:J1048576">
    <cfRule type="cellIs" dxfId="293" priority="37" operator="equal">
      <formula>"OVERDUE"</formula>
    </cfRule>
    <cfRule type="cellIs" dxfId="292" priority="38" operator="equal">
      <formula>"DONE"</formula>
    </cfRule>
    <cfRule type="cellIs" dxfId="291"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47"/>
  <sheetViews>
    <sheetView tabSelected="1" workbookViewId="0">
      <pane ySplit="3" topLeftCell="A37" activePane="bottomLeft" state="frozen"/>
      <selection pane="bottomLeft" activeCell="P40" sqref="P40"/>
    </sheetView>
  </sheetViews>
  <sheetFormatPr defaultColWidth="9" defaultRowHeight="14.25" x14ac:dyDescent="0.15"/>
  <cols>
    <col min="1" max="1" width="8.25" style="1" customWidth="1"/>
    <col min="2" max="2" width="14.87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6" t="s">
        <v>356</v>
      </c>
      <c r="B1" s="176"/>
      <c r="C1" s="176"/>
      <c r="D1" s="176"/>
      <c r="E1" s="176"/>
      <c r="F1" s="176"/>
      <c r="G1" s="176"/>
      <c r="H1" s="176"/>
      <c r="I1" s="176"/>
      <c r="J1" s="176"/>
      <c r="K1" s="176"/>
      <c r="L1" s="176"/>
      <c r="M1" s="176"/>
      <c r="N1" s="176"/>
      <c r="O1" s="176"/>
      <c r="P1" s="17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7" t="s">
        <v>1</v>
      </c>
      <c r="B2" s="177"/>
      <c r="C2" s="5">
        <f ca="1">TODAY()</f>
        <v>44088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78"/>
      <c r="R3" s="179"/>
      <c r="S3" s="179"/>
      <c r="T3" s="179"/>
      <c r="U3" s="179"/>
      <c r="V3" s="179"/>
      <c r="W3" s="179"/>
      <c r="X3" s="179"/>
      <c r="Y3" s="179"/>
      <c r="Z3" s="179"/>
      <c r="AA3" s="179"/>
      <c r="AB3" s="179"/>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81</v>
      </c>
      <c r="B4" s="11" t="s">
        <v>82</v>
      </c>
      <c r="C4" s="12" t="s">
        <v>83</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-238</v>
      </c>
      <c r="P4" s="20" t="s">
        <v>84</v>
      </c>
      <c r="Q4" s="178"/>
      <c r="R4" s="179"/>
      <c r="S4" s="179"/>
      <c r="T4" s="179"/>
      <c r="U4" s="179"/>
      <c r="V4" s="179"/>
      <c r="W4" s="179"/>
      <c r="X4" s="179"/>
      <c r="Y4" s="179"/>
      <c r="Z4" s="179"/>
      <c r="AA4" s="179"/>
      <c r="AB4" s="179"/>
      <c r="AC4" s="27"/>
      <c r="AD4" s="27"/>
    </row>
    <row r="5" spans="1:246" ht="57.75" customHeight="1" x14ac:dyDescent="0.15">
      <c r="A5" s="15">
        <v>241</v>
      </c>
      <c r="B5" s="11" t="s">
        <v>85</v>
      </c>
      <c r="C5" s="16" t="s">
        <v>86</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-198</v>
      </c>
      <c r="P5" s="20" t="s">
        <v>363</v>
      </c>
      <c r="Q5" s="178"/>
      <c r="R5" s="179"/>
      <c r="S5" s="179"/>
      <c r="T5" s="179"/>
      <c r="U5" s="179"/>
      <c r="V5" s="179"/>
      <c r="W5" s="179"/>
      <c r="X5" s="179"/>
      <c r="Y5" s="179"/>
      <c r="Z5" s="179"/>
      <c r="AA5" s="179"/>
      <c r="AB5" s="179"/>
      <c r="AC5" s="27"/>
      <c r="AD5" s="27"/>
    </row>
    <row r="6" spans="1:246" ht="24.6" customHeight="1" x14ac:dyDescent="0.15">
      <c r="A6" s="15">
        <v>242</v>
      </c>
      <c r="B6" s="11" t="s">
        <v>87</v>
      </c>
      <c r="C6" s="12" t="s">
        <v>88</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-248</v>
      </c>
      <c r="P6" s="20" t="s">
        <v>89</v>
      </c>
      <c r="Q6" s="178"/>
      <c r="R6" s="179"/>
      <c r="S6" s="179"/>
      <c r="T6" s="179"/>
      <c r="U6" s="179"/>
      <c r="V6" s="179"/>
      <c r="W6" s="179"/>
      <c r="X6" s="179"/>
      <c r="Y6" s="179"/>
      <c r="Z6" s="179"/>
      <c r="AA6" s="179"/>
      <c r="AB6" s="179"/>
      <c r="AC6" s="27"/>
      <c r="AD6" s="27"/>
    </row>
    <row r="7" spans="1:246" ht="45" customHeight="1" x14ac:dyDescent="0.15">
      <c r="A7" s="15">
        <v>243</v>
      </c>
      <c r="B7" s="13" t="s">
        <v>90</v>
      </c>
      <c r="C7" s="12" t="s">
        <v>91</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-248</v>
      </c>
      <c r="P7" s="20" t="s">
        <v>92</v>
      </c>
      <c r="Q7" s="178"/>
      <c r="R7" s="179"/>
      <c r="S7" s="179"/>
      <c r="T7" s="179"/>
      <c r="U7" s="179"/>
      <c r="V7" s="179"/>
      <c r="W7" s="179"/>
      <c r="X7" s="179"/>
      <c r="Y7" s="179"/>
      <c r="Z7" s="179"/>
      <c r="AA7" s="179"/>
      <c r="AB7" s="179"/>
      <c r="AC7" s="27"/>
      <c r="AD7" s="27"/>
    </row>
    <row r="8" spans="1:246" ht="24.6" customHeight="1" x14ac:dyDescent="0.15">
      <c r="A8" s="10" t="s">
        <v>93</v>
      </c>
      <c r="B8" s="11" t="s">
        <v>94</v>
      </c>
      <c r="C8" s="16" t="s">
        <v>95</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-238</v>
      </c>
      <c r="P8" s="20" t="s">
        <v>96</v>
      </c>
      <c r="Q8" s="178"/>
      <c r="R8" s="179"/>
      <c r="S8" s="179"/>
      <c r="T8" s="179"/>
      <c r="U8" s="179"/>
      <c r="V8" s="179"/>
      <c r="W8" s="179"/>
      <c r="X8" s="179"/>
      <c r="Y8" s="179"/>
      <c r="Z8" s="179"/>
      <c r="AA8" s="179"/>
      <c r="AB8" s="179"/>
      <c r="AC8" s="27"/>
      <c r="AD8" s="27"/>
    </row>
    <row r="9" spans="1:246" ht="24.6" customHeight="1" x14ac:dyDescent="0.15">
      <c r="A9" s="10" t="s">
        <v>97</v>
      </c>
      <c r="B9" s="11" t="s">
        <v>98</v>
      </c>
      <c r="C9" s="16" t="s">
        <v>99</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-198</v>
      </c>
      <c r="P9" s="20" t="s">
        <v>100</v>
      </c>
      <c r="Q9" s="178"/>
      <c r="R9" s="179"/>
      <c r="S9" s="179"/>
      <c r="T9" s="179"/>
      <c r="U9" s="179"/>
      <c r="V9" s="179"/>
      <c r="W9" s="179"/>
      <c r="X9" s="179"/>
      <c r="Y9" s="179"/>
      <c r="Z9" s="179"/>
      <c r="AA9" s="179"/>
      <c r="AB9" s="179"/>
      <c r="AC9" s="27"/>
      <c r="AD9" s="27"/>
    </row>
    <row r="10" spans="1:246" ht="24.6" customHeight="1" x14ac:dyDescent="0.15">
      <c r="A10" s="15">
        <v>246</v>
      </c>
      <c r="B10" s="11" t="s">
        <v>98</v>
      </c>
      <c r="C10" s="16" t="s">
        <v>101</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-198</v>
      </c>
      <c r="P10" s="20" t="s">
        <v>102</v>
      </c>
      <c r="Q10" s="178"/>
      <c r="R10" s="179"/>
      <c r="S10" s="179"/>
      <c r="T10" s="179"/>
      <c r="U10" s="179"/>
      <c r="V10" s="179"/>
      <c r="W10" s="179"/>
      <c r="X10" s="179"/>
      <c r="Y10" s="179"/>
      <c r="Z10" s="179"/>
      <c r="AA10" s="179"/>
      <c r="AB10" s="179"/>
      <c r="AC10" s="27"/>
      <c r="AD10" s="27"/>
    </row>
    <row r="11" spans="1:246" ht="24.6" customHeight="1" x14ac:dyDescent="0.15">
      <c r="A11" s="15">
        <v>247</v>
      </c>
      <c r="B11" s="11" t="s">
        <v>98</v>
      </c>
      <c r="C11" s="16" t="s">
        <v>103</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-198</v>
      </c>
      <c r="P11" s="20" t="s">
        <v>104</v>
      </c>
      <c r="Q11" s="178"/>
      <c r="R11" s="179"/>
      <c r="S11" s="179"/>
      <c r="T11" s="179"/>
      <c r="U11" s="179"/>
      <c r="V11" s="179"/>
      <c r="W11" s="179"/>
      <c r="X11" s="179"/>
      <c r="Y11" s="179"/>
      <c r="Z11" s="179"/>
      <c r="AA11" s="179"/>
      <c r="AB11" s="179"/>
      <c r="AC11" s="27"/>
      <c r="AD11" s="27"/>
    </row>
    <row r="12" spans="1:246" ht="39" customHeight="1" x14ac:dyDescent="0.15">
      <c r="A12" s="15">
        <v>248</v>
      </c>
      <c r="B12" s="11" t="s">
        <v>105</v>
      </c>
      <c r="C12" s="12" t="s">
        <v>390</v>
      </c>
      <c r="D12" s="13" t="s">
        <v>24</v>
      </c>
      <c r="E12" s="13" t="s">
        <v>106</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-198</v>
      </c>
      <c r="P12" s="20" t="s">
        <v>391</v>
      </c>
      <c r="Q12" s="178"/>
      <c r="R12" s="179"/>
      <c r="S12" s="179"/>
      <c r="T12" s="179"/>
      <c r="U12" s="179"/>
      <c r="V12" s="179"/>
      <c r="W12" s="179"/>
      <c r="X12" s="179"/>
      <c r="Y12" s="179"/>
      <c r="Z12" s="179"/>
      <c r="AA12" s="179"/>
      <c r="AB12" s="179"/>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78"/>
      <c r="R13" s="179"/>
      <c r="S13" s="179"/>
      <c r="T13" s="179"/>
      <c r="U13" s="179"/>
      <c r="V13" s="179"/>
      <c r="W13" s="179"/>
      <c r="X13" s="179"/>
      <c r="Y13" s="179"/>
      <c r="Z13" s="179"/>
      <c r="AA13" s="179"/>
      <c r="AB13" s="179"/>
      <c r="AC13" s="27"/>
      <c r="AD13" s="27"/>
    </row>
    <row r="14" spans="1:246" ht="24.6" customHeight="1" x14ac:dyDescent="0.15">
      <c r="A14" s="15"/>
      <c r="B14" s="11" t="s">
        <v>107</v>
      </c>
      <c r="C14" s="16" t="s">
        <v>108</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-206</v>
      </c>
      <c r="P14" s="20" t="s">
        <v>109</v>
      </c>
      <c r="Q14" s="178"/>
      <c r="R14" s="179"/>
      <c r="S14" s="179"/>
      <c r="T14" s="179"/>
      <c r="U14" s="179"/>
      <c r="V14" s="179"/>
      <c r="W14" s="179"/>
      <c r="X14" s="179"/>
      <c r="Y14" s="179"/>
      <c r="Z14" s="179"/>
      <c r="AA14" s="179"/>
      <c r="AB14" s="179"/>
      <c r="AC14" s="27"/>
      <c r="AD14" s="27"/>
    </row>
    <row r="15" spans="1:246" ht="24.6" customHeight="1" x14ac:dyDescent="0.15">
      <c r="A15" s="15">
        <v>251</v>
      </c>
      <c r="B15" s="11" t="s">
        <v>110</v>
      </c>
      <c r="C15" s="16" t="s">
        <v>111</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-198</v>
      </c>
      <c r="P15" s="20" t="s">
        <v>362</v>
      </c>
      <c r="Q15" s="25"/>
      <c r="R15" s="26"/>
      <c r="S15" s="26"/>
      <c r="T15" s="26"/>
      <c r="U15" s="26"/>
      <c r="V15" s="26"/>
      <c r="W15" s="26"/>
      <c r="X15" s="26"/>
      <c r="Y15" s="26"/>
      <c r="Z15" s="26"/>
      <c r="AA15" s="26"/>
      <c r="AB15" s="26"/>
      <c r="AC15" s="27"/>
      <c r="AD15" s="27"/>
    </row>
    <row r="16" spans="1:246" ht="93" customHeight="1" x14ac:dyDescent="0.15">
      <c r="A16" s="15">
        <v>252</v>
      </c>
      <c r="B16" s="11" t="s">
        <v>112</v>
      </c>
      <c r="C16" s="16" t="s">
        <v>113</v>
      </c>
      <c r="D16" s="13" t="s">
        <v>24</v>
      </c>
      <c r="E16" s="13" t="s">
        <v>368</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-189</v>
      </c>
      <c r="P16" s="20" t="s">
        <v>361</v>
      </c>
      <c r="Q16" s="25"/>
      <c r="R16" s="26"/>
      <c r="S16" s="26"/>
      <c r="T16" s="26"/>
      <c r="U16" s="26"/>
      <c r="V16" s="26"/>
      <c r="W16" s="26"/>
      <c r="X16" s="26"/>
      <c r="Y16" s="26"/>
      <c r="Z16" s="26"/>
      <c r="AA16" s="26"/>
      <c r="AB16" s="26"/>
      <c r="AC16" s="27"/>
      <c r="AD16" s="27"/>
    </row>
    <row r="17" spans="1:30" ht="24.6" customHeight="1" x14ac:dyDescent="0.15">
      <c r="A17" s="15">
        <v>253</v>
      </c>
      <c r="B17" s="11" t="s">
        <v>366</v>
      </c>
      <c r="C17" s="16" t="s">
        <v>367</v>
      </c>
      <c r="D17" s="13" t="s">
        <v>24</v>
      </c>
      <c r="E17" s="13" t="s">
        <v>369</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-157</v>
      </c>
      <c r="P17" s="20" t="s">
        <v>392</v>
      </c>
      <c r="Q17" s="25"/>
      <c r="R17" s="26"/>
      <c r="S17" s="26"/>
      <c r="T17" s="26"/>
      <c r="U17" s="26"/>
      <c r="V17" s="26"/>
      <c r="W17" s="26"/>
      <c r="X17" s="26"/>
      <c r="Y17" s="26"/>
      <c r="Z17" s="26"/>
      <c r="AA17" s="26"/>
      <c r="AB17" s="26"/>
      <c r="AC17" s="27"/>
      <c r="AD17" s="27"/>
    </row>
    <row r="18" spans="1:30" ht="24.6" customHeight="1" x14ac:dyDescent="0.15">
      <c r="A18" s="15"/>
      <c r="B18" s="11" t="s">
        <v>370</v>
      </c>
      <c r="C18" s="16" t="s">
        <v>389</v>
      </c>
      <c r="D18" s="13" t="s">
        <v>24</v>
      </c>
      <c r="E18" s="13" t="s">
        <v>373</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-157</v>
      </c>
      <c r="P18" s="20" t="s">
        <v>394</v>
      </c>
      <c r="Q18" s="25"/>
      <c r="R18" s="26"/>
      <c r="S18" s="26"/>
      <c r="T18" s="26"/>
      <c r="U18" s="26"/>
      <c r="V18" s="26"/>
      <c r="W18" s="26"/>
      <c r="X18" s="26"/>
      <c r="Y18" s="26"/>
      <c r="Z18" s="26"/>
      <c r="AA18" s="26"/>
      <c r="AB18" s="26"/>
      <c r="AC18" s="27"/>
      <c r="AD18" s="27"/>
    </row>
    <row r="19" spans="1:30" ht="24.6" customHeight="1" x14ac:dyDescent="0.15">
      <c r="A19" s="15">
        <v>255</v>
      </c>
      <c r="B19" s="11" t="s">
        <v>372</v>
      </c>
      <c r="C19" s="12" t="s">
        <v>371</v>
      </c>
      <c r="D19" s="13" t="s">
        <v>24</v>
      </c>
      <c r="E19" s="13" t="s">
        <v>374</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-157</v>
      </c>
      <c r="P19" s="20" t="s">
        <v>393</v>
      </c>
      <c r="Q19" s="25"/>
      <c r="R19" s="26"/>
      <c r="S19" s="26"/>
      <c r="T19" s="26"/>
      <c r="U19" s="26"/>
      <c r="V19" s="26"/>
      <c r="W19" s="26"/>
      <c r="X19" s="26"/>
      <c r="Y19" s="26"/>
      <c r="Z19" s="26"/>
      <c r="AA19" s="26"/>
      <c r="AB19" s="26"/>
      <c r="AC19" s="27"/>
      <c r="AD19" s="27"/>
    </row>
    <row r="20" spans="1:30" ht="24.6" customHeight="1" x14ac:dyDescent="0.15">
      <c r="A20" s="15" t="s">
        <v>375</v>
      </c>
      <c r="B20" s="11" t="s">
        <v>376</v>
      </c>
      <c r="C20" s="12" t="s">
        <v>379</v>
      </c>
      <c r="D20" s="13" t="s">
        <v>24</v>
      </c>
      <c r="E20" s="13" t="s">
        <v>377</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-157</v>
      </c>
      <c r="P20" s="20" t="s">
        <v>386</v>
      </c>
      <c r="Q20" s="25"/>
      <c r="R20" s="26"/>
      <c r="S20" s="26"/>
      <c r="T20" s="26"/>
      <c r="U20" s="26"/>
      <c r="V20" s="26"/>
      <c r="W20" s="26"/>
      <c r="X20" s="26"/>
      <c r="Y20" s="26"/>
      <c r="Z20" s="26"/>
      <c r="AA20" s="26"/>
      <c r="AB20" s="26"/>
      <c r="AC20" s="27"/>
      <c r="AD20" s="27"/>
    </row>
    <row r="21" spans="1:30" ht="24.6" customHeight="1" x14ac:dyDescent="0.15">
      <c r="A21" s="15">
        <v>257</v>
      </c>
      <c r="B21" s="11" t="s">
        <v>378</v>
      </c>
      <c r="C21" s="12" t="s">
        <v>380</v>
      </c>
      <c r="D21" s="13" t="s">
        <v>24</v>
      </c>
      <c r="E21" s="13" t="s">
        <v>377</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-157</v>
      </c>
      <c r="P21" s="20" t="s">
        <v>387</v>
      </c>
      <c r="Q21" s="25"/>
      <c r="R21" s="26"/>
      <c r="S21" s="26"/>
      <c r="T21" s="26"/>
      <c r="U21" s="26"/>
      <c r="V21" s="26"/>
      <c r="W21" s="26"/>
      <c r="X21" s="26"/>
      <c r="Y21" s="26"/>
      <c r="Z21" s="26"/>
      <c r="AA21" s="26"/>
      <c r="AB21" s="26"/>
      <c r="AC21" s="27"/>
      <c r="AD21" s="27"/>
    </row>
    <row r="22" spans="1:30" ht="24.6" customHeight="1" x14ac:dyDescent="0.15">
      <c r="A22" s="15">
        <v>258</v>
      </c>
      <c r="B22" s="11" t="s">
        <v>381</v>
      </c>
      <c r="C22" s="16" t="s">
        <v>382</v>
      </c>
      <c r="D22" s="13" t="s">
        <v>24</v>
      </c>
      <c r="E22" s="13" t="s">
        <v>485</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-157</v>
      </c>
      <c r="P22" s="20" t="s">
        <v>388</v>
      </c>
      <c r="Q22" s="25"/>
      <c r="R22" s="26"/>
      <c r="S22" s="26"/>
      <c r="T22" s="26"/>
      <c r="U22" s="26"/>
      <c r="V22" s="26"/>
      <c r="W22" s="26"/>
      <c r="X22" s="26"/>
      <c r="Y22" s="26"/>
      <c r="Z22" s="26"/>
      <c r="AA22" s="26"/>
      <c r="AB22" s="26"/>
      <c r="AC22" s="27"/>
      <c r="AD22" s="27"/>
    </row>
    <row r="23" spans="1:30" ht="24.6" customHeight="1" x14ac:dyDescent="0.15">
      <c r="A23" s="15">
        <v>259</v>
      </c>
      <c r="B23" s="11" t="s">
        <v>383</v>
      </c>
      <c r="C23" s="12" t="s">
        <v>384</v>
      </c>
      <c r="D23" s="13" t="s">
        <v>24</v>
      </c>
      <c r="E23" s="13" t="s">
        <v>385</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-157</v>
      </c>
      <c r="P23" s="20" t="s">
        <v>493</v>
      </c>
      <c r="Q23" s="25"/>
      <c r="R23" s="26"/>
      <c r="S23" s="26"/>
      <c r="T23" s="26"/>
      <c r="U23" s="26"/>
      <c r="V23" s="26"/>
      <c r="W23" s="26"/>
      <c r="X23" s="26"/>
      <c r="Y23" s="26"/>
      <c r="Z23" s="26"/>
      <c r="AA23" s="26"/>
      <c r="AB23" s="26"/>
      <c r="AC23" s="27"/>
      <c r="AD23" s="27"/>
    </row>
    <row r="24" spans="1:30" ht="24" customHeight="1" x14ac:dyDescent="0.15">
      <c r="A24" s="15">
        <v>260</v>
      </c>
      <c r="B24" s="13"/>
      <c r="C24" s="12" t="s">
        <v>403</v>
      </c>
      <c r="D24" s="13" t="s">
        <v>24</v>
      </c>
      <c r="E24" s="13" t="s">
        <v>385</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-137</v>
      </c>
      <c r="P24" s="20" t="s">
        <v>492</v>
      </c>
      <c r="Q24" s="25"/>
      <c r="R24" s="26"/>
      <c r="S24" s="26"/>
      <c r="T24" s="26"/>
      <c r="U24" s="26"/>
      <c r="V24" s="26"/>
      <c r="W24" s="26"/>
      <c r="X24" s="26"/>
      <c r="Y24" s="26"/>
      <c r="Z24" s="26"/>
      <c r="AA24" s="26"/>
      <c r="AB24" s="26"/>
      <c r="AC24" s="27"/>
      <c r="AD24" s="27"/>
    </row>
    <row r="25" spans="1:30" ht="24.6" customHeight="1" x14ac:dyDescent="0.15">
      <c r="A25" s="15">
        <v>261</v>
      </c>
      <c r="B25" s="13"/>
      <c r="C25" s="16" t="s">
        <v>404</v>
      </c>
      <c r="D25" s="13" t="s">
        <v>24</v>
      </c>
      <c r="E25" s="13" t="s">
        <v>358</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-136</v>
      </c>
      <c r="P25" s="20" t="s">
        <v>496</v>
      </c>
      <c r="Q25" s="25"/>
      <c r="R25" s="26"/>
      <c r="S25" s="26"/>
      <c r="T25" s="26"/>
      <c r="U25" s="26"/>
      <c r="V25" s="26"/>
      <c r="W25" s="26"/>
      <c r="X25" s="26"/>
      <c r="Y25" s="26"/>
      <c r="Z25" s="26"/>
      <c r="AA25" s="26"/>
      <c r="AB25" s="26"/>
      <c r="AC25" s="27"/>
      <c r="AD25" s="27"/>
    </row>
    <row r="26" spans="1:30" ht="24.6" customHeight="1" x14ac:dyDescent="0.15">
      <c r="A26" s="15">
        <v>262</v>
      </c>
      <c r="B26" s="13"/>
      <c r="C26" s="12" t="s">
        <v>405</v>
      </c>
      <c r="D26" s="13" t="s">
        <v>24</v>
      </c>
      <c r="E26" s="13" t="s">
        <v>358</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-135</v>
      </c>
      <c r="P26" s="20" t="s">
        <v>491</v>
      </c>
      <c r="Q26" s="25"/>
      <c r="R26" s="26"/>
      <c r="S26" s="26"/>
      <c r="T26" s="26"/>
      <c r="U26" s="26"/>
      <c r="V26" s="26"/>
      <c r="W26" s="26"/>
      <c r="X26" s="26"/>
      <c r="Y26" s="26"/>
      <c r="Z26" s="26"/>
      <c r="AA26" s="26"/>
      <c r="AB26" s="26"/>
      <c r="AC26" s="27"/>
      <c r="AD26" s="27"/>
    </row>
    <row r="27" spans="1:30" ht="24.6" customHeight="1" x14ac:dyDescent="0.15">
      <c r="A27" s="15" t="s">
        <v>490</v>
      </c>
      <c r="B27" s="11" t="s">
        <v>489</v>
      </c>
      <c r="C27" s="148" t="s">
        <v>488</v>
      </c>
      <c r="D27" s="13" t="s">
        <v>24</v>
      </c>
      <c r="E27" s="13" t="s">
        <v>478</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-143</v>
      </c>
      <c r="P27" s="20" t="s">
        <v>500</v>
      </c>
      <c r="Q27" s="25"/>
      <c r="R27" s="26"/>
      <c r="S27" s="26"/>
      <c r="T27" s="26"/>
      <c r="U27" s="26"/>
      <c r="V27" s="26"/>
      <c r="W27" s="26"/>
      <c r="X27" s="26"/>
      <c r="Y27" s="26"/>
      <c r="Z27" s="26"/>
      <c r="AA27" s="26"/>
      <c r="AB27" s="26"/>
      <c r="AC27" s="27"/>
      <c r="AD27" s="27"/>
    </row>
    <row r="28" spans="1:30" ht="24.6" customHeight="1" x14ac:dyDescent="0.15">
      <c r="A28" s="15">
        <v>264</v>
      </c>
      <c r="B28" s="11" t="s">
        <v>479</v>
      </c>
      <c r="C28" s="16" t="s">
        <v>480</v>
      </c>
      <c r="D28" s="13" t="s">
        <v>24</v>
      </c>
      <c r="E28" s="13" t="s">
        <v>478</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-143</v>
      </c>
      <c r="P28" s="20" t="s">
        <v>499</v>
      </c>
      <c r="Q28" s="25"/>
      <c r="R28" s="26"/>
      <c r="S28" s="26"/>
      <c r="T28" s="26"/>
      <c r="U28" s="26"/>
      <c r="V28" s="26"/>
      <c r="W28" s="26"/>
      <c r="X28" s="26"/>
      <c r="Y28" s="26"/>
      <c r="Z28" s="26"/>
      <c r="AA28" s="26"/>
      <c r="AB28" s="26"/>
      <c r="AC28" s="27"/>
      <c r="AD28" s="27"/>
    </row>
    <row r="29" spans="1:30" ht="24.6" customHeight="1" x14ac:dyDescent="0.15">
      <c r="A29" s="15">
        <v>265</v>
      </c>
      <c r="B29" s="11" t="s">
        <v>481</v>
      </c>
      <c r="C29" s="16" t="s">
        <v>482</v>
      </c>
      <c r="D29" s="13" t="s">
        <v>24</v>
      </c>
      <c r="E29" s="13" t="s">
        <v>478</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-132</v>
      </c>
      <c r="P29" s="20" t="s">
        <v>499</v>
      </c>
      <c r="Q29" s="25"/>
      <c r="R29" s="26"/>
      <c r="S29" s="26"/>
      <c r="T29" s="26"/>
      <c r="U29" s="26"/>
      <c r="V29" s="26"/>
      <c r="W29" s="26"/>
      <c r="X29" s="26"/>
      <c r="Y29" s="26"/>
      <c r="Z29" s="26"/>
      <c r="AA29" s="26"/>
      <c r="AB29" s="26"/>
      <c r="AC29" s="27"/>
      <c r="AD29" s="27"/>
    </row>
    <row r="30" spans="1:30" ht="129.75" customHeight="1" x14ac:dyDescent="0.15">
      <c r="A30" s="15">
        <v>266</v>
      </c>
      <c r="B30" s="11" t="s">
        <v>483</v>
      </c>
      <c r="C30" s="16" t="s">
        <v>484</v>
      </c>
      <c r="D30" s="13" t="s">
        <v>24</v>
      </c>
      <c r="E30" s="13" t="s">
        <v>478</v>
      </c>
      <c r="F30" s="14">
        <v>43957</v>
      </c>
      <c r="G30" s="14">
        <v>43971</v>
      </c>
      <c r="H30" s="14"/>
      <c r="I30" s="14">
        <v>44039</v>
      </c>
      <c r="J30" s="13" t="str">
        <f t="shared" ref="J30" ca="1" si="138">IF(AND(I30&lt;=$C$2,I30&lt;&gt;0),"DONE",IF(K30&lt;0,"OVERDUE",IF(AND(K30="",O30&lt;0),"OVERDUE","IN TIME")))</f>
        <v>DONE</v>
      </c>
      <c r="K30" s="13" t="str">
        <f t="shared" ref="K30" si="139">IF(H30&gt;0,H30-$C$2,"")</f>
        <v/>
      </c>
      <c r="L30" s="13">
        <f t="shared" ref="L30" ca="1" si="140">IF(J30="OVERDUE",1,0)</f>
        <v>0</v>
      </c>
      <c r="M30" s="13">
        <f t="shared" ref="M30" ca="1" si="141">IF(J30="IN TIME",1,0)</f>
        <v>0</v>
      </c>
      <c r="N30" s="13">
        <f t="shared" ref="N30" ca="1" si="142">IF(J30="DONE",1,0)</f>
        <v>1</v>
      </c>
      <c r="O30" s="13">
        <f t="shared" ref="O30" ca="1" si="143">IF(G30&gt;0,G30-$C$2,"")</f>
        <v>-117</v>
      </c>
      <c r="P30" s="20" t="s">
        <v>520</v>
      </c>
      <c r="Q30" s="25"/>
      <c r="R30" s="26"/>
      <c r="S30" s="26"/>
      <c r="T30" s="26"/>
      <c r="U30" s="26"/>
      <c r="V30" s="26"/>
      <c r="W30" s="26"/>
      <c r="X30" s="26"/>
      <c r="Y30" s="26"/>
      <c r="Z30" s="26"/>
      <c r="AA30" s="26"/>
      <c r="AB30" s="26"/>
      <c r="AC30" s="27"/>
      <c r="AD30" s="27"/>
    </row>
    <row r="31" spans="1:30" ht="43.5" customHeight="1" x14ac:dyDescent="0.15">
      <c r="A31" s="15">
        <v>266</v>
      </c>
      <c r="B31" s="11" t="s">
        <v>486</v>
      </c>
      <c r="C31" s="16" t="s">
        <v>487</v>
      </c>
      <c r="D31" s="13" t="s">
        <v>24</v>
      </c>
      <c r="E31" s="13" t="s">
        <v>478</v>
      </c>
      <c r="F31" s="14">
        <v>43972</v>
      </c>
      <c r="G31" s="14">
        <v>43973</v>
      </c>
      <c r="H31" s="14"/>
      <c r="I31" s="14"/>
      <c r="J31" s="13" t="str">
        <f t="shared" ref="J31" ca="1" si="144">IF(AND(I31&lt;=$C$2,I31&lt;&gt;0),"DONE",IF(K31&lt;0,"OVERDUE",IF(AND(K31="",O31&lt;0),"OVERDUE","IN TIME")))</f>
        <v>OVERDUE</v>
      </c>
      <c r="K31" s="13" t="str">
        <f t="shared" ref="K31" si="145">IF(H31&gt;0,H31-$C$2,"")</f>
        <v/>
      </c>
      <c r="L31" s="13">
        <f t="shared" ref="L31" ca="1" si="146">IF(J31="OVERDUE",1,0)</f>
        <v>1</v>
      </c>
      <c r="M31" s="13">
        <f t="shared" ref="M31" ca="1" si="147">IF(J31="IN TIME",1,0)</f>
        <v>0</v>
      </c>
      <c r="N31" s="13">
        <f t="shared" ref="N31" ca="1" si="148">IF(J31="DONE",1,0)</f>
        <v>0</v>
      </c>
      <c r="O31" s="13">
        <f t="shared" ref="O31" ca="1" si="149">IF(G31&gt;0,G31-$C$2,"")</f>
        <v>-115</v>
      </c>
      <c r="P31" s="20" t="s">
        <v>513</v>
      </c>
      <c r="Q31" s="146"/>
      <c r="R31" s="147"/>
      <c r="S31" s="147"/>
      <c r="T31" s="147"/>
      <c r="U31" s="147"/>
      <c r="V31" s="147"/>
      <c r="W31" s="147"/>
      <c r="X31" s="147"/>
      <c r="Y31" s="147"/>
      <c r="Z31" s="147"/>
      <c r="AA31" s="147"/>
      <c r="AB31" s="147"/>
      <c r="AC31" s="27"/>
      <c r="AD31" s="27"/>
    </row>
    <row r="32" spans="1:30" ht="45" customHeight="1" x14ac:dyDescent="0.15">
      <c r="A32" s="15">
        <v>267</v>
      </c>
      <c r="B32" s="11"/>
      <c r="C32" s="16" t="s">
        <v>498</v>
      </c>
      <c r="D32" s="13"/>
      <c r="E32" s="13" t="s">
        <v>478</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511</v>
      </c>
      <c r="Q32" s="149"/>
      <c r="R32" s="150"/>
      <c r="S32" s="150"/>
      <c r="T32" s="150"/>
      <c r="U32" s="150"/>
      <c r="V32" s="150"/>
      <c r="W32" s="150"/>
      <c r="X32" s="150"/>
      <c r="Y32" s="150"/>
      <c r="Z32" s="150"/>
      <c r="AA32" s="150"/>
      <c r="AB32" s="150"/>
      <c r="AC32" s="27"/>
      <c r="AD32" s="27"/>
    </row>
    <row r="33" spans="1:30" ht="24.6" customHeight="1" x14ac:dyDescent="0.15">
      <c r="A33" s="15">
        <v>268</v>
      </c>
      <c r="B33" s="11"/>
      <c r="C33" s="16" t="s">
        <v>516</v>
      </c>
      <c r="D33" s="13" t="s">
        <v>24</v>
      </c>
      <c r="E33" s="13" t="s">
        <v>514</v>
      </c>
      <c r="F33" s="14">
        <v>44025</v>
      </c>
      <c r="G33" s="14">
        <v>44037</v>
      </c>
      <c r="H33" s="14"/>
      <c r="I33" s="14">
        <v>44067</v>
      </c>
      <c r="J33" s="13" t="str">
        <f t="shared" ref="J33" ca="1" si="156">IF(AND(I33&lt;=$C$2,I33&lt;&gt;0),"DONE",IF(K33&lt;0,"OVERDUE",IF(AND(K33="",O33&lt;0),"OVERDUE","IN TIME")))</f>
        <v>DONE</v>
      </c>
      <c r="K33" s="13" t="str">
        <f t="shared" ref="K33" si="157">IF(H33&gt;0,H33-$C$2,"")</f>
        <v/>
      </c>
      <c r="L33" s="13">
        <f t="shared" ref="L33" ca="1" si="158">IF(J33="OVERDUE",1,0)</f>
        <v>0</v>
      </c>
      <c r="M33" s="13">
        <f t="shared" ref="M33" ca="1" si="159">IF(J33="IN TIME",1,0)</f>
        <v>0</v>
      </c>
      <c r="N33" s="13">
        <f t="shared" ref="N33" ca="1" si="160">IF(J33="DONE",1,0)</f>
        <v>1</v>
      </c>
      <c r="O33" s="13">
        <f t="shared" ref="O33" ca="1" si="161">IF(G33&gt;0,G33-$C$2,"")</f>
        <v>-51</v>
      </c>
      <c r="P33" s="20" t="s">
        <v>531</v>
      </c>
      <c r="Q33" s="149"/>
      <c r="R33" s="150"/>
      <c r="S33" s="150"/>
      <c r="T33" s="150"/>
      <c r="U33" s="150"/>
      <c r="V33" s="150"/>
      <c r="W33" s="150"/>
      <c r="X33" s="150"/>
      <c r="Y33" s="150"/>
      <c r="Z33" s="150"/>
      <c r="AA33" s="150"/>
      <c r="AB33" s="150"/>
      <c r="AC33" s="27"/>
      <c r="AD33" s="27"/>
    </row>
    <row r="34" spans="1:30" ht="24.6" customHeight="1" x14ac:dyDescent="0.15">
      <c r="A34" s="15">
        <v>269</v>
      </c>
      <c r="B34" s="11"/>
      <c r="C34" s="16" t="s">
        <v>517</v>
      </c>
      <c r="D34" s="13" t="s">
        <v>24</v>
      </c>
      <c r="E34" s="13" t="s">
        <v>518</v>
      </c>
      <c r="F34" s="14">
        <v>44032</v>
      </c>
      <c r="G34" s="14">
        <v>44052</v>
      </c>
      <c r="H34" s="14"/>
      <c r="I34" s="14">
        <v>44046</v>
      </c>
      <c r="J34" s="13" t="str">
        <f t="shared" ref="J34" ca="1" si="162">IF(AND(I34&lt;=$C$2,I34&lt;&gt;0),"DONE",IF(K34&lt;0,"OVERDUE",IF(AND(K34="",O34&lt;0),"OVERDUE","IN TIME")))</f>
        <v>DONE</v>
      </c>
      <c r="K34" s="13" t="str">
        <f t="shared" ref="K34" si="163">IF(H34&gt;0,H34-$C$2,"")</f>
        <v/>
      </c>
      <c r="L34" s="13">
        <f t="shared" ref="L34" ca="1" si="164">IF(J34="OVERDUE",1,0)</f>
        <v>0</v>
      </c>
      <c r="M34" s="13">
        <f t="shared" ref="M34" ca="1" si="165">IF(J34="IN TIME",1,0)</f>
        <v>0</v>
      </c>
      <c r="N34" s="13">
        <f t="shared" ref="N34" ca="1" si="166">IF(J34="DONE",1,0)</f>
        <v>1</v>
      </c>
      <c r="O34" s="13">
        <f t="shared" ref="O34" ca="1" si="167">IF(G34&gt;0,G34-$C$2,"")</f>
        <v>-36</v>
      </c>
      <c r="P34" s="20" t="s">
        <v>522</v>
      </c>
      <c r="Q34" s="149"/>
      <c r="R34" s="150"/>
      <c r="S34" s="150"/>
      <c r="T34" s="150"/>
      <c r="U34" s="150"/>
      <c r="V34" s="150"/>
      <c r="W34" s="150"/>
      <c r="X34" s="150"/>
      <c r="Y34" s="150"/>
      <c r="Z34" s="150"/>
      <c r="AA34" s="150"/>
      <c r="AB34" s="150"/>
      <c r="AC34" s="27"/>
      <c r="AD34" s="27"/>
    </row>
    <row r="35" spans="1:30" ht="24.6" customHeight="1" x14ac:dyDescent="0.15">
      <c r="A35" s="15">
        <v>270</v>
      </c>
      <c r="B35" s="11"/>
      <c r="C35" s="16" t="s">
        <v>519</v>
      </c>
      <c r="D35" s="13" t="s">
        <v>24</v>
      </c>
      <c r="E35" s="13" t="s">
        <v>358</v>
      </c>
      <c r="F35" s="14">
        <v>44032</v>
      </c>
      <c r="G35" s="14"/>
      <c r="H35" s="14"/>
      <c r="I35" s="14">
        <v>44039</v>
      </c>
      <c r="J35" s="13" t="str">
        <f t="shared" ref="J35:J41" ca="1" si="168">IF(AND(I35&lt;=$C$2,I35&lt;&gt;0),"DONE",IF(K35&lt;0,"OVERDUE",IF(AND(K35="",O35&lt;0),"OVERDUE","IN TIME")))</f>
        <v>DONE</v>
      </c>
      <c r="K35" s="13" t="str">
        <f t="shared" ref="K35" si="169">IF(H35&gt;0,H35-$C$2,"")</f>
        <v/>
      </c>
      <c r="L35" s="13">
        <f t="shared" ref="L35" ca="1" si="170">IF(J35="OVERDUE",1,0)</f>
        <v>0</v>
      </c>
      <c r="M35" s="13">
        <f t="shared" ref="M35" ca="1" si="171">IF(J35="IN TIME",1,0)</f>
        <v>0</v>
      </c>
      <c r="N35" s="13">
        <f t="shared" ref="N35" ca="1" si="172">IF(J35="DONE",1,0)</f>
        <v>1</v>
      </c>
      <c r="O35" s="13" t="str">
        <f t="shared" ref="O35" si="173">IF(G35&gt;0,G35-$C$2,"")</f>
        <v/>
      </c>
      <c r="P35" s="20" t="s">
        <v>521</v>
      </c>
      <c r="Q35" s="154"/>
      <c r="R35" s="155"/>
      <c r="S35" s="155"/>
      <c r="T35" s="155"/>
      <c r="U35" s="155"/>
      <c r="V35" s="155"/>
      <c r="W35" s="155"/>
      <c r="X35" s="155"/>
      <c r="Y35" s="155"/>
      <c r="Z35" s="155"/>
      <c r="AA35" s="155"/>
      <c r="AB35" s="155"/>
      <c r="AC35" s="27"/>
      <c r="AD35" s="27"/>
    </row>
    <row r="36" spans="1:30" ht="42.75" customHeight="1" x14ac:dyDescent="0.15">
      <c r="A36" s="15">
        <v>271</v>
      </c>
      <c r="B36" s="11"/>
      <c r="C36" s="16" t="s">
        <v>528</v>
      </c>
      <c r="D36" s="13" t="s">
        <v>37</v>
      </c>
      <c r="E36" s="13" t="s">
        <v>365</v>
      </c>
      <c r="F36" s="14">
        <v>44053</v>
      </c>
      <c r="G36" s="14">
        <v>44073</v>
      </c>
      <c r="H36" s="14"/>
      <c r="I36" s="14">
        <v>44073</v>
      </c>
      <c r="J36" s="13" t="str">
        <f t="shared" ca="1" si="168"/>
        <v>DONE</v>
      </c>
      <c r="K36" s="13"/>
      <c r="L36" s="13"/>
      <c r="M36" s="13"/>
      <c r="N36" s="13"/>
      <c r="O36" s="13"/>
      <c r="P36" s="20" t="s">
        <v>539</v>
      </c>
      <c r="Q36" s="154"/>
      <c r="R36" s="155"/>
      <c r="S36" s="155"/>
      <c r="T36" s="155"/>
      <c r="U36" s="155"/>
      <c r="V36" s="155"/>
      <c r="W36" s="155"/>
      <c r="X36" s="155"/>
      <c r="Y36" s="155"/>
      <c r="Z36" s="155"/>
      <c r="AA36" s="155"/>
      <c r="AB36" s="155"/>
      <c r="AC36" s="27"/>
      <c r="AD36" s="27"/>
    </row>
    <row r="37" spans="1:30" ht="24.6" customHeight="1" x14ac:dyDescent="0.15">
      <c r="A37" s="15">
        <v>272</v>
      </c>
      <c r="B37" s="11"/>
      <c r="C37" s="16" t="s">
        <v>532</v>
      </c>
      <c r="D37" s="13" t="s">
        <v>24</v>
      </c>
      <c r="E37" s="13" t="s">
        <v>533</v>
      </c>
      <c r="F37" s="14">
        <v>44067</v>
      </c>
      <c r="G37" s="14">
        <v>44074</v>
      </c>
      <c r="H37" s="14"/>
      <c r="I37" s="14">
        <v>44073</v>
      </c>
      <c r="J37" s="13" t="str">
        <f t="shared" ca="1" si="168"/>
        <v>DONE</v>
      </c>
      <c r="K37" s="13"/>
      <c r="L37" s="13"/>
      <c r="M37" s="13"/>
      <c r="N37" s="13"/>
      <c r="O37" s="13"/>
      <c r="P37" s="20" t="s">
        <v>540</v>
      </c>
      <c r="Q37" s="154"/>
      <c r="R37" s="155"/>
      <c r="S37" s="155"/>
      <c r="T37" s="155"/>
      <c r="U37" s="155"/>
      <c r="V37" s="155"/>
      <c r="W37" s="155"/>
      <c r="X37" s="155"/>
      <c r="Y37" s="155"/>
      <c r="Z37" s="155"/>
      <c r="AA37" s="155"/>
      <c r="AB37" s="155"/>
      <c r="AC37" s="27"/>
      <c r="AD37" s="27"/>
    </row>
    <row r="38" spans="1:30" ht="24.6" customHeight="1" x14ac:dyDescent="0.15">
      <c r="A38" s="15">
        <v>273</v>
      </c>
      <c r="B38" s="11"/>
      <c r="C38" s="16" t="s">
        <v>534</v>
      </c>
      <c r="D38" s="13" t="s">
        <v>24</v>
      </c>
      <c r="E38" s="13" t="s">
        <v>358</v>
      </c>
      <c r="F38" s="14">
        <v>44067</v>
      </c>
      <c r="G38" s="14">
        <v>44074</v>
      </c>
      <c r="H38" s="14"/>
      <c r="I38" s="14">
        <v>44073</v>
      </c>
      <c r="J38" s="13" t="str">
        <f t="shared" ca="1" si="168"/>
        <v>DONE</v>
      </c>
      <c r="K38" s="13"/>
      <c r="L38" s="13"/>
      <c r="M38" s="13"/>
      <c r="N38" s="13"/>
      <c r="O38" s="13"/>
      <c r="P38" s="20" t="s">
        <v>540</v>
      </c>
      <c r="Q38" s="154"/>
      <c r="R38" s="155"/>
      <c r="S38" s="155"/>
      <c r="T38" s="155"/>
      <c r="U38" s="155"/>
      <c r="V38" s="155"/>
      <c r="W38" s="155"/>
      <c r="X38" s="155"/>
      <c r="Y38" s="155"/>
      <c r="Z38" s="155"/>
      <c r="AA38" s="155"/>
      <c r="AB38" s="155"/>
      <c r="AC38" s="27"/>
      <c r="AD38" s="27"/>
    </row>
    <row r="39" spans="1:30" ht="24.6" customHeight="1" x14ac:dyDescent="0.15">
      <c r="A39" s="15">
        <v>274</v>
      </c>
      <c r="B39" s="11"/>
      <c r="C39" s="16" t="s">
        <v>541</v>
      </c>
      <c r="D39" s="13" t="s">
        <v>24</v>
      </c>
      <c r="E39" s="13" t="s">
        <v>542</v>
      </c>
      <c r="F39" s="14">
        <v>44074</v>
      </c>
      <c r="G39" s="14">
        <v>44081</v>
      </c>
      <c r="H39" s="14"/>
      <c r="I39" s="14">
        <v>44081</v>
      </c>
      <c r="J39" s="13" t="str">
        <f t="shared" ca="1" si="168"/>
        <v>DONE</v>
      </c>
      <c r="K39" s="13"/>
      <c r="L39" s="13"/>
      <c r="M39" s="13"/>
      <c r="N39" s="13"/>
      <c r="O39" s="13"/>
      <c r="P39" s="20" t="s">
        <v>546</v>
      </c>
      <c r="Q39" s="163"/>
      <c r="R39" s="164"/>
      <c r="S39" s="164"/>
      <c r="T39" s="164"/>
      <c r="U39" s="164"/>
      <c r="V39" s="164"/>
      <c r="W39" s="164"/>
      <c r="X39" s="164"/>
      <c r="Y39" s="164"/>
      <c r="Z39" s="164"/>
      <c r="AA39" s="164"/>
      <c r="AB39" s="164"/>
      <c r="AC39" s="27"/>
      <c r="AD39" s="27"/>
    </row>
    <row r="40" spans="1:30" ht="24.6" customHeight="1" x14ac:dyDescent="0.15">
      <c r="A40" s="15">
        <v>275</v>
      </c>
      <c r="B40" s="11"/>
      <c r="C40" s="16" t="s">
        <v>543</v>
      </c>
      <c r="D40" s="13" t="s">
        <v>24</v>
      </c>
      <c r="E40" s="13" t="s">
        <v>542</v>
      </c>
      <c r="F40" s="14">
        <v>44074</v>
      </c>
      <c r="G40" s="14">
        <v>44088</v>
      </c>
      <c r="H40" s="14"/>
      <c r="I40" s="14"/>
      <c r="J40" s="13"/>
      <c r="K40" s="13"/>
      <c r="L40" s="13"/>
      <c r="M40" s="13"/>
      <c r="N40" s="13"/>
      <c r="O40" s="13"/>
      <c r="P40" s="20" t="s">
        <v>558</v>
      </c>
      <c r="Q40" s="163"/>
      <c r="R40" s="164"/>
      <c r="S40" s="164"/>
      <c r="T40" s="164"/>
      <c r="U40" s="164"/>
      <c r="V40" s="164"/>
      <c r="W40" s="164"/>
      <c r="X40" s="164"/>
      <c r="Y40" s="164"/>
      <c r="Z40" s="164"/>
      <c r="AA40" s="164"/>
      <c r="AB40" s="164"/>
      <c r="AC40" s="27"/>
      <c r="AD40" s="27"/>
    </row>
    <row r="41" spans="1:30" ht="24.6" customHeight="1" x14ac:dyDescent="0.15">
      <c r="A41" s="15">
        <v>276</v>
      </c>
      <c r="B41" s="11"/>
      <c r="C41" s="16" t="s">
        <v>544</v>
      </c>
      <c r="D41" s="13" t="s">
        <v>24</v>
      </c>
      <c r="E41" s="13" t="s">
        <v>542</v>
      </c>
      <c r="F41" s="14">
        <v>44073</v>
      </c>
      <c r="G41" s="14"/>
      <c r="H41" s="14"/>
      <c r="I41" s="14">
        <v>44081</v>
      </c>
      <c r="J41" s="13" t="str">
        <f t="shared" ca="1" si="168"/>
        <v>DONE</v>
      </c>
      <c r="K41" s="13"/>
      <c r="L41" s="13"/>
      <c r="M41" s="13"/>
      <c r="N41" s="13"/>
      <c r="O41" s="13"/>
      <c r="P41" s="20" t="s">
        <v>550</v>
      </c>
      <c r="Q41" s="163"/>
      <c r="R41" s="164"/>
      <c r="S41" s="164"/>
      <c r="T41" s="164"/>
      <c r="U41" s="164"/>
      <c r="V41" s="164"/>
      <c r="W41" s="164"/>
      <c r="X41" s="164"/>
      <c r="Y41" s="164"/>
      <c r="Z41" s="164"/>
      <c r="AA41" s="164"/>
      <c r="AB41" s="164"/>
      <c r="AC41" s="27"/>
      <c r="AD41" s="27"/>
    </row>
    <row r="42" spans="1:30" ht="24.6" customHeight="1" x14ac:dyDescent="0.15">
      <c r="A42" s="15">
        <v>277</v>
      </c>
      <c r="B42" s="11"/>
      <c r="C42" s="16" t="s">
        <v>548</v>
      </c>
      <c r="D42" s="13" t="s">
        <v>24</v>
      </c>
      <c r="E42" s="13" t="s">
        <v>549</v>
      </c>
      <c r="F42" s="14">
        <v>44081</v>
      </c>
      <c r="G42" s="14">
        <v>44094</v>
      </c>
      <c r="H42" s="14"/>
      <c r="I42" s="14"/>
      <c r="J42" s="13"/>
      <c r="K42" s="13"/>
      <c r="L42" s="13"/>
      <c r="M42" s="13"/>
      <c r="N42" s="13"/>
      <c r="O42" s="13"/>
      <c r="P42" s="20" t="s">
        <v>554</v>
      </c>
      <c r="Q42" s="165"/>
      <c r="R42" s="166"/>
      <c r="S42" s="166"/>
      <c r="T42" s="166"/>
      <c r="U42" s="166"/>
      <c r="V42" s="166"/>
      <c r="W42" s="166"/>
      <c r="X42" s="166"/>
      <c r="Y42" s="166"/>
      <c r="Z42" s="166"/>
      <c r="AA42" s="166"/>
      <c r="AB42" s="166"/>
      <c r="AC42" s="27"/>
      <c r="AD42" s="27"/>
    </row>
    <row r="43" spans="1:30" ht="24.6" customHeight="1" x14ac:dyDescent="0.15">
      <c r="A43" s="15">
        <v>278</v>
      </c>
      <c r="B43" s="11"/>
      <c r="C43" s="16" t="s">
        <v>553</v>
      </c>
      <c r="D43" s="13" t="s">
        <v>24</v>
      </c>
      <c r="E43" s="13" t="s">
        <v>549</v>
      </c>
      <c r="F43" s="14">
        <v>44081</v>
      </c>
      <c r="G43" s="14">
        <v>44094</v>
      </c>
      <c r="H43" s="14"/>
      <c r="I43" s="14"/>
      <c r="J43" s="13"/>
      <c r="K43" s="13"/>
      <c r="L43" s="13"/>
      <c r="M43" s="13"/>
      <c r="N43" s="13"/>
      <c r="O43" s="13"/>
      <c r="P43" s="20" t="s">
        <v>555</v>
      </c>
      <c r="Q43" s="167"/>
      <c r="R43" s="168"/>
      <c r="S43" s="168"/>
      <c r="T43" s="168"/>
      <c r="U43" s="168"/>
      <c r="V43" s="168"/>
      <c r="W43" s="168"/>
      <c r="X43" s="168"/>
      <c r="Y43" s="168"/>
      <c r="Z43" s="168"/>
      <c r="AA43" s="168"/>
      <c r="AB43" s="168"/>
      <c r="AC43" s="27"/>
      <c r="AD43" s="27"/>
    </row>
    <row r="44" spans="1:30" ht="24.6" customHeight="1" x14ac:dyDescent="0.15">
      <c r="A44" s="15">
        <v>279</v>
      </c>
      <c r="B44" s="11"/>
      <c r="C44" s="16" t="s">
        <v>551</v>
      </c>
      <c r="D44" s="13" t="s">
        <v>37</v>
      </c>
      <c r="E44" s="13" t="s">
        <v>552</v>
      </c>
      <c r="F44" s="14">
        <v>44081</v>
      </c>
      <c r="G44" s="14">
        <v>44094</v>
      </c>
      <c r="H44" s="14"/>
      <c r="I44" s="14">
        <v>44088</v>
      </c>
      <c r="J44" s="13" t="str">
        <f t="shared" ref="J44" ca="1" si="174">IF(AND(I44&lt;=$C$2,I44&lt;&gt;0),"DONE",IF(K44&lt;0,"OVERDUE",IF(AND(K44="",O44&lt;0),"OVERDUE","IN TIME")))</f>
        <v>DONE</v>
      </c>
      <c r="K44" s="13"/>
      <c r="L44" s="13"/>
      <c r="M44" s="13"/>
      <c r="N44" s="13"/>
      <c r="O44" s="13"/>
      <c r="P44" s="20" t="s">
        <v>556</v>
      </c>
      <c r="Q44" s="167"/>
      <c r="R44" s="168"/>
      <c r="S44" s="168"/>
      <c r="T44" s="168"/>
      <c r="U44" s="168"/>
      <c r="V44" s="168"/>
      <c r="W44" s="168"/>
      <c r="X44" s="168"/>
      <c r="Y44" s="168"/>
      <c r="Z44" s="168"/>
      <c r="AA44" s="168"/>
      <c r="AB44" s="168"/>
      <c r="AC44" s="27"/>
      <c r="AD44" s="27"/>
    </row>
    <row r="45" spans="1:30" ht="77.25" customHeight="1" x14ac:dyDescent="0.15">
      <c r="A45" s="15">
        <v>280</v>
      </c>
      <c r="B45" s="11"/>
      <c r="C45" s="16" t="s">
        <v>547</v>
      </c>
      <c r="D45" s="13" t="s">
        <v>37</v>
      </c>
      <c r="E45" s="13" t="s">
        <v>365</v>
      </c>
      <c r="F45" s="14">
        <v>44073</v>
      </c>
      <c r="G45" s="14">
        <v>44081</v>
      </c>
      <c r="H45" s="14"/>
      <c r="I45" s="14"/>
      <c r="J45" s="13"/>
      <c r="K45" s="13"/>
      <c r="L45" s="13"/>
      <c r="M45" s="13"/>
      <c r="N45" s="13"/>
      <c r="O45" s="13"/>
      <c r="P45" s="20" t="s">
        <v>557</v>
      </c>
      <c r="Q45" s="167"/>
      <c r="R45" s="168"/>
      <c r="S45" s="168"/>
      <c r="T45" s="168"/>
      <c r="U45" s="168"/>
      <c r="V45" s="168"/>
      <c r="W45" s="168"/>
      <c r="X45" s="168"/>
      <c r="Y45" s="168"/>
      <c r="Z45" s="168"/>
      <c r="AA45" s="168"/>
      <c r="AB45" s="168"/>
      <c r="AC45" s="27"/>
      <c r="AD45" s="27"/>
    </row>
    <row r="46" spans="1:30" ht="24.6" customHeight="1" x14ac:dyDescent="0.15">
      <c r="A46" s="15">
        <v>281</v>
      </c>
      <c r="B46" s="11"/>
      <c r="C46" s="16" t="s">
        <v>535</v>
      </c>
      <c r="D46" s="13" t="s">
        <v>37</v>
      </c>
      <c r="E46" s="13" t="s">
        <v>536</v>
      </c>
      <c r="F46" s="14"/>
      <c r="G46" s="14"/>
      <c r="H46" s="14"/>
      <c r="I46" s="14"/>
      <c r="J46" s="13"/>
      <c r="K46" s="13"/>
      <c r="L46" s="13"/>
      <c r="M46" s="13"/>
      <c r="N46" s="13"/>
      <c r="O46" s="13"/>
      <c r="P46" s="20"/>
      <c r="Q46" s="167"/>
      <c r="R46" s="168"/>
      <c r="S46" s="168"/>
      <c r="T46" s="168"/>
      <c r="U46" s="168"/>
      <c r="V46" s="168"/>
      <c r="W46" s="168"/>
      <c r="X46" s="168"/>
      <c r="Y46" s="168"/>
      <c r="Z46" s="168"/>
      <c r="AA46" s="168"/>
      <c r="AB46" s="168"/>
      <c r="AC46" s="27"/>
      <c r="AD46" s="27"/>
    </row>
    <row r="47" spans="1:30" ht="24.6" customHeight="1" x14ac:dyDescent="0.15">
      <c r="A47" s="15">
        <v>282</v>
      </c>
      <c r="B47" s="11"/>
      <c r="C47" s="16" t="s">
        <v>538</v>
      </c>
      <c r="D47" s="13" t="s">
        <v>37</v>
      </c>
      <c r="E47" s="13" t="s">
        <v>537</v>
      </c>
      <c r="F47" s="14"/>
      <c r="G47" s="14"/>
      <c r="H47" s="14"/>
      <c r="I47" s="14"/>
      <c r="J47" s="13"/>
      <c r="K47" s="13"/>
      <c r="L47" s="13"/>
      <c r="M47" s="13"/>
      <c r="N47" s="13"/>
      <c r="O47" s="13"/>
      <c r="P47" s="20"/>
      <c r="Q47" s="167"/>
      <c r="R47" s="168"/>
      <c r="S47" s="168"/>
      <c r="T47" s="168"/>
      <c r="U47" s="168"/>
      <c r="V47" s="168"/>
      <c r="W47" s="168"/>
      <c r="X47" s="168"/>
      <c r="Y47" s="168"/>
      <c r="Z47" s="168"/>
      <c r="AA47" s="168"/>
      <c r="AB47" s="168"/>
      <c r="AC47" s="27"/>
      <c r="AD47" s="27"/>
    </row>
  </sheetData>
  <autoFilter ref="A3:P30"/>
  <mergeCells count="3">
    <mergeCell ref="A1:P1"/>
    <mergeCell ref="A2:B2"/>
    <mergeCell ref="Q3:AB14"/>
  </mergeCells>
  <phoneticPr fontId="34" type="noConversion"/>
  <conditionalFormatting sqref="J4">
    <cfRule type="cellIs" dxfId="290" priority="136" operator="equal">
      <formula>"OVERDUE"</formula>
    </cfRule>
    <cfRule type="cellIs" dxfId="289" priority="137" operator="equal">
      <formula>"DONE"</formula>
    </cfRule>
    <cfRule type="cellIs" dxfId="288" priority="138" operator="equal">
      <formula>"DONE"</formula>
    </cfRule>
  </conditionalFormatting>
  <conditionalFormatting sqref="J5">
    <cfRule type="cellIs" dxfId="287" priority="133" operator="equal">
      <formula>"OVERDUE"</formula>
    </cfRule>
    <cfRule type="cellIs" dxfId="286" priority="134" operator="equal">
      <formula>"DONE"</formula>
    </cfRule>
    <cfRule type="cellIs" dxfId="285" priority="135" operator="equal">
      <formula>"DONE"</formula>
    </cfRule>
  </conditionalFormatting>
  <conditionalFormatting sqref="J6">
    <cfRule type="cellIs" dxfId="284" priority="130" operator="equal">
      <formula>"OVERDUE"</formula>
    </cfRule>
    <cfRule type="cellIs" dxfId="283" priority="131" operator="equal">
      <formula>"DONE"</formula>
    </cfRule>
    <cfRule type="cellIs" dxfId="282" priority="132" operator="equal">
      <formula>"DONE"</formula>
    </cfRule>
  </conditionalFormatting>
  <conditionalFormatting sqref="J7">
    <cfRule type="cellIs" dxfId="281" priority="127" operator="equal">
      <formula>"OVERDUE"</formula>
    </cfRule>
    <cfRule type="cellIs" dxfId="280" priority="128" operator="equal">
      <formula>"DONE"</formula>
    </cfRule>
    <cfRule type="cellIs" dxfId="279" priority="129" operator="equal">
      <formula>"DONE"</formula>
    </cfRule>
  </conditionalFormatting>
  <conditionalFormatting sqref="J8">
    <cfRule type="cellIs" dxfId="278" priority="124" operator="equal">
      <formula>"OVERDUE"</formula>
    </cfRule>
    <cfRule type="cellIs" dxfId="277" priority="125" operator="equal">
      <formula>"DONE"</formula>
    </cfRule>
    <cfRule type="cellIs" dxfId="276" priority="126" operator="equal">
      <formula>"DONE"</formula>
    </cfRule>
  </conditionalFormatting>
  <conditionalFormatting sqref="J9">
    <cfRule type="cellIs" dxfId="275" priority="121" operator="equal">
      <formula>"OVERDUE"</formula>
    </cfRule>
    <cfRule type="cellIs" dxfId="274" priority="122" operator="equal">
      <formula>"DONE"</formula>
    </cfRule>
    <cfRule type="cellIs" dxfId="273" priority="123" operator="equal">
      <formula>"DONE"</formula>
    </cfRule>
  </conditionalFormatting>
  <conditionalFormatting sqref="J10">
    <cfRule type="cellIs" dxfId="272" priority="118" operator="equal">
      <formula>"OVERDUE"</formula>
    </cfRule>
    <cfRule type="cellIs" dxfId="271" priority="119" operator="equal">
      <formula>"DONE"</formula>
    </cfRule>
    <cfRule type="cellIs" dxfId="270" priority="120" operator="equal">
      <formula>"DONE"</formula>
    </cfRule>
  </conditionalFormatting>
  <conditionalFormatting sqref="J11">
    <cfRule type="cellIs" dxfId="269" priority="115" operator="equal">
      <formula>"OVERDUE"</formula>
    </cfRule>
    <cfRule type="cellIs" dxfId="268" priority="116" operator="equal">
      <formula>"DONE"</formula>
    </cfRule>
    <cfRule type="cellIs" dxfId="267" priority="117" operator="equal">
      <formula>"DONE"</formula>
    </cfRule>
  </conditionalFormatting>
  <conditionalFormatting sqref="J12">
    <cfRule type="cellIs" dxfId="266" priority="112" operator="equal">
      <formula>"OVERDUE"</formula>
    </cfRule>
    <cfRule type="cellIs" dxfId="265" priority="113" operator="equal">
      <formula>"DONE"</formula>
    </cfRule>
    <cfRule type="cellIs" dxfId="264" priority="114" operator="equal">
      <formula>"DONE"</formula>
    </cfRule>
  </conditionalFormatting>
  <conditionalFormatting sqref="J13">
    <cfRule type="cellIs" dxfId="263" priority="109" operator="equal">
      <formula>"OVERDUE"</formula>
    </cfRule>
    <cfRule type="cellIs" dxfId="262" priority="110" operator="equal">
      <formula>"DONE"</formula>
    </cfRule>
    <cfRule type="cellIs" dxfId="261" priority="111" operator="equal">
      <formula>"DONE"</formula>
    </cfRule>
  </conditionalFormatting>
  <conditionalFormatting sqref="J14">
    <cfRule type="cellIs" dxfId="260" priority="106" operator="equal">
      <formula>"OVERDUE"</formula>
    </cfRule>
    <cfRule type="cellIs" dxfId="259" priority="107" operator="equal">
      <formula>"DONE"</formula>
    </cfRule>
    <cfRule type="cellIs" dxfId="258" priority="108" operator="equal">
      <formula>"DONE"</formula>
    </cfRule>
  </conditionalFormatting>
  <conditionalFormatting sqref="J15">
    <cfRule type="cellIs" dxfId="257" priority="103" operator="equal">
      <formula>"OVERDUE"</formula>
    </cfRule>
    <cfRule type="cellIs" dxfId="256" priority="104" operator="equal">
      <formula>"DONE"</formula>
    </cfRule>
    <cfRule type="cellIs" dxfId="255" priority="105" operator="equal">
      <formula>"DONE"</formula>
    </cfRule>
  </conditionalFormatting>
  <conditionalFormatting sqref="J16">
    <cfRule type="cellIs" dxfId="254" priority="100" operator="equal">
      <formula>"OVERDUE"</formula>
    </cfRule>
    <cfRule type="cellIs" dxfId="253" priority="101" operator="equal">
      <formula>"DONE"</formula>
    </cfRule>
    <cfRule type="cellIs" dxfId="252" priority="102" operator="equal">
      <formula>"DONE"</formula>
    </cfRule>
  </conditionalFormatting>
  <conditionalFormatting sqref="J17">
    <cfRule type="cellIs" dxfId="251" priority="97" operator="equal">
      <formula>"OVERDUE"</formula>
    </cfRule>
    <cfRule type="cellIs" dxfId="250" priority="98" operator="equal">
      <formula>"DONE"</formula>
    </cfRule>
    <cfRule type="cellIs" dxfId="249" priority="99" operator="equal">
      <formula>"DONE"</formula>
    </cfRule>
  </conditionalFormatting>
  <conditionalFormatting sqref="J18">
    <cfRule type="cellIs" dxfId="248" priority="94" operator="equal">
      <formula>"OVERDUE"</formula>
    </cfRule>
    <cfRule type="cellIs" dxfId="247" priority="95" operator="equal">
      <formula>"DONE"</formula>
    </cfRule>
    <cfRule type="cellIs" dxfId="246" priority="96" operator="equal">
      <formula>"DONE"</formula>
    </cfRule>
  </conditionalFormatting>
  <conditionalFormatting sqref="J19">
    <cfRule type="cellIs" dxfId="245" priority="91" operator="equal">
      <formula>"OVERDUE"</formula>
    </cfRule>
    <cfRule type="cellIs" dxfId="244" priority="92" operator="equal">
      <formula>"DONE"</formula>
    </cfRule>
    <cfRule type="cellIs" dxfId="243" priority="93" operator="equal">
      <formula>"DONE"</formula>
    </cfRule>
  </conditionalFormatting>
  <conditionalFormatting sqref="J20">
    <cfRule type="cellIs" dxfId="242" priority="88" operator="equal">
      <formula>"OVERDUE"</formula>
    </cfRule>
    <cfRule type="cellIs" dxfId="241" priority="89" operator="equal">
      <formula>"DONE"</formula>
    </cfRule>
    <cfRule type="cellIs" dxfId="240" priority="90" operator="equal">
      <formula>"DONE"</formula>
    </cfRule>
  </conditionalFormatting>
  <conditionalFormatting sqref="J21">
    <cfRule type="cellIs" dxfId="239" priority="85" operator="equal">
      <formula>"OVERDUE"</formula>
    </cfRule>
    <cfRule type="cellIs" dxfId="238" priority="86" operator="equal">
      <formula>"DONE"</formula>
    </cfRule>
    <cfRule type="cellIs" dxfId="237" priority="87" operator="equal">
      <formula>"DONE"</formula>
    </cfRule>
  </conditionalFormatting>
  <conditionalFormatting sqref="J22">
    <cfRule type="cellIs" dxfId="236" priority="82" operator="equal">
      <formula>"OVERDUE"</formula>
    </cfRule>
    <cfRule type="cellIs" dxfId="235" priority="83" operator="equal">
      <formula>"DONE"</formula>
    </cfRule>
    <cfRule type="cellIs" dxfId="234" priority="84" operator="equal">
      <formula>"DONE"</formula>
    </cfRule>
  </conditionalFormatting>
  <conditionalFormatting sqref="J23">
    <cfRule type="cellIs" dxfId="233" priority="79" operator="equal">
      <formula>"OVERDUE"</formula>
    </cfRule>
    <cfRule type="cellIs" dxfId="232" priority="80" operator="equal">
      <formula>"DONE"</formula>
    </cfRule>
    <cfRule type="cellIs" dxfId="231" priority="81" operator="equal">
      <formula>"DONE"</formula>
    </cfRule>
  </conditionalFormatting>
  <conditionalFormatting sqref="J24">
    <cfRule type="cellIs" dxfId="230" priority="76" operator="equal">
      <formula>"OVERDUE"</formula>
    </cfRule>
    <cfRule type="cellIs" dxfId="229" priority="77" operator="equal">
      <formula>"DONE"</formula>
    </cfRule>
    <cfRule type="cellIs" dxfId="228" priority="78" operator="equal">
      <formula>"DONE"</formula>
    </cfRule>
  </conditionalFormatting>
  <conditionalFormatting sqref="J25">
    <cfRule type="cellIs" dxfId="227" priority="73" operator="equal">
      <formula>"OVERDUE"</formula>
    </cfRule>
    <cfRule type="cellIs" dxfId="226" priority="74" operator="equal">
      <formula>"DONE"</formula>
    </cfRule>
    <cfRule type="cellIs" dxfId="225" priority="75" operator="equal">
      <formula>"DONE"</formula>
    </cfRule>
  </conditionalFormatting>
  <conditionalFormatting sqref="J26">
    <cfRule type="cellIs" dxfId="224" priority="70" operator="equal">
      <formula>"OVERDUE"</formula>
    </cfRule>
    <cfRule type="cellIs" dxfId="223" priority="71" operator="equal">
      <formula>"DONE"</formula>
    </cfRule>
    <cfRule type="cellIs" dxfId="222" priority="72" operator="equal">
      <formula>"DONE"</formula>
    </cfRule>
  </conditionalFormatting>
  <conditionalFormatting sqref="J27">
    <cfRule type="cellIs" dxfId="221" priority="67" operator="equal">
      <formula>"OVERDUE"</formula>
    </cfRule>
    <cfRule type="cellIs" dxfId="220" priority="68" operator="equal">
      <formula>"DONE"</formula>
    </cfRule>
    <cfRule type="cellIs" dxfId="219" priority="69" operator="equal">
      <formula>"DONE"</formula>
    </cfRule>
  </conditionalFormatting>
  <conditionalFormatting sqref="J28">
    <cfRule type="cellIs" dxfId="218" priority="64" operator="equal">
      <formula>"OVERDUE"</formula>
    </cfRule>
    <cfRule type="cellIs" dxfId="217" priority="65" operator="equal">
      <formula>"DONE"</formula>
    </cfRule>
    <cfRule type="cellIs" dxfId="216" priority="66" operator="equal">
      <formula>"DONE"</formula>
    </cfRule>
  </conditionalFormatting>
  <conditionalFormatting sqref="J29">
    <cfRule type="cellIs" dxfId="215" priority="61" operator="equal">
      <formula>"OVERDUE"</formula>
    </cfRule>
    <cfRule type="cellIs" dxfId="214" priority="62" operator="equal">
      <formula>"DONE"</formula>
    </cfRule>
    <cfRule type="cellIs" dxfId="213" priority="63" operator="equal">
      <formula>"DONE"</formula>
    </cfRule>
  </conditionalFormatting>
  <conditionalFormatting sqref="J30">
    <cfRule type="cellIs" dxfId="212" priority="58" operator="equal">
      <formula>"OVERDUE"</formula>
    </cfRule>
    <cfRule type="cellIs" dxfId="211" priority="59" operator="equal">
      <formula>"DONE"</formula>
    </cfRule>
    <cfRule type="cellIs" dxfId="210" priority="60" operator="equal">
      <formula>"DONE"</formula>
    </cfRule>
  </conditionalFormatting>
  <conditionalFormatting sqref="J2:J3 J48:J1048576">
    <cfRule type="cellIs" dxfId="209" priority="157" operator="equal">
      <formula>"OVERDUE"</formula>
    </cfRule>
    <cfRule type="cellIs" dxfId="208" priority="158" operator="equal">
      <formula>"DONE"</formula>
    </cfRule>
    <cfRule type="cellIs" dxfId="207" priority="159" operator="equal">
      <formula>"DONE"</formula>
    </cfRule>
  </conditionalFormatting>
  <conditionalFormatting sqref="J31">
    <cfRule type="cellIs" dxfId="206" priority="55" operator="equal">
      <formula>"OVERDUE"</formula>
    </cfRule>
    <cfRule type="cellIs" dxfId="205" priority="56" operator="equal">
      <formula>"DONE"</formula>
    </cfRule>
    <cfRule type="cellIs" dxfId="204" priority="57" operator="equal">
      <formula>"DONE"</formula>
    </cfRule>
  </conditionalFormatting>
  <conditionalFormatting sqref="J32">
    <cfRule type="cellIs" dxfId="203" priority="52" operator="equal">
      <formula>"OVERDUE"</formula>
    </cfRule>
    <cfRule type="cellIs" dxfId="202" priority="53" operator="equal">
      <formula>"DONE"</formula>
    </cfRule>
    <cfRule type="cellIs" dxfId="201" priority="54" operator="equal">
      <formula>"DONE"</formula>
    </cfRule>
  </conditionalFormatting>
  <conditionalFormatting sqref="J33">
    <cfRule type="cellIs" dxfId="200" priority="49" operator="equal">
      <formula>"OVERDUE"</formula>
    </cfRule>
    <cfRule type="cellIs" dxfId="199" priority="50" operator="equal">
      <formula>"DONE"</formula>
    </cfRule>
    <cfRule type="cellIs" dxfId="198" priority="51" operator="equal">
      <formula>"DONE"</formula>
    </cfRule>
  </conditionalFormatting>
  <conditionalFormatting sqref="J34">
    <cfRule type="cellIs" dxfId="197" priority="46" operator="equal">
      <formula>"OVERDUE"</formula>
    </cfRule>
    <cfRule type="cellIs" dxfId="196" priority="47" operator="equal">
      <formula>"DONE"</formula>
    </cfRule>
    <cfRule type="cellIs" dxfId="195" priority="48" operator="equal">
      <formula>"DONE"</formula>
    </cfRule>
  </conditionalFormatting>
  <conditionalFormatting sqref="J35:J38">
    <cfRule type="cellIs" dxfId="194" priority="43" operator="equal">
      <formula>"OVERDUE"</formula>
    </cfRule>
    <cfRule type="cellIs" dxfId="193" priority="44" operator="equal">
      <formula>"DONE"</formula>
    </cfRule>
    <cfRule type="cellIs" dxfId="192" priority="45" operator="equal">
      <formula>"DONE"</formula>
    </cfRule>
  </conditionalFormatting>
  <conditionalFormatting sqref="J39">
    <cfRule type="cellIs" dxfId="191" priority="31" operator="equal">
      <formula>"OVERDUE"</formula>
    </cfRule>
    <cfRule type="cellIs" dxfId="190" priority="32" operator="equal">
      <formula>"DONE"</formula>
    </cfRule>
    <cfRule type="cellIs" dxfId="189" priority="33" operator="equal">
      <formula>"DONE"</formula>
    </cfRule>
  </conditionalFormatting>
  <conditionalFormatting sqref="J40">
    <cfRule type="cellIs" dxfId="188" priority="28" operator="equal">
      <formula>"OVERDUE"</formula>
    </cfRule>
    <cfRule type="cellIs" dxfId="187" priority="29" operator="equal">
      <formula>"DONE"</formula>
    </cfRule>
    <cfRule type="cellIs" dxfId="186" priority="30" operator="equal">
      <formula>"DONE"</formula>
    </cfRule>
  </conditionalFormatting>
  <conditionalFormatting sqref="J42">
    <cfRule type="cellIs" dxfId="182" priority="22" operator="equal">
      <formula>"OVERDUE"</formula>
    </cfRule>
    <cfRule type="cellIs" dxfId="181" priority="23" operator="equal">
      <formula>"DONE"</formula>
    </cfRule>
    <cfRule type="cellIs" dxfId="180" priority="24" operator="equal">
      <formula>"DONE"</formula>
    </cfRule>
  </conditionalFormatting>
  <conditionalFormatting sqref="J43">
    <cfRule type="cellIs" dxfId="179" priority="19" operator="equal">
      <formula>"OVERDUE"</formula>
    </cfRule>
    <cfRule type="cellIs" dxfId="178" priority="20" operator="equal">
      <formula>"DONE"</formula>
    </cfRule>
    <cfRule type="cellIs" dxfId="177" priority="21" operator="equal">
      <formula>"DONE"</formula>
    </cfRule>
  </conditionalFormatting>
  <conditionalFormatting sqref="J45">
    <cfRule type="cellIs" dxfId="173" priority="13" operator="equal">
      <formula>"OVERDUE"</formula>
    </cfRule>
    <cfRule type="cellIs" dxfId="172" priority="14" operator="equal">
      <formula>"DONE"</formula>
    </cfRule>
    <cfRule type="cellIs" dxfId="171" priority="15" operator="equal">
      <formula>"DONE"</formula>
    </cfRule>
  </conditionalFormatting>
  <conditionalFormatting sqref="J46">
    <cfRule type="cellIs" dxfId="170" priority="10" operator="equal">
      <formula>"OVERDUE"</formula>
    </cfRule>
    <cfRule type="cellIs" dxfId="169" priority="11" operator="equal">
      <formula>"DONE"</formula>
    </cfRule>
    <cfRule type="cellIs" dxfId="168" priority="12" operator="equal">
      <formula>"DONE"</formula>
    </cfRule>
  </conditionalFormatting>
  <conditionalFormatting sqref="J47">
    <cfRule type="cellIs" dxfId="167" priority="7" operator="equal">
      <formula>"OVERDUE"</formula>
    </cfRule>
    <cfRule type="cellIs" dxfId="166" priority="8" operator="equal">
      <formula>"DONE"</formula>
    </cfRule>
    <cfRule type="cellIs" dxfId="165" priority="9" operator="equal">
      <formula>"DONE"</formula>
    </cfRule>
  </conditionalFormatting>
  <conditionalFormatting sqref="J41">
    <cfRule type="cellIs" dxfId="5" priority="4" operator="equal">
      <formula>"OVERDUE"</formula>
    </cfRule>
    <cfRule type="cellIs" dxfId="4" priority="5" operator="equal">
      <formula>"DONE"</formula>
    </cfRule>
    <cfRule type="cellIs" dxfId="3" priority="6" operator="equal">
      <formula>"DONE"</formula>
    </cfRule>
  </conditionalFormatting>
  <conditionalFormatting sqref="J44">
    <cfRule type="cellIs" dxfId="2" priority="1" operator="equal">
      <formula>"OVERDUE"</formula>
    </cfRule>
    <cfRule type="cellIs" dxfId="1" priority="2" operator="equal">
      <formula>"DONE"</formula>
    </cfRule>
    <cfRule type="cellIs" dxfId="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47</xdr:row>
                    <xdr:rowOff>85725</xdr:rowOff>
                  </from>
                  <to>
                    <xdr:col>1</xdr:col>
                    <xdr:colOff>800100</xdr:colOff>
                    <xdr:row>48</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opLeftCell="C1" workbookViewId="0">
      <pane ySplit="3" topLeftCell="A7" activePane="bottomLeft" state="frozen"/>
      <selection pane="bottomLeft" activeCell="I7" sqref="I7"/>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6" t="s">
        <v>357</v>
      </c>
      <c r="B1" s="176"/>
      <c r="C1" s="176"/>
      <c r="D1" s="176"/>
      <c r="E1" s="176"/>
      <c r="F1" s="176"/>
      <c r="G1" s="176"/>
      <c r="H1" s="176"/>
      <c r="I1" s="176"/>
      <c r="J1" s="176"/>
      <c r="K1" s="176"/>
      <c r="L1" s="176"/>
      <c r="M1" s="176"/>
      <c r="N1" s="176"/>
      <c r="O1" s="176"/>
      <c r="P1" s="17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7" t="s">
        <v>1</v>
      </c>
      <c r="B2" s="177"/>
      <c r="C2" s="5">
        <f ca="1">TODAY()</f>
        <v>44088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78"/>
      <c r="R3" s="179"/>
      <c r="S3" s="179"/>
      <c r="T3" s="179"/>
      <c r="U3" s="179"/>
      <c r="V3" s="179"/>
      <c r="W3" s="179"/>
      <c r="X3" s="179"/>
      <c r="Y3" s="179"/>
      <c r="Z3" s="179"/>
      <c r="AA3" s="179"/>
      <c r="AB3" s="179"/>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81</v>
      </c>
      <c r="B4" s="11"/>
      <c r="C4" s="16" t="s">
        <v>402</v>
      </c>
      <c r="D4" s="13" t="s">
        <v>24</v>
      </c>
      <c r="E4" s="13" t="s">
        <v>358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78"/>
      <c r="R4" s="179"/>
      <c r="S4" s="179"/>
      <c r="T4" s="179"/>
      <c r="U4" s="179"/>
      <c r="V4" s="179"/>
      <c r="W4" s="179"/>
      <c r="X4" s="179"/>
      <c r="Y4" s="179"/>
      <c r="Z4" s="179"/>
      <c r="AA4" s="179"/>
      <c r="AB4" s="179"/>
      <c r="AC4" s="27"/>
      <c r="AD4" s="27"/>
    </row>
    <row r="5" spans="1:246" ht="57.75" customHeight="1" x14ac:dyDescent="0.15">
      <c r="A5" s="15">
        <v>241</v>
      </c>
      <c r="B5" s="11"/>
      <c r="C5" s="16" t="s">
        <v>395</v>
      </c>
      <c r="D5" s="13" t="s">
        <v>24</v>
      </c>
      <c r="E5" s="13" t="s">
        <v>396</v>
      </c>
      <c r="F5" s="13">
        <v>43928</v>
      </c>
      <c r="G5" s="14">
        <v>43951</v>
      </c>
      <c r="H5" s="14"/>
      <c r="I5" s="14"/>
      <c r="J5" s="13" t="str">
        <f t="shared" ca="1" si="0"/>
        <v>OVERDUE</v>
      </c>
      <c r="K5" s="13" t="str">
        <f t="shared" si="1"/>
        <v/>
      </c>
      <c r="L5" s="13">
        <f t="shared" ca="1" si="2"/>
        <v>1</v>
      </c>
      <c r="M5" s="13">
        <f t="shared" ca="1" si="3"/>
        <v>0</v>
      </c>
      <c r="N5" s="13">
        <f t="shared" ca="1" si="4"/>
        <v>0</v>
      </c>
      <c r="O5" s="13">
        <f t="shared" ca="1" si="5"/>
        <v>-137</v>
      </c>
      <c r="P5" s="20"/>
      <c r="Q5" s="178"/>
      <c r="R5" s="179"/>
      <c r="S5" s="179"/>
      <c r="T5" s="179"/>
      <c r="U5" s="179"/>
      <c r="V5" s="179"/>
      <c r="W5" s="179"/>
      <c r="X5" s="179"/>
      <c r="Y5" s="179"/>
      <c r="Z5" s="179"/>
      <c r="AA5" s="179"/>
      <c r="AB5" s="179"/>
      <c r="AC5" s="27"/>
      <c r="AD5" s="27"/>
    </row>
    <row r="6" spans="1:246" ht="24.6" customHeight="1" x14ac:dyDescent="0.15">
      <c r="A6" s="15">
        <v>242</v>
      </c>
      <c r="B6" s="11"/>
      <c r="C6" s="16" t="s">
        <v>397</v>
      </c>
      <c r="D6" s="13" t="s">
        <v>24</v>
      </c>
      <c r="E6" s="13" t="s">
        <v>398</v>
      </c>
      <c r="F6" s="14">
        <v>43928</v>
      </c>
      <c r="G6" s="14">
        <v>43951</v>
      </c>
      <c r="H6" s="14"/>
      <c r="I6" s="14"/>
      <c r="J6" s="13" t="str">
        <f t="shared" ca="1" si="0"/>
        <v>OVERDUE</v>
      </c>
      <c r="K6" s="13" t="str">
        <f t="shared" si="1"/>
        <v/>
      </c>
      <c r="L6" s="13">
        <f t="shared" ca="1" si="2"/>
        <v>1</v>
      </c>
      <c r="M6" s="13">
        <f t="shared" ca="1" si="3"/>
        <v>0</v>
      </c>
      <c r="N6" s="13">
        <f t="shared" ca="1" si="4"/>
        <v>0</v>
      </c>
      <c r="O6" s="13">
        <f t="shared" ca="1" si="5"/>
        <v>-137</v>
      </c>
      <c r="P6" s="20"/>
      <c r="Q6" s="178"/>
      <c r="R6" s="179"/>
      <c r="S6" s="179"/>
      <c r="T6" s="179"/>
      <c r="U6" s="179"/>
      <c r="V6" s="179"/>
      <c r="W6" s="179"/>
      <c r="X6" s="179"/>
      <c r="Y6" s="179"/>
      <c r="Z6" s="179"/>
      <c r="AA6" s="179"/>
      <c r="AB6" s="179"/>
      <c r="AC6" s="27"/>
      <c r="AD6" s="27"/>
    </row>
    <row r="7" spans="1:246" ht="45" customHeight="1" x14ac:dyDescent="0.15">
      <c r="A7" s="15">
        <v>243</v>
      </c>
      <c r="B7" s="13"/>
      <c r="C7" s="16" t="s">
        <v>401</v>
      </c>
      <c r="D7" s="13" t="s">
        <v>24</v>
      </c>
      <c r="E7" s="13" t="s">
        <v>400</v>
      </c>
      <c r="F7" s="14">
        <v>43928</v>
      </c>
      <c r="G7" s="14"/>
      <c r="H7" s="14"/>
      <c r="I7" s="14"/>
      <c r="J7" s="13" t="str">
        <f t="shared" ca="1" si="0"/>
        <v>IN TIME</v>
      </c>
      <c r="K7" s="13" t="str">
        <f t="shared" si="1"/>
        <v/>
      </c>
      <c r="L7" s="13">
        <f t="shared" ca="1" si="2"/>
        <v>0</v>
      </c>
      <c r="M7" s="13">
        <f t="shared" ca="1" si="3"/>
        <v>1</v>
      </c>
      <c r="N7" s="13">
        <f t="shared" ca="1" si="4"/>
        <v>0</v>
      </c>
      <c r="O7" s="13" t="str">
        <f t="shared" si="5"/>
        <v/>
      </c>
      <c r="P7" s="20" t="s">
        <v>523</v>
      </c>
      <c r="Q7" s="178"/>
      <c r="R7" s="179"/>
      <c r="S7" s="179"/>
      <c r="T7" s="179"/>
      <c r="U7" s="179"/>
      <c r="V7" s="179"/>
      <c r="W7" s="179"/>
      <c r="X7" s="179"/>
      <c r="Y7" s="179"/>
      <c r="Z7" s="179"/>
      <c r="AA7" s="179"/>
      <c r="AB7" s="179"/>
      <c r="AC7" s="27"/>
      <c r="AD7" s="27"/>
    </row>
    <row r="8" spans="1:246" ht="24.6" customHeight="1" x14ac:dyDescent="0.15">
      <c r="A8" s="10" t="s">
        <v>93</v>
      </c>
      <c r="B8" s="11"/>
      <c r="C8" s="16" t="s">
        <v>399</v>
      </c>
      <c r="D8" s="13" t="s">
        <v>24</v>
      </c>
      <c r="E8" s="13" t="s">
        <v>396</v>
      </c>
      <c r="F8" s="14">
        <v>43928</v>
      </c>
      <c r="G8" s="14">
        <v>43951</v>
      </c>
      <c r="H8" s="14"/>
      <c r="I8" s="14"/>
      <c r="J8" s="13" t="str">
        <f t="shared" ca="1" si="0"/>
        <v>OVERDUE</v>
      </c>
      <c r="K8" s="13" t="str">
        <f t="shared" si="1"/>
        <v/>
      </c>
      <c r="L8" s="13">
        <f t="shared" ca="1" si="2"/>
        <v>1</v>
      </c>
      <c r="M8" s="13">
        <f t="shared" ca="1" si="3"/>
        <v>0</v>
      </c>
      <c r="N8" s="13">
        <f t="shared" ca="1" si="4"/>
        <v>0</v>
      </c>
      <c r="O8" s="13">
        <f t="shared" ca="1" si="5"/>
        <v>-137</v>
      </c>
      <c r="P8" s="20"/>
      <c r="Q8" s="178"/>
      <c r="R8" s="179"/>
      <c r="S8" s="179"/>
      <c r="T8" s="179"/>
      <c r="U8" s="179"/>
      <c r="V8" s="179"/>
      <c r="W8" s="179"/>
      <c r="X8" s="179"/>
      <c r="Y8" s="179"/>
      <c r="Z8" s="179"/>
      <c r="AA8" s="179"/>
      <c r="AB8" s="179"/>
      <c r="AC8" s="27"/>
      <c r="AD8" s="27"/>
    </row>
    <row r="9" spans="1:246" ht="24.6" customHeight="1" x14ac:dyDescent="0.15">
      <c r="A9" s="10" t="s">
        <v>97</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78"/>
      <c r="R9" s="179"/>
      <c r="S9" s="179"/>
      <c r="T9" s="179"/>
      <c r="U9" s="179"/>
      <c r="V9" s="179"/>
      <c r="W9" s="179"/>
      <c r="X9" s="179"/>
      <c r="Y9" s="179"/>
      <c r="Z9" s="179"/>
      <c r="AA9" s="179"/>
      <c r="AB9" s="179"/>
      <c r="AC9" s="27"/>
      <c r="AD9" s="27"/>
    </row>
    <row r="10" spans="1:246" ht="24.6" customHeight="1" x14ac:dyDescent="0.15">
      <c r="A10" s="15">
        <v>246</v>
      </c>
      <c r="B10" s="11"/>
      <c r="C10" s="16" t="s">
        <v>494</v>
      </c>
      <c r="D10" s="13" t="s">
        <v>24</v>
      </c>
      <c r="E10" s="13" t="s">
        <v>495</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-94</v>
      </c>
      <c r="P10" s="20" t="s">
        <v>506</v>
      </c>
      <c r="Q10" s="178"/>
      <c r="R10" s="179"/>
      <c r="S10" s="179"/>
      <c r="T10" s="179"/>
      <c r="U10" s="179"/>
      <c r="V10" s="179"/>
      <c r="W10" s="179"/>
      <c r="X10" s="179"/>
      <c r="Y10" s="179"/>
      <c r="Z10" s="179"/>
      <c r="AA10" s="179"/>
      <c r="AB10" s="179"/>
      <c r="AC10" s="27"/>
      <c r="AD10" s="27"/>
    </row>
    <row r="11" spans="1:246" ht="24.6" customHeight="1" x14ac:dyDescent="0.15">
      <c r="A11" s="15">
        <v>247</v>
      </c>
      <c r="B11" s="11"/>
      <c r="C11" s="16" t="s">
        <v>497</v>
      </c>
      <c r="D11" s="13" t="s">
        <v>24</v>
      </c>
      <c r="E11" s="13" t="s">
        <v>495</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-87</v>
      </c>
      <c r="P11" s="20" t="s">
        <v>507</v>
      </c>
      <c r="Q11" s="178"/>
      <c r="R11" s="179"/>
      <c r="S11" s="179"/>
      <c r="T11" s="179"/>
      <c r="U11" s="179"/>
      <c r="V11" s="179"/>
      <c r="W11" s="179"/>
      <c r="X11" s="179"/>
      <c r="Y11" s="179"/>
      <c r="Z11" s="179"/>
      <c r="AA11" s="179"/>
      <c r="AB11" s="179"/>
      <c r="AC11" s="27"/>
      <c r="AD11" s="27"/>
    </row>
    <row r="12" spans="1:246" ht="39" customHeight="1" x14ac:dyDescent="0.15">
      <c r="A12" s="15">
        <v>248</v>
      </c>
      <c r="B12" s="11"/>
      <c r="C12" s="153" t="s">
        <v>504</v>
      </c>
      <c r="D12" s="13" t="s">
        <v>24</v>
      </c>
      <c r="E12" s="13" t="s">
        <v>505</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-79</v>
      </c>
      <c r="P12" s="20" t="s">
        <v>509</v>
      </c>
      <c r="Q12" s="178"/>
      <c r="R12" s="179"/>
      <c r="S12" s="179"/>
      <c r="T12" s="179"/>
      <c r="U12" s="179"/>
      <c r="V12" s="179"/>
      <c r="W12" s="179"/>
      <c r="X12" s="179"/>
      <c r="Y12" s="179"/>
      <c r="Z12" s="179"/>
      <c r="AA12" s="179"/>
      <c r="AB12" s="179"/>
      <c r="AC12" s="27"/>
      <c r="AD12" s="27"/>
    </row>
    <row r="13" spans="1:246" ht="24.6" customHeight="1" x14ac:dyDescent="0.15">
      <c r="A13" s="15">
        <v>249</v>
      </c>
      <c r="B13" s="13"/>
      <c r="C13" s="153" t="s">
        <v>508</v>
      </c>
      <c r="D13" s="13" t="s">
        <v>24</v>
      </c>
      <c r="E13" s="13" t="s">
        <v>505</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-66</v>
      </c>
      <c r="P13" s="20"/>
      <c r="Q13" s="178"/>
      <c r="R13" s="179"/>
      <c r="S13" s="179"/>
      <c r="T13" s="179"/>
      <c r="U13" s="179"/>
      <c r="V13" s="179"/>
      <c r="W13" s="179"/>
      <c r="X13" s="179"/>
      <c r="Y13" s="179"/>
      <c r="Z13" s="179"/>
      <c r="AA13" s="179"/>
      <c r="AB13" s="179"/>
      <c r="AC13" s="27"/>
      <c r="AD13" s="27"/>
    </row>
    <row r="14" spans="1:246" ht="24.6" customHeight="1" x14ac:dyDescent="0.15">
      <c r="A14" s="15"/>
      <c r="B14" s="11"/>
      <c r="C14" s="16" t="s">
        <v>510</v>
      </c>
      <c r="D14" s="13" t="s">
        <v>24</v>
      </c>
      <c r="E14" s="13" t="s">
        <v>505</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-79</v>
      </c>
      <c r="P14" s="20" t="s">
        <v>509</v>
      </c>
      <c r="Q14" s="178"/>
      <c r="R14" s="179"/>
      <c r="S14" s="179"/>
      <c r="T14" s="179"/>
      <c r="U14" s="179"/>
      <c r="V14" s="179"/>
      <c r="W14" s="179"/>
      <c r="X14" s="179"/>
      <c r="Y14" s="179"/>
      <c r="Z14" s="179"/>
      <c r="AA14" s="179"/>
      <c r="AB14" s="179"/>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164" priority="79" operator="equal">
      <formula>"OVERDUE"</formula>
    </cfRule>
    <cfRule type="cellIs" dxfId="163" priority="80" operator="equal">
      <formula>"DONE"</formula>
    </cfRule>
    <cfRule type="cellIs" dxfId="162" priority="81" operator="equal">
      <formula>"DONE"</formula>
    </cfRule>
  </conditionalFormatting>
  <conditionalFormatting sqref="J5">
    <cfRule type="cellIs" dxfId="161" priority="76" operator="equal">
      <formula>"OVERDUE"</formula>
    </cfRule>
    <cfRule type="cellIs" dxfId="160" priority="77" operator="equal">
      <formula>"DONE"</formula>
    </cfRule>
    <cfRule type="cellIs" dxfId="159" priority="78" operator="equal">
      <formula>"DONE"</formula>
    </cfRule>
  </conditionalFormatting>
  <conditionalFormatting sqref="J6">
    <cfRule type="cellIs" dxfId="158" priority="73" operator="equal">
      <formula>"OVERDUE"</formula>
    </cfRule>
    <cfRule type="cellIs" dxfId="157" priority="74" operator="equal">
      <formula>"DONE"</formula>
    </cfRule>
    <cfRule type="cellIs" dxfId="156" priority="75" operator="equal">
      <formula>"DONE"</formula>
    </cfRule>
  </conditionalFormatting>
  <conditionalFormatting sqref="J7">
    <cfRule type="cellIs" dxfId="155" priority="70" operator="equal">
      <formula>"OVERDUE"</formula>
    </cfRule>
    <cfRule type="cellIs" dxfId="154" priority="71" operator="equal">
      <formula>"DONE"</formula>
    </cfRule>
    <cfRule type="cellIs" dxfId="153" priority="72" operator="equal">
      <formula>"DONE"</formula>
    </cfRule>
  </conditionalFormatting>
  <conditionalFormatting sqref="J8">
    <cfRule type="cellIs" dxfId="152" priority="67" operator="equal">
      <formula>"OVERDUE"</formula>
    </cfRule>
    <cfRule type="cellIs" dxfId="151" priority="68" operator="equal">
      <formula>"DONE"</formula>
    </cfRule>
    <cfRule type="cellIs" dxfId="150" priority="69" operator="equal">
      <formula>"DONE"</formula>
    </cfRule>
  </conditionalFormatting>
  <conditionalFormatting sqref="J9">
    <cfRule type="cellIs" dxfId="149" priority="64" operator="equal">
      <formula>"OVERDUE"</formula>
    </cfRule>
    <cfRule type="cellIs" dxfId="148" priority="65" operator="equal">
      <formula>"DONE"</formula>
    </cfRule>
    <cfRule type="cellIs" dxfId="147" priority="66" operator="equal">
      <formula>"DONE"</formula>
    </cfRule>
  </conditionalFormatting>
  <conditionalFormatting sqref="J10">
    <cfRule type="cellIs" dxfId="146" priority="61" operator="equal">
      <formula>"OVERDUE"</formula>
    </cfRule>
    <cfRule type="cellIs" dxfId="145" priority="62" operator="equal">
      <formula>"DONE"</formula>
    </cfRule>
    <cfRule type="cellIs" dxfId="144" priority="63" operator="equal">
      <formula>"DONE"</formula>
    </cfRule>
  </conditionalFormatting>
  <conditionalFormatting sqref="J11">
    <cfRule type="cellIs" dxfId="143" priority="58" operator="equal">
      <formula>"OVERDUE"</formula>
    </cfRule>
    <cfRule type="cellIs" dxfId="142" priority="59" operator="equal">
      <formula>"DONE"</formula>
    </cfRule>
    <cfRule type="cellIs" dxfId="141" priority="60" operator="equal">
      <formula>"DONE"</formula>
    </cfRule>
  </conditionalFormatting>
  <conditionalFormatting sqref="J12">
    <cfRule type="cellIs" dxfId="140" priority="55" operator="equal">
      <formula>"OVERDUE"</formula>
    </cfRule>
    <cfRule type="cellIs" dxfId="139" priority="56" operator="equal">
      <formula>"DONE"</formula>
    </cfRule>
    <cfRule type="cellIs" dxfId="138" priority="57" operator="equal">
      <formula>"DONE"</formula>
    </cfRule>
  </conditionalFormatting>
  <conditionalFormatting sqref="J13">
    <cfRule type="cellIs" dxfId="137" priority="52" operator="equal">
      <formula>"OVERDUE"</formula>
    </cfRule>
    <cfRule type="cellIs" dxfId="136" priority="53" operator="equal">
      <formula>"DONE"</formula>
    </cfRule>
    <cfRule type="cellIs" dxfId="135" priority="54" operator="equal">
      <formula>"DONE"</formula>
    </cfRule>
  </conditionalFormatting>
  <conditionalFormatting sqref="J14">
    <cfRule type="cellIs" dxfId="134" priority="49" operator="equal">
      <formula>"OVERDUE"</formula>
    </cfRule>
    <cfRule type="cellIs" dxfId="133" priority="50" operator="equal">
      <formula>"DONE"</formula>
    </cfRule>
    <cfRule type="cellIs" dxfId="132" priority="51" operator="equal">
      <formula>"DONE"</formula>
    </cfRule>
  </conditionalFormatting>
  <conditionalFormatting sqref="J15">
    <cfRule type="cellIs" dxfId="131" priority="46" operator="equal">
      <formula>"OVERDUE"</formula>
    </cfRule>
    <cfRule type="cellIs" dxfId="130" priority="47" operator="equal">
      <formula>"DONE"</formula>
    </cfRule>
    <cfRule type="cellIs" dxfId="129" priority="48" operator="equal">
      <formula>"DONE"</formula>
    </cfRule>
  </conditionalFormatting>
  <conditionalFormatting sqref="J16">
    <cfRule type="cellIs" dxfId="128" priority="43" operator="equal">
      <formula>"OVERDUE"</formula>
    </cfRule>
    <cfRule type="cellIs" dxfId="127" priority="44" operator="equal">
      <formula>"DONE"</formula>
    </cfRule>
    <cfRule type="cellIs" dxfId="126" priority="45" operator="equal">
      <formula>"DONE"</formula>
    </cfRule>
  </conditionalFormatting>
  <conditionalFormatting sqref="J17">
    <cfRule type="cellIs" dxfId="125" priority="40" operator="equal">
      <formula>"OVERDUE"</formula>
    </cfRule>
    <cfRule type="cellIs" dxfId="124" priority="41" operator="equal">
      <formula>"DONE"</formula>
    </cfRule>
    <cfRule type="cellIs" dxfId="123" priority="42" operator="equal">
      <formula>"DONE"</formula>
    </cfRule>
  </conditionalFormatting>
  <conditionalFormatting sqref="J18">
    <cfRule type="cellIs" dxfId="122" priority="37" operator="equal">
      <formula>"OVERDUE"</formula>
    </cfRule>
    <cfRule type="cellIs" dxfId="121" priority="38" operator="equal">
      <formula>"DONE"</formula>
    </cfRule>
    <cfRule type="cellIs" dxfId="120" priority="39" operator="equal">
      <formula>"DONE"</formula>
    </cfRule>
  </conditionalFormatting>
  <conditionalFormatting sqref="J19">
    <cfRule type="cellIs" dxfId="119" priority="34" operator="equal">
      <formula>"OVERDUE"</formula>
    </cfRule>
    <cfRule type="cellIs" dxfId="118" priority="35" operator="equal">
      <formula>"DONE"</formula>
    </cfRule>
    <cfRule type="cellIs" dxfId="117" priority="36" operator="equal">
      <formula>"DONE"</formula>
    </cfRule>
  </conditionalFormatting>
  <conditionalFormatting sqref="J20">
    <cfRule type="cellIs" dxfId="116" priority="31" operator="equal">
      <formula>"OVERDUE"</formula>
    </cfRule>
    <cfRule type="cellIs" dxfId="115" priority="32" operator="equal">
      <formula>"DONE"</formula>
    </cfRule>
    <cfRule type="cellIs" dxfId="114" priority="33" operator="equal">
      <formula>"DONE"</formula>
    </cfRule>
  </conditionalFormatting>
  <conditionalFormatting sqref="J21">
    <cfRule type="cellIs" dxfId="113" priority="28" operator="equal">
      <formula>"OVERDUE"</formula>
    </cfRule>
    <cfRule type="cellIs" dxfId="112" priority="29" operator="equal">
      <formula>"DONE"</formula>
    </cfRule>
    <cfRule type="cellIs" dxfId="111" priority="30" operator="equal">
      <formula>"DONE"</formula>
    </cfRule>
  </conditionalFormatting>
  <conditionalFormatting sqref="J22">
    <cfRule type="cellIs" dxfId="110" priority="25" operator="equal">
      <formula>"OVERDUE"</formula>
    </cfRule>
    <cfRule type="cellIs" dxfId="109" priority="26" operator="equal">
      <formula>"DONE"</formula>
    </cfRule>
    <cfRule type="cellIs" dxfId="108" priority="27" operator="equal">
      <formula>"DONE"</formula>
    </cfRule>
  </conditionalFormatting>
  <conditionalFormatting sqref="J23">
    <cfRule type="cellIs" dxfId="107" priority="22" operator="equal">
      <formula>"OVERDUE"</formula>
    </cfRule>
    <cfRule type="cellIs" dxfId="106" priority="23" operator="equal">
      <formula>"DONE"</formula>
    </cfRule>
    <cfRule type="cellIs" dxfId="105" priority="24" operator="equal">
      <formula>"DONE"</formula>
    </cfRule>
  </conditionalFormatting>
  <conditionalFormatting sqref="J24">
    <cfRule type="cellIs" dxfId="104" priority="19" operator="equal">
      <formula>"OVERDUE"</formula>
    </cfRule>
    <cfRule type="cellIs" dxfId="103" priority="20" operator="equal">
      <formula>"DONE"</formula>
    </cfRule>
    <cfRule type="cellIs" dxfId="102" priority="21" operator="equal">
      <formula>"DONE"</formula>
    </cfRule>
  </conditionalFormatting>
  <conditionalFormatting sqref="J25">
    <cfRule type="cellIs" dxfId="101" priority="16" operator="equal">
      <formula>"OVERDUE"</formula>
    </cfRule>
    <cfRule type="cellIs" dxfId="100" priority="17" operator="equal">
      <formula>"DONE"</formula>
    </cfRule>
    <cfRule type="cellIs" dxfId="99" priority="18" operator="equal">
      <formula>"DONE"</formula>
    </cfRule>
  </conditionalFormatting>
  <conditionalFormatting sqref="J26">
    <cfRule type="cellIs" dxfId="98" priority="13" operator="equal">
      <formula>"OVERDUE"</formula>
    </cfRule>
    <cfRule type="cellIs" dxfId="97" priority="14" operator="equal">
      <formula>"DONE"</formula>
    </cfRule>
    <cfRule type="cellIs" dxfId="96" priority="15" operator="equal">
      <formula>"DONE"</formula>
    </cfRule>
  </conditionalFormatting>
  <conditionalFormatting sqref="J27">
    <cfRule type="cellIs" dxfId="95" priority="10" operator="equal">
      <formula>"OVERDUE"</formula>
    </cfRule>
    <cfRule type="cellIs" dxfId="94" priority="11" operator="equal">
      <formula>"DONE"</formula>
    </cfRule>
    <cfRule type="cellIs" dxfId="93" priority="12" operator="equal">
      <formula>"DONE"</formula>
    </cfRule>
  </conditionalFormatting>
  <conditionalFormatting sqref="J28">
    <cfRule type="cellIs" dxfId="92" priority="7" operator="equal">
      <formula>"OVERDUE"</formula>
    </cfRule>
    <cfRule type="cellIs" dxfId="91" priority="8" operator="equal">
      <formula>"DONE"</formula>
    </cfRule>
    <cfRule type="cellIs" dxfId="90" priority="9" operator="equal">
      <formula>"DONE"</formula>
    </cfRule>
  </conditionalFormatting>
  <conditionalFormatting sqref="J29">
    <cfRule type="cellIs" dxfId="89" priority="4" operator="equal">
      <formula>"OVERDUE"</formula>
    </cfRule>
    <cfRule type="cellIs" dxfId="88" priority="5" operator="equal">
      <formula>"DONE"</formula>
    </cfRule>
    <cfRule type="cellIs" dxfId="87" priority="6" operator="equal">
      <formula>"DONE"</formula>
    </cfRule>
  </conditionalFormatting>
  <conditionalFormatting sqref="J30">
    <cfRule type="cellIs" dxfId="86" priority="1" operator="equal">
      <formula>"OVERDUE"</formula>
    </cfRule>
    <cfRule type="cellIs" dxfId="85" priority="2" operator="equal">
      <formula>"DONE"</formula>
    </cfRule>
    <cfRule type="cellIs" dxfId="84" priority="3" operator="equal">
      <formula>"DONE"</formula>
    </cfRule>
  </conditionalFormatting>
  <conditionalFormatting sqref="J2:J3 J31:J1048576">
    <cfRule type="cellIs" dxfId="83" priority="82" operator="equal">
      <formula>"OVERDUE"</formula>
    </cfRule>
    <cfRule type="cellIs" dxfId="82" priority="83" operator="equal">
      <formula>"DONE"</formula>
    </cfRule>
    <cfRule type="cellIs" dxfId="81"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4" activePane="bottomLeft" state="frozen"/>
      <selection pane="bottomLeft" activeCell="P5" sqref="P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76" t="s">
        <v>512</v>
      </c>
      <c r="B1" s="176"/>
      <c r="C1" s="176"/>
      <c r="D1" s="176"/>
      <c r="E1" s="176"/>
      <c r="F1" s="176"/>
      <c r="G1" s="176"/>
      <c r="H1" s="176"/>
      <c r="I1" s="176"/>
      <c r="J1" s="176"/>
      <c r="K1" s="176"/>
      <c r="L1" s="176"/>
      <c r="M1" s="176"/>
      <c r="N1" s="176"/>
      <c r="O1" s="176"/>
      <c r="P1" s="17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77" t="s">
        <v>1</v>
      </c>
      <c r="B2" s="177"/>
      <c r="C2" s="5">
        <f ca="1">TODAY()</f>
        <v>44088</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78"/>
      <c r="R3" s="179"/>
      <c r="S3" s="179"/>
      <c r="T3" s="179"/>
      <c r="U3" s="179"/>
      <c r="V3" s="179"/>
      <c r="W3" s="179"/>
      <c r="X3" s="179"/>
      <c r="Y3" s="179"/>
      <c r="Z3" s="179"/>
      <c r="AA3" s="179"/>
      <c r="AB3" s="179"/>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70.25" customHeight="1" x14ac:dyDescent="0.15">
      <c r="A4" s="15">
        <v>243</v>
      </c>
      <c r="B4" s="13"/>
      <c r="C4" s="16" t="s">
        <v>501</v>
      </c>
      <c r="D4" s="13" t="s">
        <v>37</v>
      </c>
      <c r="E4" s="13" t="s">
        <v>400</v>
      </c>
      <c r="F4" s="14">
        <v>44011</v>
      </c>
      <c r="G4" s="14">
        <v>44044</v>
      </c>
      <c r="H4" s="14"/>
      <c r="I4" s="14"/>
      <c r="J4" s="13" t="str">
        <f t="shared" ref="J4:J27" ca="1" si="0">IF(AND(I4&lt;=$C$2,I4&lt;&gt;0),"DONE",IF(K4&lt;0,"OVERDUE",IF(AND(K4="",O4&lt;0),"OVERDUE","IN TIME")))</f>
        <v>OVERDUE</v>
      </c>
      <c r="K4" s="13" t="str">
        <f t="shared" ref="K4:K27" si="1">IF(H4&gt;0,H4-$C$2,"")</f>
        <v/>
      </c>
      <c r="L4" s="13">
        <f t="shared" ref="L4:L27" ca="1" si="2">IF(J4="OVERDUE",1,0)</f>
        <v>1</v>
      </c>
      <c r="M4" s="13">
        <f t="shared" ref="M4:M27" ca="1" si="3">IF(J4="IN TIME",1,0)</f>
        <v>0</v>
      </c>
      <c r="N4" s="13">
        <f t="shared" ref="N4:N27" ca="1" si="4">IF(J4="DONE",1,0)</f>
        <v>0</v>
      </c>
      <c r="O4" s="13">
        <f t="shared" ref="O4:O27" ca="1" si="5">IF(G4&gt;0,G4-$C$2,"")</f>
        <v>-44</v>
      </c>
      <c r="P4" s="20" t="s">
        <v>545</v>
      </c>
      <c r="Q4" s="178"/>
      <c r="R4" s="179"/>
      <c r="S4" s="179"/>
      <c r="T4" s="179"/>
      <c r="U4" s="179"/>
      <c r="V4" s="179"/>
      <c r="W4" s="179"/>
      <c r="X4" s="179"/>
      <c r="Y4" s="179"/>
      <c r="Z4" s="179"/>
      <c r="AA4" s="179"/>
      <c r="AB4" s="179"/>
      <c r="AC4" s="27"/>
      <c r="AD4" s="27"/>
    </row>
    <row r="5" spans="1:246" ht="106.5" customHeight="1" x14ac:dyDescent="0.15">
      <c r="A5" s="10" t="s">
        <v>93</v>
      </c>
      <c r="B5" s="11"/>
      <c r="C5" s="16" t="s">
        <v>502</v>
      </c>
      <c r="D5" s="13" t="s">
        <v>24</v>
      </c>
      <c r="E5" s="13" t="s">
        <v>503</v>
      </c>
      <c r="F5" s="14">
        <v>44011</v>
      </c>
      <c r="G5" s="14">
        <v>44044</v>
      </c>
      <c r="H5" s="14"/>
      <c r="I5" s="14"/>
      <c r="J5" s="13" t="str">
        <f t="shared" ca="1" si="0"/>
        <v>OVERDUE</v>
      </c>
      <c r="K5" s="13" t="str">
        <f t="shared" si="1"/>
        <v/>
      </c>
      <c r="L5" s="13">
        <f t="shared" ca="1" si="2"/>
        <v>1</v>
      </c>
      <c r="M5" s="13">
        <f t="shared" ca="1" si="3"/>
        <v>0</v>
      </c>
      <c r="N5" s="13">
        <f t="shared" ca="1" si="4"/>
        <v>0</v>
      </c>
      <c r="O5" s="13">
        <f t="shared" ca="1" si="5"/>
        <v>-44</v>
      </c>
      <c r="P5" s="20" t="s">
        <v>529</v>
      </c>
      <c r="Q5" s="178"/>
      <c r="R5" s="179"/>
      <c r="S5" s="179"/>
      <c r="T5" s="179"/>
      <c r="U5" s="179"/>
      <c r="V5" s="179"/>
      <c r="W5" s="179"/>
      <c r="X5" s="179"/>
      <c r="Y5" s="179"/>
      <c r="Z5" s="179"/>
      <c r="AA5" s="179"/>
      <c r="AB5" s="179"/>
      <c r="AC5" s="27"/>
      <c r="AD5" s="27"/>
    </row>
    <row r="6" spans="1:246" ht="24.6" customHeight="1" x14ac:dyDescent="0.15">
      <c r="A6" s="10" t="s">
        <v>97</v>
      </c>
      <c r="B6" s="11"/>
      <c r="C6" s="16"/>
      <c r="D6" s="13" t="s">
        <v>24</v>
      </c>
      <c r="E6" s="13"/>
      <c r="F6" s="14"/>
      <c r="G6" s="14"/>
      <c r="H6" s="14"/>
      <c r="I6" s="14"/>
      <c r="J6" s="13" t="str">
        <f t="shared" ca="1" si="0"/>
        <v>IN TIME</v>
      </c>
      <c r="K6" s="13" t="str">
        <f t="shared" si="1"/>
        <v/>
      </c>
      <c r="L6" s="13">
        <f t="shared" ca="1" si="2"/>
        <v>0</v>
      </c>
      <c r="M6" s="13">
        <f t="shared" ca="1" si="3"/>
        <v>1</v>
      </c>
      <c r="N6" s="13">
        <f t="shared" ca="1" si="4"/>
        <v>0</v>
      </c>
      <c r="O6" s="13" t="str">
        <f t="shared" si="5"/>
        <v/>
      </c>
      <c r="P6" s="20"/>
      <c r="Q6" s="178"/>
      <c r="R6" s="179"/>
      <c r="S6" s="179"/>
      <c r="T6" s="179"/>
      <c r="U6" s="179"/>
      <c r="V6" s="179"/>
      <c r="W6" s="179"/>
      <c r="X6" s="179"/>
      <c r="Y6" s="179"/>
      <c r="Z6" s="179"/>
      <c r="AA6" s="179"/>
      <c r="AB6" s="179"/>
      <c r="AC6" s="27"/>
      <c r="AD6" s="27"/>
    </row>
    <row r="7" spans="1:246" ht="24.6" customHeight="1" x14ac:dyDescent="0.15">
      <c r="A7" s="15">
        <v>246</v>
      </c>
      <c r="B7" s="11"/>
      <c r="C7" s="16"/>
      <c r="D7" s="13"/>
      <c r="E7" s="13"/>
      <c r="F7" s="14"/>
      <c r="G7" s="14"/>
      <c r="H7" s="14"/>
      <c r="I7" s="14"/>
      <c r="J7" s="13"/>
      <c r="K7" s="13"/>
      <c r="L7" s="13"/>
      <c r="M7" s="13"/>
      <c r="N7" s="13"/>
      <c r="O7" s="13"/>
      <c r="P7" s="20"/>
      <c r="Q7" s="178"/>
      <c r="R7" s="179"/>
      <c r="S7" s="179"/>
      <c r="T7" s="179"/>
      <c r="U7" s="179"/>
      <c r="V7" s="179"/>
      <c r="W7" s="179"/>
      <c r="X7" s="179"/>
      <c r="Y7" s="179"/>
      <c r="Z7" s="179"/>
      <c r="AA7" s="179"/>
      <c r="AB7" s="179"/>
      <c r="AC7" s="27"/>
      <c r="AD7" s="27"/>
    </row>
    <row r="8" spans="1:246" ht="24.6" customHeight="1" x14ac:dyDescent="0.15">
      <c r="A8" s="15">
        <v>247</v>
      </c>
      <c r="B8" s="11"/>
      <c r="C8" s="16"/>
      <c r="D8" s="13"/>
      <c r="E8" s="13"/>
      <c r="F8" s="14"/>
      <c r="G8" s="14"/>
      <c r="H8" s="14"/>
      <c r="I8" s="14"/>
      <c r="J8" s="13"/>
      <c r="K8" s="13"/>
      <c r="L8" s="13"/>
      <c r="M8" s="13"/>
      <c r="N8" s="13"/>
      <c r="O8" s="13"/>
      <c r="P8" s="20"/>
      <c r="Q8" s="178"/>
      <c r="R8" s="179"/>
      <c r="S8" s="179"/>
      <c r="T8" s="179"/>
      <c r="U8" s="179"/>
      <c r="V8" s="179"/>
      <c r="W8" s="179"/>
      <c r="X8" s="179"/>
      <c r="Y8" s="179"/>
      <c r="Z8" s="179"/>
      <c r="AA8" s="179"/>
      <c r="AB8" s="179"/>
      <c r="AC8" s="27"/>
      <c r="AD8" s="27"/>
    </row>
    <row r="9" spans="1:246" ht="39" customHeight="1" x14ac:dyDescent="0.15">
      <c r="A9" s="15">
        <v>248</v>
      </c>
      <c r="B9" s="11"/>
      <c r="C9" s="12"/>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78"/>
      <c r="R9" s="179"/>
      <c r="S9" s="179"/>
      <c r="T9" s="179"/>
      <c r="U9" s="179"/>
      <c r="V9" s="179"/>
      <c r="W9" s="179"/>
      <c r="X9" s="179"/>
      <c r="Y9" s="179"/>
      <c r="Z9" s="179"/>
      <c r="AA9" s="179"/>
      <c r="AB9" s="179"/>
      <c r="AC9" s="27"/>
      <c r="AD9" s="27"/>
    </row>
    <row r="10" spans="1:246" ht="24.6" customHeight="1" x14ac:dyDescent="0.15">
      <c r="A10" s="15">
        <v>249</v>
      </c>
      <c r="B10" s="13"/>
      <c r="C10" s="12"/>
      <c r="D10" s="13"/>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78"/>
      <c r="R10" s="179"/>
      <c r="S10" s="179"/>
      <c r="T10" s="179"/>
      <c r="U10" s="179"/>
      <c r="V10" s="179"/>
      <c r="W10" s="179"/>
      <c r="X10" s="179"/>
      <c r="Y10" s="179"/>
      <c r="Z10" s="179"/>
      <c r="AA10" s="179"/>
      <c r="AB10" s="179"/>
      <c r="AC10" s="27"/>
      <c r="AD10" s="27"/>
    </row>
    <row r="11" spans="1:246" ht="24.6" customHeight="1" x14ac:dyDescent="0.15">
      <c r="A11" s="15"/>
      <c r="B11" s="11"/>
      <c r="C11" s="16"/>
      <c r="D11" s="13" t="s">
        <v>24</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78"/>
      <c r="R11" s="179"/>
      <c r="S11" s="179"/>
      <c r="T11" s="179"/>
      <c r="U11" s="179"/>
      <c r="V11" s="179"/>
      <c r="W11" s="179"/>
      <c r="X11" s="179"/>
      <c r="Y11" s="179"/>
      <c r="Z11" s="179"/>
      <c r="AA11" s="179"/>
      <c r="AB11" s="179"/>
      <c r="AC11" s="27"/>
      <c r="AD11" s="27"/>
    </row>
    <row r="12" spans="1:246" ht="24.6" customHeight="1" x14ac:dyDescent="0.15">
      <c r="A12" s="15">
        <v>251</v>
      </c>
      <c r="B12" s="11"/>
      <c r="C12" s="16"/>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80" priority="70" operator="equal">
      <formula>"OVERDUE"</formula>
    </cfRule>
    <cfRule type="cellIs" dxfId="79" priority="71" operator="equal">
      <formula>"DONE"</formula>
    </cfRule>
    <cfRule type="cellIs" dxfId="78" priority="72" operator="equal">
      <formula>"DONE"</formula>
    </cfRule>
  </conditionalFormatting>
  <conditionalFormatting sqref="J5">
    <cfRule type="cellIs" dxfId="77" priority="67" operator="equal">
      <formula>"OVERDUE"</formula>
    </cfRule>
    <cfRule type="cellIs" dxfId="76" priority="68" operator="equal">
      <formula>"DONE"</formula>
    </cfRule>
    <cfRule type="cellIs" dxfId="75" priority="69" operator="equal">
      <formula>"DONE"</formula>
    </cfRule>
  </conditionalFormatting>
  <conditionalFormatting sqref="J6">
    <cfRule type="cellIs" dxfId="74" priority="64" operator="equal">
      <formula>"OVERDUE"</formula>
    </cfRule>
    <cfRule type="cellIs" dxfId="73" priority="65" operator="equal">
      <formula>"DONE"</formula>
    </cfRule>
    <cfRule type="cellIs" dxfId="72" priority="66" operator="equal">
      <formula>"DONE"</formula>
    </cfRule>
  </conditionalFormatting>
  <conditionalFormatting sqref="J7">
    <cfRule type="cellIs" dxfId="71" priority="61" operator="equal">
      <formula>"OVERDUE"</formula>
    </cfRule>
    <cfRule type="cellIs" dxfId="70" priority="62" operator="equal">
      <formula>"DONE"</formula>
    </cfRule>
    <cfRule type="cellIs" dxfId="69" priority="63" operator="equal">
      <formula>"DONE"</formula>
    </cfRule>
  </conditionalFormatting>
  <conditionalFormatting sqref="J8">
    <cfRule type="cellIs" dxfId="68" priority="58" operator="equal">
      <formula>"OVERDUE"</formula>
    </cfRule>
    <cfRule type="cellIs" dxfId="67" priority="59" operator="equal">
      <formula>"DONE"</formula>
    </cfRule>
    <cfRule type="cellIs" dxfId="66" priority="60" operator="equal">
      <formula>"DONE"</formula>
    </cfRule>
  </conditionalFormatting>
  <conditionalFormatting sqref="J9">
    <cfRule type="cellIs" dxfId="65" priority="55" operator="equal">
      <formula>"OVERDUE"</formula>
    </cfRule>
    <cfRule type="cellIs" dxfId="64" priority="56" operator="equal">
      <formula>"DONE"</formula>
    </cfRule>
    <cfRule type="cellIs" dxfId="63" priority="57" operator="equal">
      <formula>"DONE"</formula>
    </cfRule>
  </conditionalFormatting>
  <conditionalFormatting sqref="J10">
    <cfRule type="cellIs" dxfId="62" priority="52" operator="equal">
      <formula>"OVERDUE"</formula>
    </cfRule>
    <cfRule type="cellIs" dxfId="61" priority="53" operator="equal">
      <formula>"DONE"</formula>
    </cfRule>
    <cfRule type="cellIs" dxfId="60" priority="54" operator="equal">
      <formula>"DONE"</formula>
    </cfRule>
  </conditionalFormatting>
  <conditionalFormatting sqref="J11">
    <cfRule type="cellIs" dxfId="59" priority="49" operator="equal">
      <formula>"OVERDUE"</formula>
    </cfRule>
    <cfRule type="cellIs" dxfId="58" priority="50" operator="equal">
      <formula>"DONE"</formula>
    </cfRule>
    <cfRule type="cellIs" dxfId="57" priority="51" operator="equal">
      <formula>"DONE"</formula>
    </cfRule>
  </conditionalFormatting>
  <conditionalFormatting sqref="J12">
    <cfRule type="cellIs" dxfId="56" priority="46" operator="equal">
      <formula>"OVERDUE"</formula>
    </cfRule>
    <cfRule type="cellIs" dxfId="55" priority="47" operator="equal">
      <formula>"DONE"</formula>
    </cfRule>
    <cfRule type="cellIs" dxfId="54" priority="48" operator="equal">
      <formula>"DONE"</formula>
    </cfRule>
  </conditionalFormatting>
  <conditionalFormatting sqref="J13">
    <cfRule type="cellIs" dxfId="53" priority="43" operator="equal">
      <formula>"OVERDUE"</formula>
    </cfRule>
    <cfRule type="cellIs" dxfId="52" priority="44" operator="equal">
      <formula>"DONE"</formula>
    </cfRule>
    <cfRule type="cellIs" dxfId="51" priority="45" operator="equal">
      <formula>"DONE"</formula>
    </cfRule>
  </conditionalFormatting>
  <conditionalFormatting sqref="J14">
    <cfRule type="cellIs" dxfId="50" priority="40" operator="equal">
      <formula>"OVERDUE"</formula>
    </cfRule>
    <cfRule type="cellIs" dxfId="49" priority="41" operator="equal">
      <formula>"DONE"</formula>
    </cfRule>
    <cfRule type="cellIs" dxfId="48" priority="42" operator="equal">
      <formula>"DONE"</formula>
    </cfRule>
  </conditionalFormatting>
  <conditionalFormatting sqref="J15">
    <cfRule type="cellIs" dxfId="47" priority="37" operator="equal">
      <formula>"OVERDUE"</formula>
    </cfRule>
    <cfRule type="cellIs" dxfId="46" priority="38" operator="equal">
      <formula>"DONE"</formula>
    </cfRule>
    <cfRule type="cellIs" dxfId="45" priority="39" operator="equal">
      <formula>"DONE"</formula>
    </cfRule>
  </conditionalFormatting>
  <conditionalFormatting sqref="J16">
    <cfRule type="cellIs" dxfId="44" priority="34" operator="equal">
      <formula>"OVERDUE"</formula>
    </cfRule>
    <cfRule type="cellIs" dxfId="43" priority="35" operator="equal">
      <formula>"DONE"</formula>
    </cfRule>
    <cfRule type="cellIs" dxfId="42" priority="36" operator="equal">
      <formula>"DONE"</formula>
    </cfRule>
  </conditionalFormatting>
  <conditionalFormatting sqref="J17">
    <cfRule type="cellIs" dxfId="41" priority="31" operator="equal">
      <formula>"OVERDUE"</formula>
    </cfRule>
    <cfRule type="cellIs" dxfId="40" priority="32" operator="equal">
      <formula>"DONE"</formula>
    </cfRule>
    <cfRule type="cellIs" dxfId="39" priority="33" operator="equal">
      <formula>"DONE"</formula>
    </cfRule>
  </conditionalFormatting>
  <conditionalFormatting sqref="J18">
    <cfRule type="cellIs" dxfId="38" priority="28" operator="equal">
      <formula>"OVERDUE"</formula>
    </cfRule>
    <cfRule type="cellIs" dxfId="37" priority="29" operator="equal">
      <formula>"DONE"</formula>
    </cfRule>
    <cfRule type="cellIs" dxfId="36" priority="30" operator="equal">
      <formula>"DONE"</formula>
    </cfRule>
  </conditionalFormatting>
  <conditionalFormatting sqref="J19">
    <cfRule type="cellIs" dxfId="35" priority="25" operator="equal">
      <formula>"OVERDUE"</formula>
    </cfRule>
    <cfRule type="cellIs" dxfId="34" priority="26" operator="equal">
      <formula>"DONE"</formula>
    </cfRule>
    <cfRule type="cellIs" dxfId="33" priority="27" operator="equal">
      <formula>"DONE"</formula>
    </cfRule>
  </conditionalFormatting>
  <conditionalFormatting sqref="J20">
    <cfRule type="cellIs" dxfId="32" priority="22" operator="equal">
      <formula>"OVERDUE"</formula>
    </cfRule>
    <cfRule type="cellIs" dxfId="31" priority="23" operator="equal">
      <formula>"DONE"</formula>
    </cfRule>
    <cfRule type="cellIs" dxfId="30" priority="24" operator="equal">
      <formula>"DONE"</formula>
    </cfRule>
  </conditionalFormatting>
  <conditionalFormatting sqref="J21">
    <cfRule type="cellIs" dxfId="29" priority="19" operator="equal">
      <formula>"OVERDUE"</formula>
    </cfRule>
    <cfRule type="cellIs" dxfId="28" priority="20" operator="equal">
      <formula>"DONE"</formula>
    </cfRule>
    <cfRule type="cellIs" dxfId="27" priority="21" operator="equal">
      <formula>"DONE"</formula>
    </cfRule>
  </conditionalFormatting>
  <conditionalFormatting sqref="J22">
    <cfRule type="cellIs" dxfId="26" priority="16" operator="equal">
      <formula>"OVERDUE"</formula>
    </cfRule>
    <cfRule type="cellIs" dxfId="25" priority="17" operator="equal">
      <formula>"DONE"</formula>
    </cfRule>
    <cfRule type="cellIs" dxfId="24" priority="18" operator="equal">
      <formula>"DONE"</formula>
    </cfRule>
  </conditionalFormatting>
  <conditionalFormatting sqref="J23">
    <cfRule type="cellIs" dxfId="23" priority="13" operator="equal">
      <formula>"OVERDUE"</formula>
    </cfRule>
    <cfRule type="cellIs" dxfId="22" priority="14" operator="equal">
      <formula>"DONE"</formula>
    </cfRule>
    <cfRule type="cellIs" dxfId="21" priority="15" operator="equal">
      <formula>"DONE"</formula>
    </cfRule>
  </conditionalFormatting>
  <conditionalFormatting sqref="J24">
    <cfRule type="cellIs" dxfId="20" priority="10" operator="equal">
      <formula>"OVERDUE"</formula>
    </cfRule>
    <cfRule type="cellIs" dxfId="19" priority="11" operator="equal">
      <formula>"DONE"</formula>
    </cfRule>
    <cfRule type="cellIs" dxfId="18" priority="12" operator="equal">
      <formula>"DONE"</formula>
    </cfRule>
  </conditionalFormatting>
  <conditionalFormatting sqref="J25">
    <cfRule type="cellIs" dxfId="17" priority="7" operator="equal">
      <formula>"OVERDUE"</formula>
    </cfRule>
    <cfRule type="cellIs" dxfId="16" priority="8" operator="equal">
      <formula>"DONE"</formula>
    </cfRule>
    <cfRule type="cellIs" dxfId="15" priority="9" operator="equal">
      <formula>"DONE"</formula>
    </cfRule>
  </conditionalFormatting>
  <conditionalFormatting sqref="J26">
    <cfRule type="cellIs" dxfId="14" priority="4" operator="equal">
      <formula>"OVERDUE"</formula>
    </cfRule>
    <cfRule type="cellIs" dxfId="13" priority="5" operator="equal">
      <formula>"DONE"</formula>
    </cfRule>
    <cfRule type="cellIs" dxfId="12" priority="6" operator="equal">
      <formula>"DONE"</formula>
    </cfRule>
  </conditionalFormatting>
  <conditionalFormatting sqref="J27">
    <cfRule type="cellIs" dxfId="11" priority="1" operator="equal">
      <formula>"OVERDUE"</formula>
    </cfRule>
    <cfRule type="cellIs" dxfId="10" priority="2" operator="equal">
      <formula>"DONE"</formula>
    </cfRule>
    <cfRule type="cellIs" dxfId="9" priority="3" operator="equal">
      <formula>"DONE"</formula>
    </cfRule>
  </conditionalFormatting>
  <conditionalFormatting sqref="J2:J3 J28:J1048576">
    <cfRule type="cellIs" dxfId="8" priority="82" operator="equal">
      <formula>"OVERDUE"</formula>
    </cfRule>
    <cfRule type="cellIs" dxfId="7" priority="83" operator="equal">
      <formula>"DONE"</formula>
    </cfRule>
    <cfRule type="cellIs" dxfId="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21</vt:i4>
      </vt:variant>
    </vt:vector>
  </HeadingPairs>
  <TitlesOfParts>
    <vt:vector size="30" baseType="lpstr">
      <vt:lpstr>newbrush SDK总任务表</vt:lpstr>
      <vt:lpstr>项目时间表</vt:lpstr>
      <vt:lpstr>newbrush studio总任务表</vt:lpstr>
      <vt:lpstr>framework</vt:lpstr>
      <vt:lpstr>opengl</vt:lpstr>
      <vt:lpstr>other</vt:lpstr>
      <vt:lpstr>newbrush SDK详细任务跟进</vt:lpstr>
      <vt:lpstr>newbrush studio详细任务跟进</vt:lpstr>
      <vt:lpstr>倒车轨迹线线OpenGL方案</vt:lpstr>
      <vt:lpstr>'newbrush studio总任务表'!Display_Week</vt:lpstr>
      <vt:lpstr>Display_Week</vt:lpstr>
      <vt:lpstr>'newbrush SDK详细任务跟进'!EOI</vt:lpstr>
      <vt:lpstr>'newbrush studio详细任务跟进'!EOI</vt:lpstr>
      <vt:lpstr>opengl!EOI</vt:lpstr>
      <vt:lpstr>other!EOI</vt:lpstr>
      <vt:lpstr>倒车轨迹线线OpenGL方案!EOI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2020-09-14T01:39:37Z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