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drawings/drawing7.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1" activeTab="4"/>
  </bookViews>
  <sheets>
    <sheet name="会议签到表" sheetId="6" r:id="rId1"/>
    <sheet name="framework" sheetId="5" r:id="rId2"/>
    <sheet name="opengl" sheetId="7" r:id="rId3"/>
    <sheet name="other" sheetId="9" r:id="rId4"/>
    <sheet name="newbrush SDK详细任务跟进" sheetId="8" r:id="rId5"/>
    <sheet name="newbrush SDK总任务表" sheetId="10" r:id="rId6"/>
    <sheet name="newbrush studio详细任务跟进" sheetId="12" r:id="rId7"/>
    <sheet name="里程碑" sheetId="13" r:id="rId8"/>
    <sheet name="路线图" sheetId="14" r:id="rId9"/>
  </sheets>
  <externalReferences>
    <externalReference r:id="rId10"/>
  </externalReferences>
  <definedNames>
    <definedName name="_xlnm._FilterDatabase" localSheetId="1" hidden="1">framework!$A$3:$P$18</definedName>
    <definedName name="_xlnm._FilterDatabase" localSheetId="4" hidden="1">'newbrush SDK详细任务跟进'!$A$3:$P$30</definedName>
    <definedName name="_xlnm._FilterDatabase" localSheetId="6" hidden="1">'newbrush studio详细任务跟进'!$A$3:$P$30</definedName>
    <definedName name="_xlnm._FilterDatabase" localSheetId="2" hidden="1">opengl!$A$3:$P$14</definedName>
    <definedName name="_xlnm._FilterDatabase" localSheetId="3" hidden="1">other!$A$3:$P$15</definedName>
    <definedName name="ActualBeyond" localSheetId="6">'newbrush studio详细任务跟进'!PeriodInActual*(#REF!&gt;0)</definedName>
    <definedName name="ActualBeyond">PeriodInActual*(#REF!&gt;0)</definedName>
    <definedName name="Display_Week">'newbrush SDK总任务表'!$E$4</definedName>
    <definedName name="EOI" localSheetId="4">'newbrush SDK详细任务跟进'!$A$31</definedName>
    <definedName name="EOI" localSheetId="6">'newbrush studio详细任务跟进'!$A$31</definedName>
    <definedName name="EOI" localSheetId="2">opengl!$A$15</definedName>
    <definedName name="EOI" localSheetId="3">other!$A$16</definedName>
    <definedName name="EOI">framework!$A$19</definedName>
    <definedName name="EOS" localSheetId="5">#REF!</definedName>
    <definedName name="EOS" localSheetId="6">#REF!</definedName>
    <definedName name="EOS">#REF!</definedName>
    <definedName name="EOT" localSheetId="5">#REF!</definedName>
    <definedName name="EOT" localSheetId="6">#REF!</definedName>
    <definedName name="EOT">#REF!</definedName>
    <definedName name="PercentComplete" localSheetId="6">'newbrush studio详细任务跟进'!PercentCompleteBeyond*'newbrush studio详细任务跟进'!PeriodInPlan</definedName>
    <definedName name="PercentComplete">PercentCompleteBeyond*PeriodInPlan</definedName>
    <definedName name="PercentCompleteBeyond" localSheetId="6">(#REF!=MEDIAN(#REF!,#REF!,#REF!+#REF!)*(#REF!&gt;0))*((#REF!&lt;(INT(#REF!+#REF!*#REF!)))+(#REF!=#REF!))*(#REF!&gt;0)</definedName>
    <definedName name="PercentCompleteBeyond">(#REF!=MEDIAN(#REF!,#REF!,#REF!+#REF!)*(#REF!&gt;0))*((#REF!&lt;(INT(#REF!+#REF!*#REF!)))+(#REF!=#REF!))*(#REF!&gt;0)</definedName>
    <definedName name="period_selected" localSheetId="6">#REF!</definedName>
    <definedName name="period_selected">#REF!</definedName>
    <definedName name="PeriodInActual" localSheetId="6">#REF!=MEDIAN(#REF!,#REF!,#REF!+#REF!-1)</definedName>
    <definedName name="PeriodInActual">#REF!=MEDIAN(#REF!,#REF!,#REF!+#REF!-1)</definedName>
    <definedName name="PeriodInPlan" localSheetId="6">#REF!=MEDIAN(#REF!,#REF!,#REF!+#REF!-1)</definedName>
    <definedName name="PeriodInPlan">#REF!=MEDIAN(#REF!,#REF!,#REF!+#REF!-1)</definedName>
    <definedName name="_xlnm.Print_Titles" localSheetId="5">'newbrush SDK总任务表'!$4:$6</definedName>
    <definedName name="_xlnm.Print_Titles" localSheetId="7">里程碑!$2:$2</definedName>
    <definedName name="Project_Start">'newbrush SDK总任务表'!$E$3</definedName>
    <definedName name="task_end" localSheetId="5">'newbrush SDK总任务表'!$F1</definedName>
    <definedName name="task_progress" localSheetId="5">'newbrush SDK总任务表'!$D1</definedName>
    <definedName name="task_start" localSheetId="5">'newbrush SDK总任务表'!$E1</definedName>
    <definedName name="TitleRegion..BO60" localSheetId="6">#REF!</definedName>
    <definedName name="TitleRegion..BO60">#REF!</definedName>
    <definedName name="计划" localSheetId="6">'newbrush studio详细任务跟进'!PeriodInPlan*(#REF!&gt;0)</definedName>
    <definedName name="计划">PeriodInPlan*(#REF!&gt;0)</definedName>
    <definedName name="今天" localSheetId="5">TODAY()</definedName>
    <definedName name="实际值" localSheetId="6">('newbrush studio详细任务跟进'!PeriodInActual*(#REF!&gt;0))*'newbrush studio详细任务跟进'!PeriodInPlan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B3" i="14" l="1"/>
  <c r="C3" i="14"/>
  <c r="D3" i="14"/>
  <c r="B3" i="13"/>
  <c r="B4" i="13"/>
  <c r="D4" i="13"/>
  <c r="B5" i="13"/>
  <c r="D5" i="13"/>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B6" i="13"/>
  <c r="B7" i="13"/>
  <c r="B8" i="13"/>
  <c r="B9" i="13"/>
  <c r="B10" i="13"/>
  <c r="B11" i="13"/>
  <c r="B12" i="13"/>
  <c r="B13" i="13"/>
  <c r="B14" i="13"/>
  <c r="B15" i="13"/>
  <c r="B16" i="13"/>
  <c r="B17" i="13"/>
  <c r="B18" i="13"/>
  <c r="B19" i="13"/>
  <c r="B20" i="13"/>
  <c r="B21" i="13"/>
  <c r="B22" i="13"/>
  <c r="B23" i="13"/>
  <c r="B24" i="13"/>
  <c r="B25" i="13"/>
  <c r="B26" i="13"/>
  <c r="O30" i="12" l="1"/>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1" i="10"/>
  <c r="H122" i="10"/>
  <c r="H123" i="10"/>
  <c r="H124"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F120" i="10"/>
  <c r="F119" i="10"/>
  <c r="F118" i="10"/>
  <c r="F121" i="10"/>
  <c r="F122" i="10"/>
  <c r="F123" i="10"/>
  <c r="F128" i="10"/>
  <c r="O5" i="12" l="1"/>
  <c r="J5" i="12" s="1"/>
  <c r="O11" i="12"/>
  <c r="J11" i="12" s="1"/>
  <c r="J13" i="12"/>
  <c r="J17" i="12"/>
  <c r="J19" i="12"/>
  <c r="J21" i="12"/>
  <c r="J23" i="12"/>
  <c r="J25" i="12"/>
  <c r="J27" i="12"/>
  <c r="J29" i="12"/>
  <c r="O15" i="12"/>
  <c r="J15" i="12" s="1"/>
  <c r="J6" i="12"/>
  <c r="J8" i="12"/>
  <c r="J14" i="12"/>
  <c r="J16" i="12"/>
  <c r="J18" i="12"/>
  <c r="J20" i="12"/>
  <c r="J22" i="12"/>
  <c r="J24" i="12"/>
  <c r="J26" i="12"/>
  <c r="J28" i="12"/>
  <c r="J30" i="12"/>
  <c r="O7" i="12"/>
  <c r="J7" i="12" s="1"/>
  <c r="O9" i="12"/>
  <c r="J9" i="12" s="1"/>
  <c r="O4" i="12"/>
  <c r="J4" i="12" s="1"/>
  <c r="O6" i="12"/>
  <c r="O8" i="12"/>
  <c r="O10" i="12"/>
  <c r="J10" i="12" s="1"/>
  <c r="O12" i="12"/>
  <c r="J12" i="12" s="1"/>
  <c r="F117" i="10"/>
  <c r="H117" i="10"/>
  <c r="H118" i="10"/>
  <c r="F108" i="10"/>
  <c r="F107" i="10"/>
  <c r="F105" i="10"/>
  <c r="F104" i="10"/>
  <c r="F103" i="10"/>
  <c r="F102" i="10"/>
  <c r="F101" i="10"/>
  <c r="H101" i="10"/>
  <c r="H102" i="10"/>
  <c r="H105" i="10"/>
  <c r="F106" i="10"/>
  <c r="H106" i="10" s="1"/>
  <c r="F109" i="10"/>
  <c r="H109" i="10" s="1"/>
  <c r="F110" i="10"/>
  <c r="H110" i="10" s="1"/>
  <c r="F111" i="10"/>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c r="F18" i="10"/>
  <c r="H18" i="10" s="1"/>
  <c r="F19" i="10"/>
  <c r="H19" i="10"/>
  <c r="F20" i="10"/>
  <c r="H20" i="10" s="1"/>
  <c r="F21" i="10"/>
  <c r="H21" i="10"/>
  <c r="F22" i="10"/>
  <c r="H22" i="10" s="1"/>
  <c r="F23" i="10"/>
  <c r="H23" i="10"/>
  <c r="F24" i="10"/>
  <c r="H24" i="10" s="1"/>
  <c r="F25" i="10"/>
  <c r="H25" i="10"/>
  <c r="F26" i="10"/>
  <c r="H26" i="10" s="1"/>
  <c r="F28" i="10"/>
  <c r="H28" i="10" s="1"/>
  <c r="F29" i="10"/>
  <c r="H29" i="10"/>
  <c r="F30" i="10"/>
  <c r="H30" i="10" s="1"/>
  <c r="F31" i="10"/>
  <c r="H31" i="10"/>
  <c r="F32" i="10"/>
  <c r="H32" i="10" s="1"/>
  <c r="H33" i="10"/>
  <c r="H34" i="10"/>
  <c r="F35" i="10"/>
  <c r="H35" i="10" s="1"/>
  <c r="F36" i="10"/>
  <c r="H36" i="10"/>
  <c r="F37" i="10"/>
  <c r="H37" i="10" s="1"/>
  <c r="F38" i="10"/>
  <c r="H38" i="10"/>
  <c r="E39" i="10"/>
  <c r="F39" i="10" s="1"/>
  <c r="H39" i="10" s="1"/>
  <c r="F40" i="10"/>
  <c r="H40" i="10" s="1"/>
  <c r="F41" i="10"/>
  <c r="H41" i="10"/>
  <c r="F42" i="10"/>
  <c r="H42" i="10" s="1"/>
  <c r="F43" i="10"/>
  <c r="H43" i="10"/>
  <c r="F44" i="10"/>
  <c r="H44" i="10" s="1"/>
  <c r="F45" i="10"/>
  <c r="H45" i="10"/>
  <c r="F46" i="10"/>
  <c r="H46" i="10" s="1"/>
  <c r="F47" i="10"/>
  <c r="H47" i="10"/>
  <c r="F48" i="10"/>
  <c r="H48" i="10" s="1"/>
  <c r="F49" i="10"/>
  <c r="H49" i="10"/>
  <c r="F50" i="10"/>
  <c r="H50" i="10" s="1"/>
  <c r="F51" i="10"/>
  <c r="H51" i="10"/>
  <c r="F52" i="10"/>
  <c r="H52" i="10" s="1"/>
  <c r="F53" i="10"/>
  <c r="H53" i="10"/>
  <c r="F54" i="10"/>
  <c r="H54" i="10" s="1"/>
  <c r="F55" i="10"/>
  <c r="H55" i="10"/>
  <c r="F56" i="10"/>
  <c r="H56" i="10" s="1"/>
  <c r="F57" i="10"/>
  <c r="H57" i="10"/>
  <c r="F58" i="10"/>
  <c r="H58" i="10" s="1"/>
  <c r="F59" i="10"/>
  <c r="H59" i="10"/>
  <c r="F60" i="10"/>
  <c r="H60" i="10" s="1"/>
  <c r="F61" i="10"/>
  <c r="H61" i="10"/>
  <c r="F62" i="10"/>
  <c r="H62" i="10" s="1"/>
  <c r="F63" i="10"/>
  <c r="H63" i="10"/>
  <c r="F64" i="10"/>
  <c r="H64" i="10" s="1"/>
  <c r="F65" i="10"/>
  <c r="H65" i="10"/>
  <c r="F66" i="10"/>
  <c r="H66" i="10" s="1"/>
  <c r="F67" i="10"/>
  <c r="H67" i="10"/>
  <c r="F68" i="10"/>
  <c r="H68" i="10" s="1"/>
  <c r="F69" i="10"/>
  <c r="H69" i="10"/>
  <c r="F70" i="10"/>
  <c r="H70" i="10" s="1"/>
  <c r="F71" i="10"/>
  <c r="H71" i="10"/>
  <c r="F72" i="10"/>
  <c r="H72" i="10" s="1"/>
  <c r="F73" i="10"/>
  <c r="H73" i="10"/>
  <c r="F74" i="10"/>
  <c r="H74" i="10" s="1"/>
  <c r="F75" i="10"/>
  <c r="H75" i="10"/>
  <c r="F76" i="10"/>
  <c r="H76" i="10" s="1"/>
  <c r="F77" i="10"/>
  <c r="H77" i="10"/>
  <c r="F78" i="10"/>
  <c r="H78" i="10" s="1"/>
  <c r="H88" i="10"/>
  <c r="F89" i="10"/>
  <c r="E90" i="10" s="1"/>
  <c r="H89" i="10"/>
  <c r="F94" i="10"/>
  <c r="H94" i="10" s="1"/>
  <c r="F95" i="10"/>
  <c r="H95" i="10"/>
  <c r="F96" i="10"/>
  <c r="H96" i="10" s="1"/>
  <c r="F97" i="10"/>
  <c r="H97" i="10"/>
  <c r="F98" i="10"/>
  <c r="H98" i="10" s="1"/>
  <c r="F99" i="10"/>
  <c r="H99" i="10"/>
  <c r="F100" i="10"/>
  <c r="H100" i="10" s="1"/>
  <c r="H103" i="10"/>
  <c r="H104" i="10"/>
  <c r="H107" i="10"/>
  <c r="H108" i="10"/>
  <c r="H111" i="10"/>
  <c r="H112" i="10"/>
  <c r="H116" i="10"/>
  <c r="H119" i="10"/>
  <c r="H120" i="10"/>
  <c r="H185" i="10"/>
  <c r="H186" i="10"/>
  <c r="H187" i="10"/>
  <c r="O30" i="8"/>
  <c r="K30" i="8"/>
  <c r="O29" i="8"/>
  <c r="K29" i="8"/>
  <c r="O28" i="8"/>
  <c r="K28" i="8"/>
  <c r="O27" i="8"/>
  <c r="K27" i="8"/>
  <c r="O26" i="8"/>
  <c r="K26" i="8"/>
  <c r="O25" i="8"/>
  <c r="K25" i="8"/>
  <c r="O24" i="8"/>
  <c r="K24" i="8"/>
  <c r="K23" i="8"/>
  <c r="K22" i="8"/>
  <c r="K21" i="8"/>
  <c r="K20" i="8"/>
  <c r="K19" i="8"/>
  <c r="K18" i="8"/>
  <c r="K17" i="8"/>
  <c r="K16" i="8"/>
  <c r="K15" i="8"/>
  <c r="K14" i="8"/>
  <c r="O13" i="8"/>
  <c r="K13" i="8"/>
  <c r="K12" i="8"/>
  <c r="K11" i="8"/>
  <c r="K10" i="8"/>
  <c r="K9" i="8"/>
  <c r="K8" i="8"/>
  <c r="K7" i="8"/>
  <c r="K6" i="8"/>
  <c r="K5" i="8"/>
  <c r="K4" i="8"/>
  <c r="C2" i="8"/>
  <c r="O1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23" i="8" l="1"/>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N5" i="7"/>
  <c r="O9" i="7"/>
  <c r="J9" i="7" s="1"/>
  <c r="J12" i="7"/>
  <c r="M12" i="7" s="1"/>
  <c r="O8" i="9"/>
  <c r="M18" i="8"/>
  <c r="L12" i="9"/>
  <c r="N12" i="9"/>
  <c r="M12" i="9"/>
  <c r="M13" i="7"/>
  <c r="N13" i="7"/>
  <c r="O14" i="8"/>
  <c r="O12" i="8"/>
  <c r="J12" i="8" s="1"/>
  <c r="O10" i="8"/>
  <c r="O8" i="8"/>
  <c r="O6" i="8"/>
  <c r="O4" i="8"/>
  <c r="J4" i="8" s="1"/>
  <c r="J30" i="8"/>
  <c r="J28" i="8"/>
  <c r="J26" i="8"/>
  <c r="J24" i="8"/>
  <c r="J22" i="8"/>
  <c r="J14" i="8"/>
  <c r="J10" i="8"/>
  <c r="J6" i="8"/>
  <c r="J16" i="8"/>
  <c r="J29" i="8"/>
  <c r="J13" i="8"/>
  <c r="O9" i="8"/>
  <c r="J9" i="8"/>
  <c r="O5" i="8"/>
  <c r="J5" i="8" s="1"/>
  <c r="J8" i="8"/>
  <c r="J27" i="8"/>
  <c r="J25"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18" i="8" l="1"/>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F92" i="10" l="1"/>
  <c r="E93" i="10" s="1"/>
  <c r="L6" i="10"/>
  <c r="M5" i="10"/>
  <c r="N5" i="10" l="1"/>
  <c r="M6" i="10"/>
  <c r="F93" i="10"/>
  <c r="H93" i="10"/>
  <c r="H92" i="10"/>
  <c r="O5" i="10" l="1"/>
  <c r="N6" i="10"/>
  <c r="O6" i="10" l="1"/>
  <c r="P5" i="10"/>
  <c r="P6" i="10" l="1"/>
  <c r="Q5" i="10"/>
  <c r="R5" i="10" l="1"/>
  <c r="Q4" i="10"/>
  <c r="Q6" i="10"/>
  <c r="S5" i="10" l="1"/>
  <c r="R6" i="10"/>
  <c r="S6" i="10" l="1"/>
  <c r="T5" i="10"/>
  <c r="T6" i="10" l="1"/>
  <c r="U5" i="10"/>
  <c r="V5" i="10" l="1"/>
  <c r="U6" i="10"/>
  <c r="W5" i="10" l="1"/>
  <c r="V6" i="10"/>
  <c r="W6" i="10" l="1"/>
  <c r="X5" i="10"/>
  <c r="X4" i="10" l="1"/>
  <c r="X6" i="10"/>
  <c r="Y5" i="10"/>
  <c r="Z5" i="10" l="1"/>
  <c r="Y6" i="10"/>
  <c r="AA5" i="10" l="1"/>
  <c r="Z6" i="10"/>
  <c r="AA6" i="10" l="1"/>
  <c r="AB5" i="10"/>
  <c r="AB6" i="10" l="1"/>
  <c r="AC5" i="10"/>
  <c r="AD5" i="10" l="1"/>
  <c r="AC6" i="10"/>
  <c r="AE5" i="10" l="1"/>
  <c r="AD6" i="10"/>
  <c r="AE6" i="10" l="1"/>
  <c r="AF5" i="10"/>
  <c r="AE4" i="10"/>
  <c r="AF6" i="10" l="1"/>
  <c r="AG5" i="10"/>
  <c r="AH5" i="10" l="1"/>
  <c r="AG6" i="10"/>
  <c r="AI5" i="10" l="1"/>
  <c r="AH6" i="10"/>
  <c r="AI6" i="10" l="1"/>
  <c r="AJ5" i="10"/>
  <c r="AJ6" i="10" l="1"/>
  <c r="AK5" i="10"/>
  <c r="AL5" i="10" l="1"/>
  <c r="AK6" i="10"/>
  <c r="AL4" i="10" l="1"/>
  <c r="AM5" i="10"/>
  <c r="AL6" i="10"/>
  <c r="AM6" i="10" l="1"/>
  <c r="AN5" i="10"/>
  <c r="AN6" i="10" l="1"/>
  <c r="AO5" i="10"/>
  <c r="AP5" i="10" l="1"/>
  <c r="AO6" i="10"/>
  <c r="AQ5" i="10" l="1"/>
  <c r="AP6" i="10"/>
  <c r="AQ6" i="10" l="1"/>
  <c r="AR5" i="10"/>
  <c r="AR6" i="10" l="1"/>
  <c r="AS5" i="10"/>
  <c r="AT5" i="10" l="1"/>
  <c r="AS4" i="10"/>
  <c r="AS6" i="10"/>
  <c r="AU5" i="10" l="1"/>
  <c r="AT6" i="10"/>
  <c r="AU6" i="10" l="1"/>
  <c r="AV5" i="10"/>
  <c r="AV6" i="10" l="1"/>
  <c r="AW5" i="10"/>
  <c r="AX5" i="10" l="1"/>
  <c r="AW6" i="10"/>
  <c r="AY5" i="10" l="1"/>
  <c r="AX6" i="10"/>
  <c r="AY6" i="10" l="1"/>
  <c r="AZ5" i="10"/>
  <c r="AZ4" i="10" l="1"/>
  <c r="AZ6" i="10"/>
  <c r="BA5" i="10"/>
  <c r="BB5" i="10" l="1"/>
  <c r="BA6" i="10"/>
  <c r="BC5" i="10" l="1"/>
  <c r="BB6" i="10"/>
  <c r="BC6" i="10" l="1"/>
  <c r="BD5" i="10"/>
  <c r="BD6" i="10" l="1"/>
  <c r="BE5" i="10"/>
  <c r="BF5" i="10" l="1"/>
  <c r="BE6" i="10"/>
  <c r="BG5" i="10" l="1"/>
  <c r="BF6" i="10"/>
  <c r="BG6" i="10" l="1"/>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<sst xmlns="http://schemas.openxmlformats.org/spreadsheetml/2006/main" count="794" uniqueCount="442">
  <si>
    <r>
      <rPr>
        <b/>
        <sz val="16"/>
        <rFont val="宋体"/>
        <family val="3"/>
        <charset val="134"/>
      </rPr>
      <t xml:space="preserve">会议签到表
</t>
    </r>
    <r>
      <rPr>
        <b/>
        <sz val="16"/>
        <rFont val="Arial"/>
        <family val="2"/>
      </rPr>
      <t>Meeting Attendance List</t>
    </r>
  </si>
  <si>
    <r>
      <rPr>
        <b/>
        <sz val="11"/>
        <color theme="1"/>
        <rFont val="宋体"/>
        <family val="3"/>
        <charset val="134"/>
      </rPr>
      <t xml:space="preserve">会议主题
</t>
    </r>
    <r>
      <rPr>
        <b/>
        <sz val="11"/>
        <color theme="1"/>
        <rFont val="Arial"/>
        <family val="2"/>
      </rPr>
      <t>Meeting Title</t>
    </r>
  </si>
  <si>
    <r>
      <rPr>
        <b/>
        <sz val="11"/>
        <color theme="1"/>
        <rFont val="宋体"/>
        <family val="3"/>
        <charset val="134"/>
      </rPr>
      <t xml:space="preserve">召开会议部门
</t>
    </r>
    <r>
      <rPr>
        <b/>
        <sz val="11"/>
        <color theme="1"/>
        <rFont val="Arial"/>
        <family val="2"/>
      </rPr>
      <t>Conducting Department</t>
    </r>
  </si>
  <si>
    <r>
      <rPr>
        <b/>
        <sz val="11"/>
        <color theme="1"/>
        <rFont val="宋体"/>
        <family val="3"/>
        <charset val="134"/>
      </rPr>
      <t xml:space="preserve">日期
</t>
    </r>
    <r>
      <rPr>
        <b/>
        <sz val="11"/>
        <color theme="1"/>
        <rFont val="Arial"/>
        <family val="2"/>
      </rPr>
      <t>Date</t>
    </r>
  </si>
  <si>
    <r>
      <rPr>
        <b/>
        <sz val="11"/>
        <color theme="1"/>
        <rFont val="宋体"/>
        <family val="3"/>
        <charset val="134"/>
      </rPr>
      <t xml:space="preserve">会议室
</t>
    </r>
    <r>
      <rPr>
        <b/>
        <sz val="11"/>
        <color theme="1"/>
        <rFont val="Arial"/>
        <family val="2"/>
      </rPr>
      <t>Meeting Room</t>
    </r>
  </si>
  <si>
    <r>
      <rPr>
        <b/>
        <sz val="11"/>
        <color theme="1"/>
        <rFont val="宋体"/>
        <family val="3"/>
        <charset val="134"/>
      </rPr>
      <t xml:space="preserve">会议小时
</t>
    </r>
    <r>
      <rPr>
        <b/>
        <sz val="11"/>
        <color theme="1"/>
        <rFont val="Arial"/>
        <family val="2"/>
      </rPr>
      <t>Meeting Hours</t>
    </r>
  </si>
  <si>
    <r>
      <rPr>
        <b/>
        <sz val="11"/>
        <color theme="1"/>
        <rFont val="宋体"/>
        <family val="3"/>
        <charset val="134"/>
      </rPr>
      <t xml:space="preserve">主会人（签字）
</t>
    </r>
    <r>
      <rPr>
        <b/>
        <sz val="11"/>
        <color theme="1"/>
        <rFont val="Arial"/>
        <family val="2"/>
      </rPr>
      <t>Host Signature</t>
    </r>
  </si>
  <si>
    <r>
      <rPr>
        <b/>
        <sz val="11"/>
        <color theme="1"/>
        <rFont val="宋体"/>
        <family val="3"/>
        <charset val="134"/>
      </rPr>
      <t>参会人（</t>
    </r>
    <r>
      <rPr>
        <b/>
        <sz val="11"/>
        <color theme="1"/>
        <rFont val="Arial"/>
        <family val="2"/>
      </rPr>
      <t>Attendees</t>
    </r>
    <r>
      <rPr>
        <b/>
        <sz val="11"/>
        <color theme="1"/>
        <rFont val="宋体"/>
        <family val="3"/>
        <charset val="134"/>
      </rPr>
      <t>）：</t>
    </r>
  </si>
  <si>
    <r>
      <rPr>
        <b/>
        <sz val="11"/>
        <color theme="1"/>
        <rFont val="宋体"/>
        <family val="3"/>
        <charset val="134"/>
      </rPr>
      <t xml:space="preserve">部门
</t>
    </r>
    <r>
      <rPr>
        <b/>
        <sz val="11"/>
        <color theme="1"/>
        <rFont val="Arial"/>
        <family val="2"/>
      </rPr>
      <t>Department</t>
    </r>
  </si>
  <si>
    <r>
      <rPr>
        <b/>
        <sz val="11"/>
        <color theme="1"/>
        <rFont val="宋体"/>
        <family val="3"/>
        <charset val="134"/>
      </rPr>
      <t xml:space="preserve">姓名
</t>
    </r>
    <r>
      <rPr>
        <b/>
        <sz val="11"/>
        <color theme="1"/>
        <rFont val="Arial"/>
        <family val="2"/>
      </rPr>
      <t>Name</t>
    </r>
  </si>
  <si>
    <r>
      <rPr>
        <b/>
        <sz val="11"/>
        <color theme="1"/>
        <rFont val="宋体"/>
        <family val="3"/>
        <charset val="134"/>
      </rPr>
      <t xml:space="preserve">签名
</t>
    </r>
    <r>
      <rPr>
        <b/>
        <sz val="11"/>
        <color theme="1"/>
        <rFont val="Arial"/>
        <family val="2"/>
      </rPr>
      <t>Signature</t>
    </r>
  </si>
  <si>
    <r>
      <rPr>
        <b/>
        <sz val="11"/>
        <rFont val="宋体"/>
        <family val="3"/>
        <charset val="134"/>
      </rPr>
      <t>应到人数</t>
    </r>
    <r>
      <rPr>
        <b/>
        <sz val="11"/>
        <rFont val="Arial"/>
        <family val="2"/>
      </rPr>
      <t>(Qty Required)</t>
    </r>
    <r>
      <rPr>
        <b/>
        <sz val="11"/>
        <rFont val="宋体"/>
        <family val="3"/>
        <charset val="134"/>
      </rPr>
      <t>：</t>
    </r>
  </si>
  <si>
    <r>
      <rPr>
        <u/>
        <sz val="11"/>
        <rFont val="Arial"/>
        <family val="2"/>
      </rPr>
      <t xml:space="preserve">          </t>
    </r>
    <r>
      <rPr>
        <b/>
        <sz val="11"/>
        <rFont val="宋体"/>
        <family val="3"/>
        <charset val="134"/>
      </rPr>
      <t>人</t>
    </r>
  </si>
  <si>
    <r>
      <rPr>
        <b/>
        <sz val="11"/>
        <rFont val="宋体"/>
        <family val="3"/>
        <charset val="134"/>
      </rPr>
      <t>实到人数（</t>
    </r>
    <r>
      <rPr>
        <b/>
        <sz val="11"/>
        <rFont val="Arial"/>
        <family val="2"/>
      </rPr>
      <t>Qty Actual)</t>
    </r>
    <r>
      <rPr>
        <b/>
        <sz val="11"/>
        <rFont val="宋体"/>
        <family val="3"/>
        <charset val="134"/>
      </rPr>
      <t>：</t>
    </r>
  </si>
  <si>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</si>
  <si>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</si>
  <si>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</si>
  <si>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</si>
  <si>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</si>
  <si>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</si>
  <si>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</si>
  <si>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</si>
  <si>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</si>
  <si>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</si>
  <si>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</si>
  <si>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</si>
  <si>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</si>
  <si>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</si>
  <si>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</si>
  <si>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</si>
  <si>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</si>
  <si>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</si>
  <si>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</si>
  <si>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</si>
  <si>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</si>
  <si>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</si>
  <si>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</si>
  <si>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</si>
  <si>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</si>
  <si>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</si>
  <si>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</si>
  <si>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</si>
  <si>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</si>
  <si>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</si>
  <si>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</si>
  <si>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</si>
  <si>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</si>
  <si>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</si>
  <si>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</si>
  <si>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</si>
  <si>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</si>
  <si>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</si>
  <si>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</si>
  <si>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</si>
  <si>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</si>
  <si>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</si>
  <si>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</si>
  <si>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</si>
  <si>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</si>
  <si>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</si>
  <si>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</si>
  <si>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</si>
  <si>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</si>
  <si>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</si>
  <si>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</si>
  <si>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</si>
  <si>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</si>
  <si>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</si>
  <si>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</si>
  <si>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</si>
  <si>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</si>
  <si>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</si>
  <si>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</si>
  <si>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</si>
  <si>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</si>
  <si>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</si>
  <si>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</si>
  <si>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</si>
  <si>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</si>
  <si>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</si>
  <si>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</si>
  <si>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</si>
  <si>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</si>
  <si>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</si>
  <si>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</si>
  <si>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</si>
  <si>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</si>
  <si>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</si>
  <si>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</si>
  <si>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</si>
  <si>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</si>
  <si>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</si>
  <si>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</si>
  <si>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</si>
  <si>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</si>
  <si>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</si>
  <si>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</si>
  <si>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</si>
  <si>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</si>
  <si>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</si>
  <si>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</si>
  <si>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</si>
  <si>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</si>
  <si>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</si>
  <si>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</si>
  <si>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</si>
  <si>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</si>
  <si>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</si>
  <si>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</si>
  <si>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</si>
  <si>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</si>
  <si>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</si>
  <si>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</si>
  <si>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</si>
  <si>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</si>
  <si>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</si>
  <si>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</si>
  <si>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</si>
  <si>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</si>
  <si>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</si>
  <si>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</si>
  <si>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</si>
  <si>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</si>
  <si>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</si>
  <si>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</si>
  <si>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</si>
  <si>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</si>
  <si>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</si>
  <si>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</si>
  <si>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</si>
  <si>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</si>
  <si>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</si>
  <si>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</si>
  <si>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</si>
  <si>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</si>
  <si>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</si>
  <si>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40" type="noConversion"/>
  </si>
  <si>
    <t>状态机StateMachine</t>
    <phoneticPr fontId="40" type="noConversion"/>
  </si>
  <si>
    <t>触发器行为TriggerAction</t>
    <phoneticPr fontId="40" type="noConversion"/>
  </si>
  <si>
    <t>事件触发器EventTrigger</t>
    <phoneticPr fontId="40" type="noConversion"/>
  </si>
  <si>
    <t>多条件数据触发器MultiDataTrigger</t>
    <phoneticPr fontId="40" type="noConversion"/>
  </si>
  <si>
    <t>数据触发器DataTrigger</t>
    <phoneticPr fontId="40" type="noConversion"/>
  </si>
  <si>
    <t>多条件属性触发器MultiTrigger</t>
    <phoneticPr fontId="40" type="noConversion"/>
  </si>
  <si>
    <t>属性触发器Trigger</t>
    <phoneticPr fontId="40" type="noConversion"/>
  </si>
  <si>
    <t>触发器基类TriggerBase</t>
    <phoneticPr fontId="40" type="noConversion"/>
  </si>
  <si>
    <t>事件设置器EventSetter</t>
    <phoneticPr fontId="40" type="noConversion"/>
  </si>
  <si>
    <t>普通设置器Setter</t>
    <phoneticPr fontId="40" type="noConversion"/>
  </si>
  <si>
    <t>设置器基类SetterBase</t>
    <phoneticPr fontId="40" type="noConversion"/>
  </si>
  <si>
    <t>样式Style</t>
    <phoneticPr fontId="40" type="noConversion"/>
  </si>
  <si>
    <t>可视树助手VisualTreeHelper</t>
    <phoneticPr fontId="40" type="noConversion"/>
  </si>
  <si>
    <t>装饰类值边框Border</t>
    <phoneticPr fontId="40" type="noConversion"/>
  </si>
  <si>
    <t>装饰类Decorator基类</t>
    <phoneticPr fontId="40" type="noConversion"/>
  </si>
  <si>
    <t>形状UI元素之椭圆Ellipse</t>
    <phoneticPr fontId="40" type="noConversion"/>
  </si>
  <si>
    <t>形状UI元素之矩形Rectangle</t>
    <phoneticPr fontId="40" type="noConversion"/>
  </si>
  <si>
    <t>形状UI元素之路径Path</t>
    <phoneticPr fontId="40" type="noConversion"/>
  </si>
  <si>
    <t>形状UI元素之多边形Polygen</t>
    <phoneticPr fontId="40" type="noConversion"/>
  </si>
  <si>
    <t>形状UI元素之多段线Polyline</t>
    <phoneticPr fontId="40" type="noConversion"/>
  </si>
  <si>
    <t>形状UI元素之线Line</t>
    <phoneticPr fontId="40" type="noConversion"/>
  </si>
  <si>
    <t>形状类基类Shape</t>
    <phoneticPr fontId="40" type="noConversion"/>
  </si>
  <si>
    <t>富文本框控件RickTextBox</t>
    <phoneticPr fontId="40" type="noConversion"/>
  </si>
  <si>
    <t>文本框控件TextBox</t>
    <phoneticPr fontId="40" type="noConversion"/>
  </si>
  <si>
    <t>文本控件基类TextBoxBase</t>
    <phoneticPr fontId="40" type="noConversion"/>
  </si>
  <si>
    <t>范围控件之拖动条SlideBar</t>
    <phoneticPr fontId="40" type="noConversion"/>
  </si>
  <si>
    <t>范围控件之进度条ProgressBar</t>
    <phoneticPr fontId="40" type="noConversion"/>
  </si>
  <si>
    <t>范围控件之滚动条ScrollBar</t>
    <phoneticPr fontId="40" type="noConversion"/>
  </si>
  <si>
    <t>范围控件基类RangeBase</t>
    <phoneticPr fontId="40" type="noConversion"/>
  </si>
  <si>
    <t>多项控件之菜单Menu</t>
    <phoneticPr fontId="40" type="noConversion"/>
  </si>
  <si>
    <t>多项控件之状态栏StatusBar</t>
    <phoneticPr fontId="40" type="noConversion"/>
  </si>
  <si>
    <t>多项控件之树形视图TreeView</t>
    <phoneticPr fontId="40" type="noConversion"/>
  </si>
  <si>
    <t>多项控件之列表框ListBox</t>
    <phoneticPr fontId="40" type="noConversion"/>
  </si>
  <si>
    <t>多项控件之下拉框ComboBox</t>
    <phoneticPr fontId="40" type="noConversion"/>
  </si>
  <si>
    <t>多项控件基类ItemsControl</t>
    <phoneticPr fontId="40" type="noConversion"/>
  </si>
  <si>
    <t>标题内容控件之Tab项TabItem</t>
    <phoneticPr fontId="40" type="noConversion"/>
  </si>
  <si>
    <t>标题内容控件之拓展器Expander</t>
    <phoneticPr fontId="40" type="noConversion"/>
  </si>
  <si>
    <t>标题内容控件之分组框GroupBox</t>
    <phoneticPr fontId="40" type="noConversion"/>
  </si>
  <si>
    <t>内容控件之带标题控件HeaderedContentControl</t>
    <phoneticPr fontId="40" type="noConversion"/>
  </si>
  <si>
    <t>内容控件之列表框项ListBoxItem</t>
    <phoneticPr fontId="40" type="noConversion"/>
  </si>
  <si>
    <t>内容控件之下拉框项ComboBoxItem</t>
    <phoneticPr fontId="40" type="noConversion"/>
  </si>
  <si>
    <t>内容控件之提示栏ToolTip</t>
    <phoneticPr fontId="40" type="noConversion"/>
  </si>
  <si>
    <t>内容控件之内容滚动控件ScrollViewer</t>
    <phoneticPr fontId="40" type="noConversion"/>
  </si>
  <si>
    <t>内容控件之复选框CheckBox</t>
    <phoneticPr fontId="40" type="noConversion"/>
  </si>
  <si>
    <t>内容控件之单选框RadioBox</t>
    <phoneticPr fontId="40" type="noConversion"/>
  </si>
  <si>
    <t>内容控件之开关按钮ToggleButton</t>
    <phoneticPr fontId="40" type="noConversion"/>
  </si>
  <si>
    <t>内容控件之重复按钮RepeatButton</t>
    <phoneticPr fontId="40" type="noConversion"/>
  </si>
  <si>
    <t>内容控件之普通按钮Button</t>
    <phoneticPr fontId="40" type="noConversion"/>
  </si>
  <si>
    <t>内容控件之按钮基类ButtonBase</t>
    <phoneticPr fontId="40" type="noConversion"/>
  </si>
  <si>
    <t>内容控件之标签控件Label</t>
    <phoneticPr fontId="40" type="noConversion"/>
  </si>
  <si>
    <t>内容控件基类ContentControl</t>
    <phoneticPr fontId="40" type="noConversion"/>
  </si>
  <si>
    <t>控件基类Control</t>
    <phoneticPr fontId="40" type="noConversion"/>
  </si>
  <si>
    <t>容器之均匀网格UniformGrid</t>
    <phoneticPr fontId="40" type="noConversion"/>
  </si>
  <si>
    <t>容器之网格Grid</t>
    <phoneticPr fontId="40" type="noConversion"/>
  </si>
  <si>
    <t>容器之栈容器StackPanel</t>
    <phoneticPr fontId="40" type="noConversion"/>
  </si>
  <si>
    <t>容器之自动换行/列容器WrapPanel</t>
    <phoneticPr fontId="40" type="noConversion"/>
  </si>
  <si>
    <t>容器之停靠容器DockPanel</t>
    <phoneticPr fontId="40" type="noConversion"/>
  </si>
  <si>
    <t>容器之画板Cavas</t>
    <phoneticPr fontId="40" type="noConversion"/>
  </si>
  <si>
    <t>容器类型基类Panel</t>
    <phoneticPr fontId="40" type="noConversion"/>
  </si>
  <si>
    <t>潘荣涛</t>
    <phoneticPr fontId="40" type="noConversion"/>
  </si>
  <si>
    <t>UI元素基类UIElement</t>
    <phoneticPr fontId="40" type="noConversion"/>
  </si>
  <si>
    <t>窗口Window</t>
    <phoneticPr fontId="40" type="noConversion"/>
  </si>
  <si>
    <t>应用程序Application</t>
    <phoneticPr fontId="40" type="noConversion"/>
  </si>
  <si>
    <t>GUI高级用户接口</t>
    <phoneticPr fontId="40" type="noConversion"/>
  </si>
  <si>
    <t>示例阶段标题块</t>
  </si>
  <si>
    <t>粒子系统之粒子系统管理ParticleSystem</t>
    <phoneticPr fontId="40" type="noConversion"/>
  </si>
  <si>
    <t>粒子系统之粒子效果器Affector</t>
    <phoneticPr fontId="40" type="noConversion"/>
  </si>
  <si>
    <t>粒子系统之粒子发射器Emitter</t>
    <phoneticPr fontId="40" type="noConversion"/>
  </si>
  <si>
    <t>粒子系统之粒子Particle</t>
    <phoneticPr fontId="40" type="noConversion"/>
  </si>
  <si>
    <t>VAO顶点数组缓存技术VAO</t>
    <phoneticPr fontId="40" type="noConversion"/>
  </si>
  <si>
    <t>VBO顶点缓存VBO</t>
    <phoneticPr fontId="40" type="noConversion"/>
  </si>
  <si>
    <t>字形工厂（字形缓存）GlyphFactory</t>
    <phoneticPr fontId="40" type="noConversion"/>
  </si>
  <si>
    <t>材质Material</t>
    <phoneticPr fontId="40" type="noConversion"/>
  </si>
  <si>
    <t>研究第三方库Clipper用作不规则形状的顶点获取</t>
    <phoneticPr fontId="40" type="noConversion"/>
  </si>
  <si>
    <t>多级纹理TextureMipmap</t>
    <phoneticPr fontId="40" type="noConversion"/>
  </si>
  <si>
    <t>立方体纹理TextureCubmap</t>
    <phoneticPr fontId="40" type="noConversion"/>
  </si>
  <si>
    <t>2D纹理Texture2D</t>
    <phoneticPr fontId="40" type="noConversion"/>
  </si>
  <si>
    <t>纹理基类Texture</t>
    <phoneticPr fontId="40" type="noConversion"/>
  </si>
  <si>
    <t>苏志飞</t>
    <phoneticPr fontId="40" type="noConversion"/>
  </si>
  <si>
    <t>渲染物：从外部模型加载（依赖于assimp）</t>
    <phoneticPr fontId="40" type="noConversion"/>
  </si>
  <si>
    <t>渲染物RenderObject</t>
    <phoneticPr fontId="40" type="noConversion"/>
  </si>
  <si>
    <t>投射Projection</t>
    <phoneticPr fontId="40" type="noConversion"/>
  </si>
  <si>
    <t>摄像头Camera</t>
    <phoneticPr fontId="40" type="noConversion"/>
  </si>
  <si>
    <t>未有实际应用</t>
    <phoneticPr fontId="40" type="noConversion"/>
  </si>
  <si>
    <t>GLSL程序实体之立方体程序</t>
    <phoneticPr fontId="40" type="noConversion"/>
  </si>
  <si>
    <t>多光源未做考虑</t>
    <phoneticPr fontId="40" type="noConversion"/>
  </si>
  <si>
    <t>GLSL程序实体之光照程序</t>
    <phoneticPr fontId="40" type="noConversion"/>
  </si>
  <si>
    <t>GLSL程序实体之图片程序</t>
    <phoneticPr fontId="40" type="noConversion"/>
  </si>
  <si>
    <t>GLSL程序实体之渐变程序</t>
    <phoneticPr fontId="40" type="noConversion"/>
  </si>
  <si>
    <t>GLSL程序实体之图元程序</t>
    <phoneticPr fontId="40" type="noConversion"/>
  </si>
  <si>
    <t>GLSL程序Program</t>
    <phoneticPr fontId="40" type="noConversion"/>
  </si>
  <si>
    <t>片段着色器FragmentShader</t>
    <phoneticPr fontId="40" type="noConversion"/>
  </si>
  <si>
    <t>顶点着色器VertexShader</t>
    <phoneticPr fontId="40" type="noConversion"/>
  </si>
  <si>
    <t>着色器基类Shader</t>
    <phoneticPr fontId="40" type="noConversion"/>
  </si>
  <si>
    <t>Opengl 渲染实现</t>
    <phoneticPr fontId="40" type="noConversion"/>
  </si>
  <si>
    <t>矩阵组TransformGroup</t>
    <phoneticPr fontId="40" type="noConversion"/>
  </si>
  <si>
    <t>旋转矩阵RotateTransform</t>
    <phoneticPr fontId="40" type="noConversion"/>
  </si>
  <si>
    <t>伸缩矩阵ScaleTransform</t>
    <phoneticPr fontId="40" type="noConversion"/>
  </si>
  <si>
    <t>平移矩阵TranslateTransform</t>
    <phoneticPr fontId="40" type="noConversion"/>
  </si>
  <si>
    <t>矩阵Transform</t>
    <phoneticPr fontId="40" type="noConversion"/>
  </si>
  <si>
    <t>字体相关信息目前应用较少，
仅研究了可生产Bitmap的基础api</t>
    <phoneticPr fontId="40" type="noConversion"/>
  </si>
  <si>
    <t>字形信息GlyphMetrics</t>
    <phoneticPr fontId="40" type="noConversion"/>
  </si>
  <si>
    <t>潘荣涛</t>
    <phoneticPr fontId="40" type="noConversion"/>
  </si>
  <si>
    <t>字体（依赖于FreeType）</t>
    <phoneticPr fontId="40" type="noConversion"/>
  </si>
  <si>
    <t>故事板动画Storyboard</t>
  </si>
  <si>
    <t>点路径动画-PointAnimationUsingPath</t>
    <phoneticPr fontId="40" type="noConversion"/>
  </si>
  <si>
    <t>矩阵路径动画-MatrixAnimationUsingPath</t>
    <phoneticPr fontId="40" type="noConversion"/>
  </si>
  <si>
    <t>浮点路径动画-DoubleAnimationUsingPath</t>
    <phoneticPr fontId="40" type="noConversion"/>
  </si>
  <si>
    <t>浮点路径动画-FloatAnimationUsingPath</t>
    <phoneticPr fontId="40" type="noConversion"/>
  </si>
  <si>
    <t>字符串关键帧动画-StringAnimationUsingKeyFrames</t>
    <phoneticPr fontId="40" type="noConversion"/>
  </si>
  <si>
    <t>颜色关键帧动画-ColorAnimationUsingKeyFrames</t>
    <phoneticPr fontId="40" type="noConversion"/>
  </si>
  <si>
    <t>厚度关键帧动画-ThicknessAnimationUsingKeyFrames</t>
    <phoneticPr fontId="40" type="noConversion"/>
  </si>
  <si>
    <t>矩形关键帧动画-RectAnimationUsingKeyFrames</t>
    <phoneticPr fontId="40" type="noConversion"/>
  </si>
  <si>
    <t>尺寸关键帧动画-SizeAnimationUsingKeyFrames</t>
    <phoneticPr fontId="40" type="noConversion"/>
  </si>
  <si>
    <t>点关键帧动画-PointAnimationUsingKeyFrames</t>
    <phoneticPr fontId="40" type="noConversion"/>
  </si>
  <si>
    <t>浮点关键帧动画-DoubleAnimationUsingKeyFrames</t>
    <phoneticPr fontId="40" type="noConversion"/>
  </si>
  <si>
    <t>浮点关键帧动画-FloatAnimationUsingKeyFrames</t>
    <phoneticPr fontId="40" type="noConversion"/>
  </si>
  <si>
    <t>整型关键帧动画-Int64AnimationUsingKeyFrames</t>
    <phoneticPr fontId="40" type="noConversion"/>
  </si>
  <si>
    <t>整型关键帧动画-Int32AnimationUsingKeyFrames</t>
    <phoneticPr fontId="40" type="noConversion"/>
  </si>
  <si>
    <t>整型关键帧动画-Int16AnimationUsingKeyFrames</t>
    <phoneticPr fontId="40" type="noConversion"/>
  </si>
  <si>
    <t>整型关键帧动画-Int8AnimationUsingKeyFrames</t>
    <phoneticPr fontId="40" type="noConversion"/>
  </si>
  <si>
    <t>布尔关键帧动画-BoolAnimationUsingKeyFrames</t>
    <phoneticPr fontId="40" type="noConversion"/>
  </si>
  <si>
    <t>关键帧动画KeyFrame</t>
    <phoneticPr fontId="40" type="noConversion"/>
  </si>
  <si>
    <t>颜色属性动画-ColorAnimation</t>
    <phoneticPr fontId="40" type="noConversion"/>
  </si>
  <si>
    <t>厚度属性动画-ThicknessAnimation</t>
    <phoneticPr fontId="40" type="noConversion"/>
  </si>
  <si>
    <t>矩形属性动画-RectAnimation</t>
    <phoneticPr fontId="40" type="noConversion"/>
  </si>
  <si>
    <t>尺寸属性动画-SizeAnimation</t>
    <phoneticPr fontId="40" type="noConversion"/>
  </si>
  <si>
    <t>点属性动画-PointAnimation</t>
    <phoneticPr fontId="40" type="noConversion"/>
  </si>
  <si>
    <t>浮点属性动画-FloatAnimation</t>
    <phoneticPr fontId="40" type="noConversion"/>
  </si>
  <si>
    <t>整型属性动画-Int64Animation</t>
    <phoneticPr fontId="40" type="noConversion"/>
  </si>
  <si>
    <t>整型属性动画-Int32Animation</t>
    <phoneticPr fontId="40" type="noConversion"/>
  </si>
  <si>
    <t>整型属性动画-Int16Animation</t>
    <phoneticPr fontId="40" type="noConversion"/>
  </si>
  <si>
    <t>整型属性动画-Int8Animation</t>
    <phoneticPr fontId="40" type="noConversion"/>
  </si>
  <si>
    <t>属性动画基类AnimationTimeline</t>
    <phoneticPr fontId="40" type="noConversion"/>
  </si>
  <si>
    <t>后期可能需要把变量改成依赖属性，
根据后续Studio或应用的感受后决定</t>
    <phoneticPr fontId="40" type="noConversion"/>
  </si>
  <si>
    <t>时间线Timeline</t>
    <phoneticPr fontId="40" type="noConversion"/>
  </si>
  <si>
    <t>遗留部分参数未调试，但不是必要的。
比如弹簧函数的弹跳次数</t>
    <phoneticPr fontId="40" type="noConversion"/>
  </si>
  <si>
    <t>缓动函数Easing，可让动画呈现各种缓动效果</t>
    <phoneticPr fontId="40" type="noConversion"/>
  </si>
  <si>
    <t>图片画刷ImageBrush</t>
    <phoneticPr fontId="40" type="noConversion"/>
  </si>
  <si>
    <t>后续优化不适用依赖属性，且可能不保留BM为变量</t>
    <phoneticPr fontId="40" type="noConversion"/>
  </si>
  <si>
    <t>图片源ImageSource</t>
    <phoneticPr fontId="40" type="noConversion"/>
  </si>
  <si>
    <t>辐射渐变画刷RadialGradientBrush</t>
    <phoneticPr fontId="40" type="noConversion"/>
  </si>
  <si>
    <t>需要shader的参数配合，
但目前找了资料不太好实现</t>
    <phoneticPr fontId="40" type="noConversion"/>
  </si>
  <si>
    <t>线性渐变画刷LinearGradientBrush</t>
    <phoneticPr fontId="40" type="noConversion"/>
  </si>
  <si>
    <t>颜色画刷SolidColorBrush</t>
    <phoneticPr fontId="40" type="noConversion"/>
  </si>
  <si>
    <t>opacity属性和Transform属性都未调试
但目前不影响主线</t>
    <phoneticPr fontId="40" type="noConversion"/>
  </si>
  <si>
    <t>画刷基类Brush</t>
    <phoneticPr fontId="40" type="noConversion"/>
  </si>
  <si>
    <t>厚度Thickness</t>
    <phoneticPr fontId="40" type="noConversion"/>
  </si>
  <si>
    <t>基于stb_image目前发现某些格式兼容性不好，考虑是否替换成SOLID方案</t>
    <phoneticPr fontId="40" type="noConversion"/>
  </si>
  <si>
    <t>位图Bitmap（基于stb_image）</t>
    <phoneticPr fontId="40" type="noConversion"/>
  </si>
  <si>
    <t>完成度很高，不影响主线</t>
    <phoneticPr fontId="40" type="noConversion"/>
  </si>
  <si>
    <t>颜色Color</t>
    <phoneticPr fontId="40" type="noConversion"/>
  </si>
  <si>
    <t>媒体相关</t>
    <phoneticPr fontId="40"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</si>
  <si>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</si>
  <si>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40" type="noConversion"/>
  </si>
  <si>
    <t>绑定管理BindingMaster</t>
    <phoneticPr fontId="40" type="noConversion"/>
  </si>
  <si>
    <t>还不确定多数据绑定是否要做</t>
    <phoneticPr fontId="40" type="noConversion"/>
  </si>
  <si>
    <t xml:space="preserve">多绑定MultiBinding </t>
    <phoneticPr fontId="40" type="noConversion"/>
  </si>
  <si>
    <t>未考虑属性绑定属性的情况，
双向绑定情况等</t>
    <phoneticPr fontId="40" type="noConversion"/>
  </si>
  <si>
    <t>绑定Bingding</t>
    <phoneticPr fontId="40" type="noConversion"/>
  </si>
  <si>
    <t>可能遗留部分bug</t>
    <phoneticPr fontId="40" type="noConversion"/>
  </si>
  <si>
    <t>数据上下文DataContent</t>
    <phoneticPr fontId="40" type="noConversion"/>
  </si>
  <si>
    <t>不影响主线较高完成度</t>
    <phoneticPr fontId="40" type="noConversion"/>
  </si>
  <si>
    <t>资源字典ResourceDictionary</t>
    <phoneticPr fontId="40" type="noConversion"/>
  </si>
  <si>
    <t>目前仅支持输出到标准输出设备，后续做Studio后，需要考虑重定向输出到工具窗口</t>
    <phoneticPr fontId="40" type="noConversion"/>
  </si>
  <si>
    <t>潘荣涛</t>
    <phoneticPr fontId="48" type="noConversion"/>
  </si>
  <si>
    <t>日志Log</t>
    <phoneticPr fontId="40" type="noConversion"/>
  </si>
  <si>
    <t>字符串整数RandomS</t>
    <phoneticPr fontId="40" type="noConversion"/>
  </si>
  <si>
    <t>浮点数随机器RandomF</t>
    <phoneticPr fontId="40" type="noConversion"/>
  </si>
  <si>
    <t>整数随机器Random</t>
    <phoneticPr fontId="40" type="noConversion"/>
  </si>
  <si>
    <t>未考虑属性值的多种情况，比如动画设置的值，模板设置的值，样式设置的值等优先级区分。后续跟进</t>
    <phoneticPr fontId="40" type="noConversion"/>
  </si>
  <si>
    <t>依赖属性值容器EffectiveValueEntry</t>
    <phoneticPr fontId="40" type="noConversion"/>
  </si>
  <si>
    <t>依赖属性DependencyProperty</t>
    <phoneticPr fontId="40" type="noConversion"/>
  </si>
  <si>
    <t>不影响主线</t>
    <phoneticPr fontId="40" type="noConversion"/>
  </si>
  <si>
    <t>依赖属性DependencyObject</t>
    <phoneticPr fontId="40" type="noConversion"/>
  </si>
  <si>
    <t>按需添加，不影响主线</t>
    <phoneticPr fontId="40" type="noConversion"/>
  </si>
  <si>
    <t>事件参数EventArgs，包含常用的类型如键盘鼠标触摸事件等</t>
    <phoneticPr fontId="40" type="noConversion"/>
  </si>
  <si>
    <t>路由事件贯穿真个框架的使用，
目前仅限于单元测试，未有很多的实际使用</t>
    <phoneticPr fontId="40" type="noConversion"/>
  </si>
  <si>
    <t>路由事件RoutedEvent</t>
    <phoneticPr fontId="40" type="noConversion"/>
  </si>
  <si>
    <t>不影响主线的部分瑕疵，
后续可能优化为不使用模板</t>
    <phoneticPr fontId="40" type="noConversion"/>
  </si>
  <si>
    <t>普通事件Event</t>
    <phoneticPr fontId="40" type="noConversion"/>
  </si>
  <si>
    <t>矩形Rect</t>
    <phoneticPr fontId="40" type="noConversion"/>
  </si>
  <si>
    <t>尺寸Size</t>
    <phoneticPr fontId="40" type="noConversion"/>
  </si>
  <si>
    <t>点Point</t>
    <phoneticPr fontId="40" type="noConversion"/>
  </si>
  <si>
    <t>时间片段TimeSpan</t>
    <phoneticPr fontId="40" type="noConversion"/>
  </si>
  <si>
    <t>剩下时区相关支持，
不影响主线</t>
    <phoneticPr fontId="40" type="noConversion"/>
  </si>
  <si>
    <t>时间日期DateTime</t>
    <phoneticPr fontId="40" type="noConversion"/>
  </si>
  <si>
    <t>定时器Timer</t>
    <phoneticPr fontId="40" type="noConversion"/>
  </si>
  <si>
    <t>单例数据结构Singleton</t>
    <phoneticPr fontId="40"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</si>
  <si>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</si>
  <si>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40" type="noConversion"/>
  </si>
  <si>
    <t>根据后续需要逐步添加某些全局方法</t>
    <phoneticPr fontId="40" type="noConversion"/>
  </si>
  <si>
    <t>全局宏、函数与方法Def</t>
    <phoneticPr fontId="40"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</si>
  <si>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</si>
  <si>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8"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</si>
  <si>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</si>
  <si>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</si>
  <si>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40"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</si>
  <si>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</si>
  <si>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</si>
  <si>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</si>
  <si>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</si>
  <si>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</si>
  <si>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</si>
  <si>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</si>
  <si>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</si>
  <si>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</si>
  <si>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</si>
  <si>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</si>
  <si>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40" type="noConversion"/>
  </si>
  <si>
    <t>在单元格 B3 中输入项目主管的姓名。在单元格 E3 中输入项目开始日期。项目开始：标签位于单元格 C3 中。</t>
  </si>
  <si>
    <t>https://www.vertex42.com/ExcelTemplates/simple-gantt-chart.html</t>
  </si>
  <si>
    <t>德赛西威</t>
    <phoneticPr fontId="40" type="noConversion"/>
  </si>
  <si>
    <t>在单元格 B2 中输入公司名称。</t>
  </si>
  <si>
    <t>Vertex42.com 提供的简单甘特图</t>
  </si>
  <si>
    <t>Newbrush SDK 项目任务管理</t>
    <phoneticPr fontId="40"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</si>
  <si>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</si>
  <si>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40" type="noConversion"/>
  </si>
  <si>
    <t>未处理调试多光源</t>
    <phoneticPr fontId="40" type="noConversion"/>
  </si>
  <si>
    <t>后续调整是否保留BM变量</t>
    <phoneticPr fontId="40" type="noConversion"/>
  </si>
  <si>
    <t>多级纹理不一定需要，看后续需求</t>
    <phoneticPr fontId="40" type="noConversion"/>
  </si>
  <si>
    <t>仅写了代码，体系未建立</t>
    <phoneticPr fontId="40" type="noConversion"/>
  </si>
  <si>
    <t>属于优化内容，后期做</t>
    <phoneticPr fontId="40" type="noConversion"/>
  </si>
  <si>
    <t>不同的字库不同的缓存问题。仍有大量问题需要考虑</t>
    <phoneticPr fontId="40" type="noConversion"/>
  </si>
  <si>
    <t>未处理多窗口的焦点管理等问题</t>
    <phoneticPr fontId="40" type="noConversion"/>
  </si>
  <si>
    <t>遗留焦点问题，滚轮事件，键盘事件等</t>
    <phoneticPr fontId="40" type="noConversion"/>
  </si>
  <si>
    <t>路由事件未调试节点树</t>
    <phoneticPr fontId="40" type="noConversion"/>
  </si>
  <si>
    <t>后续调整附件属性的方式</t>
    <phoneticPr fontId="40" type="noConversion"/>
  </si>
  <si>
    <t>一些参数边界为做判定</t>
    <phoneticPr fontId="40" type="noConversion"/>
  </si>
  <si>
    <t>大多属性并非做处理</t>
    <phoneticPr fontId="40" type="noConversion"/>
  </si>
  <si>
    <t>图片UI元素Image</t>
    <phoneticPr fontId="40" type="noConversion"/>
  </si>
  <si>
    <t>密码框控件PasswordBox</t>
    <phoneticPr fontId="40" type="noConversion"/>
  </si>
  <si>
    <t>文本块UI元素TextBlock</t>
    <phoneticPr fontId="40" type="noConversion"/>
  </si>
  <si>
    <t>很多属性未考虑，仅显示一行文本</t>
    <phoneticPr fontId="40" type="noConversion"/>
  </si>
  <si>
    <t>在Canvas和非Canvas上坐标点不一样</t>
    <phoneticPr fontId="40" type="noConversion"/>
  </si>
  <si>
    <t>控件模板ControlTemplate</t>
    <phoneticPr fontId="40" type="noConversion"/>
  </si>
  <si>
    <t>&lt;newbrush sdk&gt; Action Item List</t>
    <phoneticPr fontId="40" type="noConversion"/>
  </si>
  <si>
    <t>&lt;newbrush studio&gt; Action Item List</t>
    <phoneticPr fontId="40" type="noConversion"/>
  </si>
  <si>
    <t>设计主窗口布局，包括菜单栏区域，节点树区域，nbPlayer区域</t>
    <phoneticPr fontId="40" type="noConversion"/>
  </si>
  <si>
    <t>Pan Rongtao</t>
    <phoneticPr fontId="40" type="noConversion"/>
  </si>
  <si>
    <t>本表仅记录任务的进度，方便全局的观察整个进度。任务细节请查看【详细任务跟进】</t>
    <phoneticPr fontId="40" type="noConversion"/>
  </si>
  <si>
    <t>若要添加更多里程碑，请在此行上方插入新行</t>
  </si>
  <si>
    <t>若要将更多行添加到路线图里程碑表，只需在此行上方插入新行。
此工作表没有详细说明。</t>
  </si>
  <si>
    <t>发布到市场</t>
  </si>
  <si>
    <t>审阅</t>
  </si>
  <si>
    <t>Beta 测试</t>
  </si>
  <si>
    <t>最终测试</t>
  </si>
  <si>
    <t>重新开发</t>
  </si>
  <si>
    <t>重新设计</t>
  </si>
  <si>
    <t>测试和分析</t>
  </si>
  <si>
    <t>概念验证</t>
  </si>
  <si>
    <t>设计</t>
  </si>
  <si>
    <t>数据分析</t>
  </si>
  <si>
    <t>开始数据收集</t>
  </si>
  <si>
    <t>校验整个框架成熟度，为Studio项目做准备</t>
    <phoneticPr fontId="48" type="noConversion"/>
  </si>
  <si>
    <t>其他常用控件</t>
    <phoneticPr fontId="48" type="noConversion"/>
  </si>
  <si>
    <t>列表等多项控件成熟度60%</t>
    <phoneticPr fontId="48" type="noConversion"/>
  </si>
  <si>
    <t>button等单内容控件成熟度60%</t>
    <phoneticPr fontId="48" type="noConversion"/>
  </si>
  <si>
    <t>专注控件实现
常用控件
模板应用
控件成熟度50%</t>
    <phoneticPr fontId="48" type="noConversion"/>
  </si>
  <si>
    <t>高级用户接口GUI准备好基础类型搭建</t>
    <phoneticPr fontId="48" type="noConversion"/>
  </si>
  <si>
    <t>媒体相关：动画，画刷达60%成熟度</t>
    <phoneticPr fontId="48" type="noConversion"/>
  </si>
  <si>
    <t>OpenGL渲染基础达成
成熟度50%</t>
    <phoneticPr fontId="48" type="noConversion"/>
  </si>
  <si>
    <t>基础数据结构达到60%成熟度</t>
    <phoneticPr fontId="48" type="noConversion"/>
  </si>
  <si>
    <t>启动</t>
    <phoneticPr fontId="48" type="noConversion"/>
  </si>
  <si>
    <t>在单元格 C1 中输入记录日期和里程碑的位置。输入 1 到 3 的之间的正数，在时间线上方记录里程碑。输入 -1 到 -3 之间的负数，在时间线下方记录里程碑。
在表格的 D 和 E 列中输入日期和里程碑或活动。
对右侧表中每个新行重复此模式。
示例数据覆盖 3 到 26 行。修改或删除示例内容以创建自己的路线图。
继续转到单元格 A27 查看下一条说明。</t>
  </si>
  <si>
    <t>里程碑</t>
  </si>
  <si>
    <t>位置​​</t>
  </si>
  <si>
    <t>编号</t>
  </si>
  <si>
    <t>表标题位于单元格 C2 到 E2。使用“排序和筛选”选项查找特定条目或对其进行排序。
从表格单元格 C3 开始，输入里程碑和日期，并设置记录里程碑的位置。
B 列已隐藏。根据此数据生成的图表使用滚动条查看时间线块。B 列有助于确定滚动条递增时记录哪些里程碑。
警告：删除或修改 B 列内容可能会破坏此工作簿中内置图表的完整性。</t>
  </si>
  <si>
    <t>通过在此工作表中输入重要的里程碑和活动创建路线图。
此工作表的标题位于单元格 C1。
有关如何使用此工作表的信息（包括屏幕阅读器的说明）包含在“关于”工作表中。
继续向下浏览 A 列，获取进一步说明。</t>
  </si>
  <si>
    <t>显示“里程碑”工作表的里程碑的图表位于此工作表。
年份显示在单元格 B2、C2 和 D2 中，并应用“标题 3”样式。
一次记录 10 个里程碑。
使用单元格 B4 到 D4 的滚动条导航路线图。
时间线年份位于单元格 B3 到 D3。
此工作表没有详细说明。</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</si>
  <si>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40" type="noConversion"/>
  </si>
  <si>
    <r>
      <t>2020-3-9</t>
    </r>
    <r>
      <rPr>
        <sz val="10"/>
        <rFont val="宋体"/>
        <family val="3"/>
        <charset val="134"/>
      </rPr>
      <t>：第一个版本完成，后续更多控件使用样式后进行进一步调试</t>
    </r>
    <phoneticPr fontId="40"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</si>
  <si>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40"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</si>
  <si>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40" type="noConversion"/>
  </si>
  <si>
    <t>Su Zhifei</t>
    <phoneticPr fontId="40" type="noConversion"/>
  </si>
  <si>
    <t>【模型】</t>
    <phoneticPr fontId="40" type="noConversion"/>
  </si>
  <si>
    <t>将模型嵌入到当前框架中</t>
    <phoneticPr fontId="40" type="noConversion"/>
  </si>
  <si>
    <t>Su Zhifei</t>
    <phoneticPr fontId="40" type="noConversion"/>
  </si>
  <si>
    <t>Su Zhifei</t>
    <phoneticPr fontId="40" type="noConversion"/>
  </si>
  <si>
    <t>【矩阵变换】</t>
    <phoneticPr fontId="40" type="noConversion"/>
  </si>
  <si>
    <r>
      <t>Bitmap</t>
    </r>
    <r>
      <rPr>
        <sz val="11"/>
        <color theme="1"/>
        <rFont val="宋体"/>
        <family val="3"/>
        <charset val="134"/>
      </rPr>
      <t>替换原来的stb_image方案为SIOL</t>
    </r>
    <phoneticPr fontId="40" type="noConversion"/>
  </si>
  <si>
    <t>【Bitmap图片加载解析】</t>
    <phoneticPr fontId="40" type="noConversion"/>
  </si>
  <si>
    <t>Su Zhifei</t>
    <phoneticPr fontId="40" type="noConversion"/>
  </si>
  <si>
    <t>Suz Zhifei</t>
    <phoneticPr fontId="40" type="noConversion"/>
  </si>
  <si>
    <t>256</t>
    <phoneticPr fontId="40" type="noConversion"/>
  </si>
  <si>
    <t>【控件|Button】</t>
    <phoneticPr fontId="40" type="noConversion"/>
  </si>
  <si>
    <t>Pan Rongtao</t>
    <phoneticPr fontId="40" type="noConversion"/>
  </si>
  <si>
    <t>【控件|RepeatButton】</t>
    <phoneticPr fontId="40"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</si>
  <si>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40"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</si>
  <si>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40" type="noConversion"/>
  </si>
  <si>
    <t>【控件|Image】</t>
    <phoneticPr fontId="40" type="noConversion"/>
  </si>
  <si>
    <t>实现图片类Image</t>
    <phoneticPr fontId="40" type="noConversion"/>
  </si>
  <si>
    <r>
      <t>2020-3-9</t>
    </r>
    <r>
      <rPr>
        <sz val="10"/>
        <rFont val="宋体"/>
        <family val="3"/>
        <charset val="134"/>
      </rPr>
      <t>：本周开始</t>
    </r>
    <phoneticPr fontId="40" type="noConversion"/>
  </si>
  <si>
    <t>【控件|Slider】</t>
    <phoneticPr fontId="40" type="noConversion"/>
  </si>
  <si>
    <r>
      <rPr>
        <sz val="11"/>
        <color theme="1"/>
        <rFont val="宋体"/>
        <family val="3"/>
        <charset val="134"/>
      </rPr>
      <t>实现</t>
    </r>
    <r>
      <rPr>
        <sz val="11"/>
        <color theme="1"/>
        <rFont val="Arial"/>
        <family val="2"/>
      </rPr>
      <t>Slider</t>
    </r>
    <phoneticPr fontId="40" type="noConversion"/>
  </si>
  <si>
    <t>Pan Rongtao</t>
    <phoneticPr fontId="40" type="noConversion"/>
  </si>
  <si>
    <r>
      <t>2020-3-9</t>
    </r>
    <r>
      <rPr>
        <sz val="10"/>
        <rFont val="宋体"/>
        <family val="3"/>
        <charset val="134"/>
      </rPr>
      <t>：使用catch2完善原来的测试案例
2020-3-23：已处理了单元测试用例，还需要统计覆盖率输出</t>
    </r>
    <phoneticPr fontId="40" type="noConversion"/>
  </si>
  <si>
    <r>
      <t>2020-3-9</t>
    </r>
    <r>
      <rPr>
        <sz val="10"/>
        <rFont val="宋体"/>
        <family val="3"/>
        <charset val="134"/>
      </rPr>
      <t xml:space="preserve">：本周开始
</t>
    </r>
    <r>
      <rPr>
        <sz val="10"/>
        <rFont val="Arial"/>
        <family val="2"/>
      </rPr>
      <t>2020-3-23</t>
    </r>
    <r>
      <rPr>
        <sz val="10"/>
        <rFont val="宋体"/>
        <family val="3"/>
        <charset val="134"/>
      </rPr>
      <t>：还存在轮胎偏移问题，纹理渲染问题</t>
    </r>
    <phoneticPr fontId="40" type="noConversion"/>
  </si>
  <si>
    <r>
      <t>2020-3-9</t>
    </r>
    <r>
      <rPr>
        <sz val="10"/>
        <rFont val="宋体"/>
        <family val="3"/>
        <charset val="134"/>
      </rPr>
      <t xml:space="preserve">：本周开始
</t>
    </r>
    <r>
      <rPr>
        <sz val="10"/>
        <rFont val="Arial"/>
        <family val="2"/>
      </rPr>
      <t>2020-3-23</t>
    </r>
    <r>
      <rPr>
        <sz val="10"/>
        <rFont val="宋体"/>
        <family val="3"/>
        <charset val="134"/>
      </rPr>
      <t>：未开始</t>
    </r>
    <phoneticPr fontId="40"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</si>
  <si>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40"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</si>
  <si>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40"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</si>
  <si>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40" type="noConversion"/>
  </si>
  <si>
    <r>
      <t>2020-3-9</t>
    </r>
    <r>
      <rPr>
        <sz val="10"/>
        <rFont val="宋体"/>
        <family val="3"/>
        <charset val="134"/>
      </rPr>
      <t xml:space="preserve">：未开始
</t>
    </r>
    <phoneticPr fontId="40" type="noConversion"/>
  </si>
  <si>
    <t>实现Transform、ScaleTransform、RotationTransform、TranslateTransform、TransformGroup</t>
    <phoneticPr fontId="4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</si>
</sst>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409]d/mmm/yy;@"/>
    <numFmt numFmtId="177" formatCode="m/d/yy;@"/>
    <numFmt numFmtId="178" formatCode="yy/m/d;@"/>
    <numFmt numFmtId="179" formatCode="d"/>
    <numFmt numFmtId="180" formatCode="aaa\,\ yyyy/m/d"/>
  </numFmts>
  <fonts count="60"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b/>
      <sz val="16"/>
      <name val="Arial"/>
      <family val="2"/>
    </font>
    <font>
      <b/>
      <sz val="11"/>
      <color theme="1"/>
      <name val="Arial"/>
      <family val="2"/>
    </font>
    <font>
      <u/>
      <sz val="11"/>
      <color theme="1"/>
      <name val="Arial"/>
      <family val="2"/>
    </font>
    <font>
      <sz val="11"/>
      <name val="Arial"/>
      <family val="2"/>
    </font>
    <font>
      <b/>
      <sz val="11"/>
      <name val="Arial"/>
      <family val="2"/>
    </font>
    <font>
      <u/>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b/>
      <sz val="16"/>
      <name val="宋体"/>
      <family val="3"/>
      <charset val="134"/>
    </font>
    <font>
      <b/>
      <sz val="11"/>
      <color theme="1"/>
      <name val="宋体"/>
      <family val="3"/>
      <charset val="134"/>
    </font>
    <font>
      <b/>
      <sz val="11"/>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s>
  <fills count="19">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8" tint="-0.249977111117893"/>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8">
    <xf numFmtId="176" fontId="0" fillId="0" borderId="0">
      <alignment vertical="center"/>
    </xf>
    <xf numFmtId="176" fontId="26" fillId="0" borderId="0" applyNumberFormat="0" applyFill="0" applyBorder="0" applyAlignment="0" applyProtection="0"/>
    <xf numFmtId="176" fontId="26" fillId="0" borderId="0"/>
    <xf numFmtId="176" fontId="26" fillId="0" borderId="0"/>
    <xf numFmtId="176" fontId="26" fillId="0" borderId="0"/>
    <xf numFmtId="176" fontId="23" fillId="0" borderId="0"/>
    <xf numFmtId="176" fontId="26" fillId="0" borderId="0"/>
    <xf numFmtId="176" fontId="26" fillId="0" borderId="0"/>
    <xf numFmtId="176" fontId="37" fillId="0" borderId="0">
      <alignment vertical="center"/>
    </xf>
    <xf numFmtId="176" fontId="26" fillId="0" borderId="0"/>
    <xf numFmtId="0" fontId="39" fillId="0" borderId="0"/>
    <xf numFmtId="0" fontId="41" fillId="0" borderId="0"/>
    <xf numFmtId="0" fontId="42" fillId="0" borderId="0" applyNumberFormat="0" applyFill="0" applyBorder="0" applyAlignment="0" applyProtection="0">
      <alignment vertical="top"/>
      <protection locked="0"/>
    </xf>
    <xf numFmtId="9" fontId="39" fillId="0" borderId="0" applyFont="0" applyFill="0" applyBorder="0" applyAlignment="0" applyProtection="0"/>
    <xf numFmtId="178" fontId="39" fillId="0" borderId="10" applyFill="0">
      <alignment horizontal="center" vertical="center"/>
    </xf>
    <xf numFmtId="0" fontId="39" fillId="0" borderId="10" applyFill="0">
      <alignment horizontal="center" vertical="center"/>
    </xf>
    <xf numFmtId="0" fontId="39" fillId="0" borderId="10" applyFill="0">
      <alignment horizontal="left" vertical="center" indent="2"/>
    </xf>
    <xf numFmtId="0" fontId="47" fillId="8" borderId="8" applyNumberFormat="0" applyAlignment="0" applyProtection="0">
      <alignment vertical="center"/>
    </xf>
    <xf numFmtId="0" fontId="39" fillId="0" borderId="0" applyNumberFormat="0" applyFill="0" applyProtection="0">
      <alignment horizontal="right" indent="1"/>
    </xf>
    <xf numFmtId="180" fontId="39" fillId="0" borderId="18">
      <alignment horizontal="center" vertical="center"/>
    </xf>
    <xf numFmtId="0" fontId="52" fillId="0" borderId="0" applyNumberFormat="0" applyFill="0" applyProtection="0">
      <alignment vertical="top"/>
    </xf>
    <xf numFmtId="0" fontId="52" fillId="0" borderId="0" applyNumberFormat="0" applyFill="0" applyAlignment="0" applyProtection="0"/>
    <xf numFmtId="0" fontId="55" fillId="0" borderId="0" applyNumberFormat="0" applyFill="0" applyBorder="0" applyAlignment="0" applyProtection="0"/>
    <xf numFmtId="14" fontId="39" fillId="0" borderId="0" applyFont="0" applyFill="0" applyBorder="0">
      <alignment horizontal="center" vertical="center" wrapText="1"/>
    </xf>
    <xf numFmtId="3" fontId="39" fillId="0" borderId="0" applyFont="0" applyFill="0" applyBorder="0" applyProtection="0">
      <alignment horizontal="center" vertical="center"/>
    </xf>
    <xf numFmtId="0" fontId="57" fillId="0" borderId="0" applyNumberFormat="0" applyFill="0" applyProtection="0">
      <alignment vertical="top"/>
    </xf>
    <xf numFmtId="0" fontId="58" fillId="16" borderId="0">
      <alignment wrapText="1"/>
    </xf>
    <xf numFmtId="0" fontId="59" fillId="17" borderId="0" applyNumberFormat="0" applyProtection="0">
      <alignment horizontal="right" vertical="top" indent="1"/>
    </xf>
  </cellStyleXfs>
  <cellXfs count="174">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1" fillId="0" borderId="0" xfId="0" applyFont="1" applyAlignment="1">
      <alignment vertical="center"/>
    </xf>
    <xf numFmtId="176" fontId="1" fillId="0" borderId="0" xfId="0" applyFont="1">
      <alignment vertical="center"/>
    </xf>
    <xf numFmtId="176" fontId="1" fillId="0" borderId="6" xfId="1" applyFont="1" applyFill="1" applyBorder="1" applyAlignment="1">
      <alignment horizontal="center" vertical="center" wrapText="1"/>
    </xf>
    <xf numFmtId="176" fontId="21" fillId="0" borderId="1" xfId="1" applyFont="1" applyFill="1" applyBorder="1" applyAlignment="1">
      <alignment horizontal="center" vertical="center" wrapText="1"/>
    </xf>
    <xf numFmtId="176" fontId="1" fillId="0" borderId="1" xfId="1" applyFont="1" applyFill="1" applyBorder="1" applyAlignment="1">
      <alignment horizontal="center" vertical="center"/>
    </xf>
    <xf numFmtId="176" fontId="21" fillId="0" borderId="0" xfId="1" applyFont="1" applyFill="1" applyBorder="1" applyAlignment="1">
      <alignment horizontal="center" vertical="center" wrapText="1"/>
    </xf>
    <xf numFmtId="176" fontId="1" fillId="0" borderId="0" xfId="1" applyFont="1" applyFill="1" applyBorder="1" applyAlignment="1">
      <alignment horizontal="center" vertical="center"/>
    </xf>
    <xf numFmtId="176" fontId="21" fillId="0" borderId="0" xfId="1" applyFont="1" applyFill="1" applyAlignment="1">
      <alignment vertical="center"/>
    </xf>
    <xf numFmtId="176" fontId="1" fillId="0" borderId="0" xfId="1" applyFont="1" applyFill="1" applyAlignment="1">
      <alignment vertical="center"/>
    </xf>
    <xf numFmtId="176" fontId="22" fillId="0" borderId="0" xfId="1" applyFont="1" applyFill="1" applyAlignment="1">
      <alignment vertical="center"/>
    </xf>
    <xf numFmtId="176" fontId="22" fillId="0" borderId="0" xfId="1" applyFont="1" applyFill="1" applyBorder="1" applyAlignment="1">
      <alignment vertical="center"/>
    </xf>
    <xf numFmtId="176" fontId="21" fillId="0" borderId="0" xfId="1" applyFont="1" applyFill="1" applyBorder="1" applyAlignment="1">
      <alignment horizontal="center" vertical="center"/>
    </xf>
    <xf numFmtId="176" fontId="23" fillId="0" borderId="1" xfId="1" applyFont="1" applyFill="1" applyBorder="1" applyAlignment="1">
      <alignment horizontal="center" vertical="center"/>
    </xf>
    <xf numFmtId="176" fontId="23" fillId="0" borderId="0" xfId="1" applyFont="1" applyFill="1" applyBorder="1" applyAlignment="1">
      <alignment horizontal="center" vertical="center"/>
    </xf>
    <xf numFmtId="176" fontId="23" fillId="0" borderId="0" xfId="1" applyFont="1" applyFill="1" applyBorder="1" applyAlignment="1">
      <alignment horizontal="left" vertical="center"/>
    </xf>
    <xf numFmtId="176" fontId="24" fillId="0" borderId="0" xfId="1" applyFont="1" applyFill="1" applyBorder="1" applyAlignment="1">
      <alignment horizontal="right" vertical="center"/>
    </xf>
    <xf numFmtId="176" fontId="25" fillId="0" borderId="0" xfId="1" applyFont="1" applyFill="1" applyBorder="1" applyAlignment="1">
      <alignment horizontal="left"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0" applyFont="1"/>
    <xf numFmtId="0" fontId="39" fillId="0" borderId="0" xfId="10" applyFont="1" applyAlignment="1">
      <alignment horizontal="center"/>
    </xf>
    <xf numFmtId="0" fontId="41" fillId="0" borderId="0" xfId="11"/>
    <xf numFmtId="0" fontId="43" fillId="0" borderId="0" xfId="12" applyFont="1" applyAlignment="1" applyProtection="1"/>
    <xf numFmtId="0" fontId="41" fillId="0" borderId="0" xfId="10" applyFont="1" applyAlignment="1">
      <alignment horizontal="center"/>
    </xf>
    <xf numFmtId="0" fontId="44" fillId="0" borderId="0" xfId="10" applyFont="1"/>
    <xf numFmtId="0" fontId="39" fillId="0" borderId="0" xfId="10" applyFont="1" applyAlignment="1">
      <alignment horizontal="right" vertical="center"/>
    </xf>
    <xf numFmtId="0" fontId="39" fillId="0" borderId="0" xfId="10" applyFont="1" applyAlignment="1">
      <alignment vertical="center"/>
    </xf>
    <xf numFmtId="0" fontId="39" fillId="7" borderId="9" xfId="10" applyFont="1" applyFill="1" applyBorder="1" applyAlignment="1">
      <alignment vertical="center"/>
    </xf>
    <xf numFmtId="0" fontId="45" fillId="7" borderId="10" xfId="10" applyFont="1" applyFill="1" applyBorder="1" applyAlignment="1">
      <alignment horizontal="center" vertical="center"/>
    </xf>
    <xf numFmtId="177" fontId="45" fillId="7" borderId="10" xfId="10" applyNumberFormat="1" applyFont="1" applyFill="1" applyBorder="1" applyAlignment="1">
      <alignment horizontal="center" vertical="center"/>
    </xf>
    <xf numFmtId="177" fontId="43" fillId="7" borderId="10" xfId="10" applyNumberFormat="1" applyFont="1" applyFill="1" applyBorder="1" applyAlignment="1">
      <alignment horizontal="left" vertical="center"/>
    </xf>
    <xf numFmtId="9" fontId="45" fillId="7" borderId="10" xfId="13" applyFont="1" applyFill="1" applyBorder="1" applyAlignment="1">
      <alignment horizontal="center" vertical="center"/>
    </xf>
    <xf numFmtId="0" fontId="46" fillId="7" borderId="10" xfId="10" applyFont="1" applyFill="1" applyBorder="1" applyAlignment="1">
      <alignment horizontal="center" vertical="center"/>
    </xf>
    <xf numFmtId="0" fontId="46" fillId="7" borderId="10" xfId="10" applyFont="1" applyFill="1" applyBorder="1" applyAlignment="1">
      <alignment horizontal="left" vertical="center" indent="1"/>
    </xf>
    <xf numFmtId="0" fontId="41" fillId="0" borderId="0" xfId="11" applyAlignment="1">
      <alignment wrapText="1"/>
    </xf>
    <xf numFmtId="0" fontId="39" fillId="0" borderId="9" xfId="10" applyFont="1" applyBorder="1" applyAlignment="1">
      <alignment vertical="center"/>
    </xf>
    <xf numFmtId="0" fontId="45" fillId="0" borderId="10" xfId="10" applyFont="1" applyBorder="1" applyAlignment="1">
      <alignment horizontal="center" vertical="center"/>
    </xf>
    <xf numFmtId="178" fontId="39" fillId="0" borderId="10" xfId="14">
      <alignment horizontal="center" vertical="center"/>
    </xf>
    <xf numFmtId="9" fontId="45" fillId="0" borderId="10" xfId="13" applyFont="1" applyBorder="1" applyAlignment="1">
      <alignment horizontal="center" vertical="center"/>
    </xf>
    <xf numFmtId="0" fontId="39" fillId="0" borderId="10" xfId="15">
      <alignment horizontal="center" vertical="center"/>
    </xf>
    <xf numFmtId="0" fontId="39" fillId="0" borderId="10" xfId="16">
      <alignment horizontal="left" vertical="center" indent="2"/>
    </xf>
    <xf numFmtId="0" fontId="47" fillId="8" borderId="8" xfId="17" applyAlignment="1">
      <alignment horizontal="center" vertical="center"/>
    </xf>
    <xf numFmtId="178" fontId="39" fillId="9" borderId="10" xfId="14" applyFill="1">
      <alignment horizontal="center" vertical="center"/>
    </xf>
    <xf numFmtId="9" fontId="45" fillId="9" borderId="10" xfId="13" applyFont="1" applyFill="1" applyBorder="1" applyAlignment="1">
      <alignment horizontal="center" vertical="center"/>
    </xf>
    <xf numFmtId="0" fontId="39" fillId="9" borderId="10" xfId="15" applyFill="1">
      <alignment horizontal="center" vertical="center"/>
    </xf>
    <xf numFmtId="0" fontId="39" fillId="9" borderId="10" xfId="16" applyFill="1">
      <alignment horizontal="left" vertical="center" indent="2"/>
    </xf>
    <xf numFmtId="178" fontId="0" fillId="9" borderId="10" xfId="14" applyFont="1" applyFill="1">
      <alignment horizontal="center" vertical="center"/>
    </xf>
    <xf numFmtId="178" fontId="45" fillId="6" borderId="10" xfId="10" applyNumberFormat="1" applyFont="1" applyFill="1" applyBorder="1" applyAlignment="1">
      <alignment horizontal="center" vertical="center"/>
    </xf>
    <xf numFmtId="178" fontId="39" fillId="6" borderId="10" xfId="10" applyNumberFormat="1" applyFont="1" applyFill="1" applyBorder="1" applyAlignment="1">
      <alignment horizontal="center" vertical="center"/>
    </xf>
    <xf numFmtId="9" fontId="45" fillId="6" borderId="10" xfId="13" applyFont="1" applyFill="1" applyBorder="1" applyAlignment="1">
      <alignment horizontal="center" vertical="center"/>
    </xf>
    <xf numFmtId="0" fontId="39" fillId="6" borderId="10" xfId="15" applyFill="1">
      <alignment horizontal="center" vertical="center"/>
    </xf>
    <xf numFmtId="0" fontId="49" fillId="6" borderId="10" xfId="10" applyFont="1" applyFill="1" applyBorder="1" applyAlignment="1">
      <alignment horizontal="left" vertical="center" indent="1"/>
    </xf>
    <xf numFmtId="178" fontId="39" fillId="10" borderId="10" xfId="14" applyFill="1">
      <alignment horizontal="center" vertical="center"/>
    </xf>
    <xf numFmtId="9" fontId="45" fillId="10" borderId="10" xfId="13" applyFont="1" applyFill="1" applyBorder="1" applyAlignment="1">
      <alignment horizontal="center" vertical="center"/>
    </xf>
    <xf numFmtId="0" fontId="39" fillId="10" borderId="10" xfId="15" applyFill="1">
      <alignment horizontal="center" vertical="center"/>
    </xf>
    <xf numFmtId="0" fontId="39" fillId="10" borderId="10" xfId="16" applyFill="1">
      <alignment horizontal="left" vertical="center" indent="2"/>
    </xf>
    <xf numFmtId="178" fontId="45" fillId="4" borderId="10" xfId="10" applyNumberFormat="1" applyFont="1" applyFill="1" applyBorder="1" applyAlignment="1">
      <alignment horizontal="center" vertical="center"/>
    </xf>
    <xf numFmtId="178" fontId="39" fillId="4" borderId="10" xfId="10" applyNumberFormat="1" applyFont="1" applyFill="1" applyBorder="1" applyAlignment="1">
      <alignment horizontal="center" vertical="center"/>
    </xf>
    <xf numFmtId="9" fontId="45" fillId="4" borderId="10" xfId="13" applyFont="1" applyFill="1" applyBorder="1" applyAlignment="1">
      <alignment horizontal="center" vertical="center"/>
    </xf>
    <xf numFmtId="0" fontId="39" fillId="4" borderId="10" xfId="15" applyFill="1">
      <alignment horizontal="center" vertical="center"/>
    </xf>
    <xf numFmtId="0" fontId="49" fillId="4" borderId="10" xfId="10" applyFont="1" applyFill="1" applyBorder="1" applyAlignment="1">
      <alignment horizontal="left" vertical="center" indent="1"/>
    </xf>
    <xf numFmtId="178" fontId="39" fillId="11" borderId="10" xfId="14" applyFill="1">
      <alignment horizontal="center" vertical="center"/>
    </xf>
    <xf numFmtId="9" fontId="45" fillId="11" borderId="10" xfId="13" applyFont="1" applyFill="1" applyBorder="1" applyAlignment="1">
      <alignment horizontal="center" vertical="center"/>
    </xf>
    <xf numFmtId="0" fontId="39" fillId="11" borderId="10" xfId="16" applyFill="1">
      <alignment horizontal="left" vertical="center" indent="2"/>
    </xf>
    <xf numFmtId="0" fontId="47" fillId="8" borderId="8" xfId="17" applyAlignment="1">
      <alignment horizontal="center" vertical="center" wrapText="1"/>
    </xf>
    <xf numFmtId="0" fontId="39" fillId="0" borderId="9" xfId="10" applyFont="1" applyBorder="1" applyAlignment="1">
      <alignment horizontal="right" vertical="center"/>
    </xf>
    <xf numFmtId="178" fontId="45" fillId="3" borderId="10" xfId="10" applyNumberFormat="1" applyFont="1" applyFill="1" applyBorder="1" applyAlignment="1">
      <alignment horizontal="center" vertical="center"/>
    </xf>
    <xf numFmtId="178" fontId="39" fillId="3" borderId="10" xfId="10" applyNumberFormat="1" applyFont="1" applyFill="1" applyBorder="1" applyAlignment="1">
      <alignment horizontal="center" vertical="center"/>
    </xf>
    <xf numFmtId="9" fontId="45" fillId="3" borderId="10" xfId="13" applyFont="1" applyFill="1" applyBorder="1" applyAlignment="1">
      <alignment horizontal="center" vertical="center"/>
    </xf>
    <xf numFmtId="0" fontId="39" fillId="3" borderId="10" xfId="15" applyFill="1">
      <alignment horizontal="center" vertical="center"/>
    </xf>
    <xf numFmtId="0" fontId="49" fillId="3" borderId="10" xfId="10" applyFont="1" applyFill="1" applyBorder="1" applyAlignment="1">
      <alignment horizontal="left" vertical="center" indent="1"/>
    </xf>
    <xf numFmtId="178" fontId="39" fillId="12" borderId="10" xfId="14" applyFill="1">
      <alignment horizontal="center" vertical="center"/>
    </xf>
    <xf numFmtId="9" fontId="45" fillId="12" borderId="10" xfId="13" applyFont="1" applyFill="1" applyBorder="1" applyAlignment="1">
      <alignment horizontal="center" vertical="center"/>
    </xf>
    <xf numFmtId="0" fontId="39" fillId="12" borderId="10" xfId="15" applyFill="1">
      <alignment horizontal="center" vertical="center"/>
    </xf>
    <xf numFmtId="0" fontId="39" fillId="12" borderId="10" xfId="16" applyFill="1">
      <alignment horizontal="left" vertical="center" indent="2"/>
    </xf>
    <xf numFmtId="178" fontId="45" fillId="5" borderId="10" xfId="10" applyNumberFormat="1" applyFont="1" applyFill="1" applyBorder="1" applyAlignment="1">
      <alignment horizontal="center" vertical="center"/>
    </xf>
    <xf numFmtId="178" fontId="39" fillId="5" borderId="10" xfId="10" applyNumberFormat="1" applyFont="1" applyFill="1" applyBorder="1" applyAlignment="1">
      <alignment horizontal="center" vertical="center"/>
    </xf>
    <xf numFmtId="9" fontId="45" fillId="5" borderId="10" xfId="13" applyFont="1" applyFill="1" applyBorder="1" applyAlignment="1">
      <alignment horizontal="center" vertical="center"/>
    </xf>
    <xf numFmtId="0" fontId="39" fillId="5" borderId="10" xfId="15" applyFill="1">
      <alignment horizontal="center" vertical="center"/>
    </xf>
    <xf numFmtId="0" fontId="49" fillId="5" borderId="10" xfId="10" applyFont="1" applyFill="1" applyBorder="1" applyAlignment="1">
      <alignment horizontal="left" vertical="center" indent="1"/>
    </xf>
    <xf numFmtId="0" fontId="39" fillId="0" borderId="0" xfId="10" applyFont="1" applyAlignment="1">
      <alignment wrapText="1"/>
    </xf>
    <xf numFmtId="0" fontId="50" fillId="13" borderId="11" xfId="10" applyFont="1" applyFill="1" applyBorder="1" applyAlignment="1">
      <alignment horizontal="center" vertical="center" shrinkToFit="1"/>
    </xf>
    <xf numFmtId="0" fontId="51" fillId="14" borderId="0" xfId="10" applyFont="1" applyFill="1" applyBorder="1" applyAlignment="1">
      <alignment horizontal="center" vertical="center" wrapText="1"/>
    </xf>
    <xf numFmtId="0" fontId="51" fillId="14" borderId="12" xfId="10" applyFont="1" applyFill="1" applyBorder="1" applyAlignment="1">
      <alignment horizontal="center" vertical="center" wrapText="1"/>
    </xf>
    <xf numFmtId="0" fontId="51" fillId="14" borderId="12" xfId="10" applyFont="1" applyFill="1" applyBorder="1" applyAlignment="1">
      <alignment horizontal="left" vertical="center" indent="1"/>
    </xf>
    <xf numFmtId="179" fontId="48" fillId="15" borderId="13" xfId="10" applyNumberFormat="1" applyFont="1" applyFill="1" applyBorder="1" applyAlignment="1">
      <alignment horizontal="center" vertical="center"/>
    </xf>
    <xf numFmtId="179" fontId="48" fillId="15" borderId="0" xfId="10" applyNumberFormat="1" applyFont="1" applyFill="1" applyAlignment="1">
      <alignment horizontal="center" vertical="center"/>
    </xf>
    <xf numFmtId="179" fontId="48" fillId="15" borderId="14" xfId="10" applyNumberFormat="1" applyFont="1" applyFill="1" applyBorder="1" applyAlignment="1">
      <alignment horizontal="center" vertical="center"/>
    </xf>
    <xf numFmtId="0" fontId="39" fillId="0" borderId="18" xfId="10" applyFont="1" applyBorder="1" applyAlignment="1">
      <alignment horizontal="center" vertical="center"/>
    </xf>
    <xf numFmtId="0" fontId="52" fillId="0" borderId="0" xfId="20">
      <alignment vertical="top"/>
    </xf>
    <xf numFmtId="0" fontId="43" fillId="0" borderId="0" xfId="12" applyFont="1" applyProtection="1">
      <alignment vertical="top"/>
    </xf>
    <xf numFmtId="0" fontId="52" fillId="0" borderId="0" xfId="21"/>
    <xf numFmtId="0" fontId="53" fillId="0" borderId="0" xfId="10" applyFont="1"/>
    <xf numFmtId="0" fontId="53" fillId="0" borderId="0" xfId="10" applyFont="1" applyAlignment="1">
      <alignment horizontal="center" vertical="center"/>
    </xf>
    <xf numFmtId="0" fontId="53" fillId="0" borderId="0" xfId="10" applyFont="1" applyAlignment="1">
      <alignment horizontal="center"/>
    </xf>
    <xf numFmtId="0" fontId="54" fillId="0" borderId="0" xfId="10" applyFont="1" applyAlignment="1">
      <alignment horizontal="left"/>
    </xf>
    <xf numFmtId="0" fontId="55" fillId="0" borderId="0" xfId="22" applyAlignment="1">
      <alignment horizontal="left"/>
    </xf>
    <xf numFmtId="178" fontId="27" fillId="9" borderId="10" xfId="14" applyFont="1" applyFill="1">
      <alignment horizontal="center" vertical="center"/>
    </xf>
    <xf numFmtId="0" fontId="56" fillId="0" borderId="0" xfId="10" applyFont="1"/>
    <xf numFmtId="0" fontId="39" fillId="0" borderId="0" xfId="10"/>
    <xf numFmtId="0" fontId="39" fillId="15" borderId="0" xfId="10" applyFill="1"/>
    <xf numFmtId="14" fontId="0" fillId="0" borderId="0" xfId="23" applyFont="1">
      <alignment horizontal="center" vertical="center" wrapText="1"/>
    </xf>
    <xf numFmtId="3" fontId="0" fillId="0" borderId="0" xfId="24" applyFont="1" applyFill="1" applyBorder="1">
      <alignment horizontal="center" vertical="center"/>
    </xf>
    <xf numFmtId="3" fontId="39" fillId="0" borderId="0" xfId="24" applyFont="1" applyFill="1" applyBorder="1">
      <alignment horizontal="center" vertical="center"/>
    </xf>
    <xf numFmtId="3" fontId="0" fillId="0" borderId="0" xfId="24" applyFont="1">
      <alignment horizontal="center" vertical="center"/>
    </xf>
    <xf numFmtId="0" fontId="39" fillId="0" borderId="0" xfId="10" applyAlignment="1">
      <alignment wrapText="1"/>
    </xf>
    <xf numFmtId="0" fontId="39" fillId="0" borderId="0" xfId="10" applyFont="1" applyFill="1" applyBorder="1" applyAlignment="1">
      <alignment wrapText="1"/>
    </xf>
    <xf numFmtId="0" fontId="57" fillId="0" borderId="0" xfId="25">
      <alignment vertical="top"/>
    </xf>
    <xf numFmtId="0" fontId="39" fillId="16" borderId="0" xfId="10" applyFont="1" applyFill="1"/>
    <xf numFmtId="0" fontId="58" fillId="16" borderId="0" xfId="26" applyFont="1">
      <alignment wrapText="1"/>
    </xf>
    <xf numFmtId="0" fontId="59" fillId="17" borderId="0" xfId="27" applyFont="1">
      <alignment horizontal="right" vertical="top" indent="1"/>
    </xf>
    <xf numFmtId="0" fontId="58" fillId="18" borderId="0" xfId="26" applyFont="1" applyFill="1">
      <alignment wrapText="1"/>
    </xf>
    <xf numFmtId="176" fontId="21" fillId="0" borderId="1" xfId="1" applyFont="1" applyFill="1" applyBorder="1" applyAlignment="1">
      <alignment horizontal="center" vertical="center" wrapText="1"/>
    </xf>
    <xf numFmtId="176" fontId="1" fillId="0" borderId="7" xfId="1" applyFont="1" applyFill="1" applyBorder="1" applyAlignment="1">
      <alignment horizontal="center" vertical="center"/>
    </xf>
    <xf numFmtId="176" fontId="1" fillId="0" borderId="6" xfId="1" applyFont="1" applyFill="1" applyBorder="1" applyAlignment="1">
      <alignment horizontal="center" vertical="center"/>
    </xf>
    <xf numFmtId="176" fontId="21" fillId="0" borderId="2" xfId="1" applyFont="1" applyFill="1" applyBorder="1" applyAlignment="1">
      <alignment horizontal="center" vertical="center" wrapText="1"/>
    </xf>
    <xf numFmtId="176" fontId="21" fillId="0" borderId="6" xfId="1" applyFont="1" applyFill="1" applyBorder="1" applyAlignment="1">
      <alignment horizontal="center" vertical="center" wrapText="1"/>
    </xf>
    <xf numFmtId="176" fontId="20" fillId="0" borderId="5" xfId="1" applyFont="1" applyFill="1" applyBorder="1" applyAlignment="1">
      <alignment horizontal="center" wrapText="1"/>
    </xf>
    <xf numFmtId="176" fontId="9" fillId="0" borderId="7" xfId="1" applyFont="1" applyFill="1" applyBorder="1" applyAlignment="1">
      <alignment horizontal="center" vertical="center" wrapText="1"/>
    </xf>
    <xf numFmtId="176" fontId="9" fillId="0" borderId="6" xfId="1" applyFont="1" applyFill="1" applyBorder="1" applyAlignment="1">
      <alignment horizontal="center" vertical="center" wrapText="1"/>
    </xf>
    <xf numFmtId="176" fontId="21" fillId="0" borderId="1" xfId="1" applyFont="1" applyFill="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31" fontId="39" fillId="15" borderId="17" xfId="10" applyNumberFormat="1" applyFont="1" applyFill="1" applyBorder="1" applyAlignment="1">
      <alignment horizontal="left" vertical="center" wrapText="1" indent="1"/>
    </xf>
    <xf numFmtId="31" fontId="39" fillId="15" borderId="12" xfId="10" applyNumberFormat="1" applyFont="1" applyFill="1" applyBorder="1" applyAlignment="1">
      <alignment horizontal="left" vertical="center" wrapText="1" indent="1"/>
    </xf>
    <xf numFmtId="31" fontId="39" fillId="15" borderId="16" xfId="10" applyNumberFormat="1" applyFont="1" applyFill="1" applyBorder="1" applyAlignment="1">
      <alignment horizontal="left" vertical="center" wrapText="1" indent="1"/>
    </xf>
    <xf numFmtId="180" fontId="39" fillId="0" borderId="18" xfId="19">
      <alignment horizontal="center" vertical="center"/>
    </xf>
    <xf numFmtId="0" fontId="39" fillId="0" borderId="0" xfId="18">
      <alignment horizontal="right" indent="1"/>
    </xf>
    <xf numFmtId="0" fontId="39" fillId="0" borderId="13" xfId="18" applyBorder="1">
      <alignment horizontal="right" indent="1"/>
    </xf>
    <xf numFmtId="0" fontId="39" fillId="0" borderId="15" xfId="10" applyFont="1" applyBorder="1"/>
  </cellXfs>
  <cellStyles count="28">
    <cellStyle name="0,0_x000d__x000a_NA_x000d__x000a_" xfId="1"/>
    <cellStyle name="Normal_Classeur2_Sample Survey" xfId="5"/>
    <cellStyle name="z隐藏图表文本" xfId="26"/>
    <cellStyle name="z隐藏文本" xfId="11"/>
    <cellStyle name="百分比 2" xfId="13"/>
    <cellStyle name="标题 1 2" xfId="25"/>
    <cellStyle name="标题 1 3" xfId="21"/>
    <cellStyle name="标题 2 3" xfId="20"/>
    <cellStyle name="标题 3 2" xfId="27"/>
    <cellStyle name="标题 3 3" xfId="18"/>
    <cellStyle name="标题 6" xfId="22"/>
    <cellStyle name="常规" xfId="0" builtinId="0"/>
    <cellStyle name="常规 2" xfId="6"/>
    <cellStyle name="常规 2 2" xfId="3"/>
    <cellStyle name="常规 2 3" xfId="4"/>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299">
    <dxf>
      <numFmt numFmtId="0" formatCode="Genera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Microsoft YaHei UI"/>
        <scheme val="none"/>
      </font>
      <fill>
        <patternFill patternType="none">
          <fgColor indexed="64"/>
          <bgColor indexed="65"/>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TableStyleMedium2" defaultPivotStyle="PivotStyleLight16">
    <tableStyle name="产品路线图表格样式" pivot="0" count="3">
      <tableStyleElement type="wholeTable" dxfId="298"/>
      <tableStyleElement type="headerRow" dxfId="297"/>
      <tableStyleElement type="firstRowStripe" dxfId="29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[1]图表数据!$D$3</c:f>
              <c:strCache>
                <c:ptCount val="1"/>
                <c:pt idx="0">
                  <c:v>位置​​</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tx>
                <c:rich>
                  <a:bodyPr/>
                  <a:lstStyle/>
                  <a:p>
                    <a:fld id="{856F889D-9454-47C9-9CF8-E668C851B20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5F7-4F80-A381-330EB5D8C96E}"/>
                </c:ext>
              </c:extLst>
            </c:dLbl>
            <c:dLbl>
              <c:idx val="1"/>
              <c:tx>
                <c:rich>
                  <a:bodyPr/>
                  <a:lstStyle/>
                  <a:p>
                    <a:fld id="{DB518E67-F94E-4CCA-B9CD-09C12E1B68B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F7-4F80-A381-330EB5D8C96E}"/>
                </c:ext>
              </c:extLst>
            </c:dLbl>
            <c:dLbl>
              <c:idx val="2"/>
              <c:tx>
                <c:rich>
                  <a:bodyPr/>
                  <a:lstStyle/>
                  <a:p>
                    <a:fld id="{4F376496-94B4-41A0-8A1F-B2FF6AA0963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7-4F80-A381-330EB5D8C96E}"/>
                </c:ext>
              </c:extLst>
            </c:dLbl>
            <c:dLbl>
              <c:idx val="3"/>
              <c:tx>
                <c:rich>
                  <a:bodyPr/>
                  <a:lstStyle/>
                  <a:p>
                    <a:fld id="{E6BB7B14-C09C-4FF3-B226-36C47B9FBFC5}"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7-4F80-A381-330EB5D8C96E}"/>
                </c:ext>
              </c:extLst>
            </c:dLbl>
            <c:dLbl>
              <c:idx val="4"/>
              <c:tx>
                <c:rich>
                  <a:bodyPr/>
                  <a:lstStyle/>
                  <a:p>
                    <a:fld id="{8B1EC4D1-EF5F-48CD-BB4D-04D4B3CDD9A1}"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7-4F80-A381-330EB5D8C96E}"/>
                </c:ext>
              </c:extLst>
            </c:dLbl>
            <c:dLbl>
              <c:idx val="5"/>
              <c:tx>
                <c:rich>
                  <a:bodyPr/>
                  <a:lstStyle/>
                  <a:p>
                    <a:fld id="{9D207477-F528-45CF-B61A-4E22AB160E92}"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7-4F80-A381-330EB5D8C96E}"/>
                </c:ext>
              </c:extLst>
            </c:dLbl>
            <c:dLbl>
              <c:idx val="6"/>
              <c:tx>
                <c:rich>
                  <a:bodyPr/>
                  <a:lstStyle/>
                  <a:p>
                    <a:fld id="{CDFE09F3-78C5-4AD3-9CFE-8045FB4937A5}"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7-4F80-A381-330EB5D8C96E}"/>
                </c:ext>
              </c:extLst>
            </c:dLbl>
            <c:dLbl>
              <c:idx val="7"/>
              <c:tx>
                <c:rich>
                  <a:bodyPr/>
                  <a:lstStyle/>
                  <a:p>
                    <a:fld id="{691926F4-18E7-4EDA-8572-D8583661C01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7-4F80-A381-330EB5D8C96E}"/>
                </c:ext>
              </c:extLst>
            </c:dLbl>
            <c:dLbl>
              <c:idx val="8"/>
              <c:tx>
                <c:rich>
                  <a:bodyPr/>
                  <a:lstStyle/>
                  <a:p>
                    <a:fld id="{A885A8C5-CA63-4D97-983C-D196C431048F}"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7-4F80-A381-330EB5D8C96E}"/>
                </c:ext>
              </c:extLst>
            </c:dLbl>
            <c:dLbl>
              <c:idx val="9"/>
              <c:layout>
                <c:manualLayout>
                  <c:x val="1.2099214703802305E-3"/>
                  <c:y val="-4.456824512534819E-2"/>
                </c:manualLayout>
              </c:layout>
              <c:tx>
                <c:rich>
                  <a:bodyPr/>
                  <a:lstStyle/>
                  <a:p>
                    <a:fld id="{4780ABD6-7FB4-4B56-B432-B152F8209EE6}" type="CELLRANGE">
                      <a:rPr lang="en-US" altLang="zh-CN"/>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5F7-4F80-A381-330EB5D8C96E}"/>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icrosoft YaHei UI" panose="020B0503020204020204" pitchFamily="34" charset="-122"/>
                    <a:ea typeface="Microsoft YaHei UI" panose="020B0503020204020204" pitchFamily="34" charset="-122"/>
                    <a:cs typeface="+mn-cs"/>
                  </a:defRPr>
                </a:pPr>
                <a:endParaRPr lang="zh-CN"/>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[1]图表数据!$B$4:$C$13</c:f>
              <c:multiLvlStrCache>
                <c:ptCount val="10"/>
                <c:lvl>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lvl>
                <c:lvl>
                  <c:pt idx="0">
                    <c:v>43647</c:v>
                  </c:pt>
                  <c:pt idx="1">
                    <c:v>43727</c:v>
                  </c:pt>
                  <c:pt idx="2">
                    <c:v>43767</c:v>
                  </c:pt>
                  <c:pt idx="3">
                    <c:v>43807</c:v>
                  </c:pt>
                  <c:pt idx="4">
                    <c:v>43847</c:v>
                  </c:pt>
                  <c:pt idx="5">
                    <c:v>43897</c:v>
                  </c:pt>
                  <c:pt idx="6">
                    <c:v>43917</c:v>
                  </c:pt>
                  <c:pt idx="7">
                    <c:v>43947</c:v>
                  </c:pt>
                  <c:pt idx="8">
                    <c:v>43962</c:v>
                  </c:pt>
                  <c:pt idx="9">
                    <c:v>43963</c:v>
                  </c:pt>
                </c:lvl>
              </c:multiLvlStrCache>
            </c:multiLvlStrRef>
          </c:xVal>
          <c:yVal>
            <c:numRef>
              <c:f>[1]图表数据!$D$4:$D$13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[1]图表数据!$C$4:$C$13</c15:f>
                <c15:dlblRangeCache>
                  <c:ptCount val="10"/>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15:dlblRangeCache>
              </c15:datalabelsRange>
            </c:ext>
            <c:ext xmlns:c16="http://schemas.microsoft.com/office/drawing/2014/chart" uri="{C3380CC4-5D6E-409C-BE32-E72D297353CC}">
              <c16:uniqueId val="{0000000A-A5F7-4F80-A381-330EB5D8C96E}"/>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CN"/>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Scroll" dx="22" fmlaLink="[1]图表数据!$B$17" horiz="1" max="10" page="4"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33131</xdr:colOff>
      <xdr:row>0</xdr:row>
      <xdr:rowOff>24850</xdr:rowOff>
    </xdr:from>
    <xdr:to>
      <xdr:col>1</xdr:col>
      <xdr:colOff>104285</xdr:colOff>
      <xdr:row>0</xdr:row>
      <xdr:rowOff>348850</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20" y="24765"/>
          <a:ext cx="109029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238125" y="9526"/>
    <xdr:ext cx="10496549" cy="6838950"/>
    <xdr:graphicFrame macro="">
      <xdr:nvGraphicFramePr>
        <xdr:cNvPr id="2" name="图表 1" descr="在时间线上方或下方以及沿线绘制里程碑的散点图。">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twoCellAnchor editAs="absolute">
        <xdr:from>
          <xdr:col>0</xdr:col>
          <xdr:colOff>9525</xdr:colOff>
          <xdr:row>2</xdr:row>
          <xdr:rowOff>209550</xdr:rowOff>
        </xdr:from>
        <xdr:to>
          <xdr:col>3</xdr:col>
          <xdr:colOff>4705350</xdr:colOff>
          <xdr:row>4</xdr:row>
          <xdr:rowOff>38100</xdr:rowOff>
        </xdr:to>
        <xdr:sp macro="" textlink="">
          <xdr:nvSpPr>
            <xdr:cNvPr id="15361" name="滚动条 2" descr="Scrollbar to navigate the roadmap" hidden="1">
              <a:extLst>
                <a:ext uri="{63B3BB69-23CF-44E3-9099-C40C66FF867C}">
                  <a14:compatExt spid="_x0000_s15361"/>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19049" y="1038225"/>
    <xdr:ext cx="11815952" cy="4081195"/>
    <xdr:grpSp>
      <xdr:nvGrpSpPr>
        <xdr:cNvPr id="4" name="组 43" descr="沿路线图时间线的里程碑日期标记">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5" name="组 34" descr="沿路线图时间线的里程碑日期标记">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1]图表数据!C26">
          <xdr:nvSpPr>
            <xdr:cNvPr id="22" name="圆：空心 11" descr="环形中的里程碑日期。">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EDA3A338-67AB-4920-99D9-B3A1BE175CDC}"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5月12日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23" name="组 19" descr="沿路线图时间线的里程碑日期标记">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24" name="流程图：连接线 18" descr="装饰圆">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5" name="流程图：连接线 22" descr="装饰圆">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流程图：连接线 23" descr="装饰圆">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流程图：连接线 25" descr="装饰圆">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8" name="流程图：连接线 26" descr="装饰圆">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6" name="组 42" descr="沿路线图时间线的里程碑日期标记">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1]图表数据!C24">
          <xdr:nvSpPr>
            <xdr:cNvPr id="15" name="圆：空心 16" descr="环形中的里程碑日期。">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60C87DDA-A70A-4557-99D2-718C0DB02B25}"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7月1日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16" name="组 28" descr="沿路线图时间线的里程碑日期标记">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17" name="流程图：连接线 29" descr="装饰圆">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8" name="流程图：连接线 30" descr="装饰圆">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9" name="流程图：连接线 31" descr="装饰圆">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0" name="流程图：连接线 32" descr="装饰圆">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1" name="流程图：连接线 33" descr="装饰圆">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7" name="组 41" descr="沿路线图时间线的里程碑日期标记">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1]图表数据!C25">
          <xdr:nvSpPr>
            <xdr:cNvPr id="8" name="圆：空心 6" descr="沿路线图时间线的里程碑日期标记">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199D44F3-1370-48B7-9068-2DB846DC066A}"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3月7日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9" name="组 35" descr="沿路线图时间线的里程碑日期标记">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10" name="流程图：连接线 36" descr="装饰圆">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1" name="流程图：连接线 37" descr="装饰圆">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2" name="流程图：连接线 38" descr="装饰圆">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3" name="流程图：连接线 39" descr="装饰圆">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4" name="流程图：连接线 40" descr="装饰圆">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关于"/>
      <sheetName val="图表数据"/>
    </sheetNames>
    <sheetDataSet>
      <sheetData sheetId="0"/>
      <sheetData sheetId="1">
        <row r="3">
          <cell r="D3" t="str">
            <v>位置​​</v>
          </cell>
        </row>
        <row r="4">
          <cell r="B4">
            <v>43647</v>
          </cell>
          <cell r="C4" t="str">
            <v>启动</v>
          </cell>
          <cell r="D4">
            <v>1</v>
          </cell>
        </row>
        <row r="5">
          <cell r="B5">
            <v>43727</v>
          </cell>
          <cell r="C5" t="str">
            <v>基础数据结构达到60%成熟度</v>
          </cell>
          <cell r="D5">
            <v>-2</v>
          </cell>
        </row>
        <row r="6">
          <cell r="B6">
            <v>43767</v>
          </cell>
          <cell r="C6" t="str">
            <v>OpenGL渲染基础达成
成熟度50%</v>
          </cell>
          <cell r="D6">
            <v>1</v>
          </cell>
        </row>
        <row r="7">
          <cell r="B7">
            <v>43807</v>
          </cell>
          <cell r="C7" t="str">
            <v>媒体相关：动画，画刷达60%成熟度</v>
          </cell>
          <cell r="D7">
            <v>-1</v>
          </cell>
        </row>
        <row r="8">
          <cell r="B8">
            <v>43847</v>
          </cell>
          <cell r="C8" t="str">
            <v>高级用户接口GUI准备好基础类型搭建</v>
          </cell>
          <cell r="D8">
            <v>-0.5</v>
          </cell>
        </row>
        <row r="9">
          <cell r="B9">
            <v>43897</v>
          </cell>
          <cell r="C9" t="str">
            <v>专注控件实现
常用控件
模板应用
控件成熟度50%</v>
          </cell>
          <cell r="D9">
            <v>2</v>
          </cell>
        </row>
        <row r="10">
          <cell r="B10">
            <v>43917</v>
          </cell>
          <cell r="C10" t="str">
            <v>button等单内容控件成熟度60%</v>
          </cell>
          <cell r="D10">
            <v>0.5</v>
          </cell>
        </row>
        <row r="11">
          <cell r="B11">
            <v>43947</v>
          </cell>
          <cell r="C11" t="str">
            <v>列表等多项控件成熟度60%</v>
          </cell>
          <cell r="D11">
            <v>-1</v>
          </cell>
        </row>
        <row r="12">
          <cell r="B12">
            <v>43962</v>
          </cell>
          <cell r="C12" t="str">
            <v>其他常用控件</v>
          </cell>
          <cell r="D12">
            <v>0.5</v>
          </cell>
        </row>
        <row r="13">
          <cell r="B13">
            <v>43963</v>
          </cell>
          <cell r="C13" t="str">
            <v>校验整个框架成熟度，为Studio项目做准备</v>
          </cell>
          <cell r="D13">
            <v>-2</v>
          </cell>
        </row>
        <row r="20">
          <cell r="B20">
            <v>2019</v>
          </cell>
        </row>
        <row r="21">
          <cell r="B21">
            <v>2020</v>
          </cell>
        </row>
        <row r="22">
          <cell r="B22">
            <v>2020</v>
          </cell>
        </row>
      </sheetData>
    </sheetDataSet>
  </externalBook>
</externalLink>
</file>

<file path=xl/tables/table1.xml><?xml version="1.0" encoding="utf-8"?>
<table xmlns="http://schemas.openxmlformats.org/spreadsheetml/2006/main" id="1" name="路线图里程碑" displayName="路线图里程碑" ref="B2:E26">
  <autoFilter ref="B2:E26"/>
  <tableColumns count="4">
    <tableColumn id="4" name="编号" totalsRowLabel="汇总" totalsRowDxfId="1">
      <calculatedColumnFormula>ROW($A1)</calculatedColumnFormula>
    </tableColumn>
    <tableColumn id="5" name="位置​​"/>
    <tableColumn id="1" name="日期" totalsRowDxfId="0" dataCellStyle="日期"/>
    <tableColumn id="2" name="里程碑" totalsRowFunction="count"/>
  </tableColumns>
  <tableStyleInfo name="产品路线图表格样式" showFirstColumn="1" showLastColumn="0" showRowStripes="1" showColumnStripes="0"/>
  <extLst>
    <ext xmlns:x14="http://schemas.microsoft.com/office/spreadsheetml/2009/9/main" uri="{504A1905-F514-4f6f-8877-14C23A59335A}">
      <x14:table altTextSummary="使用数字在 1 到 3 之间的正负整数（指明里程碑应在时间线上方还是下方）输入此表中记录里程碑的位置。输入每个位置的日期和相应里程碑。"/>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G30"/>
  <sheetViews>
    <sheetView showGridLines="0" zoomScale="115" zoomScaleNormal="115" workbookViewId="0">
      <selection activeCell="I3" sqref="I3"/>
    </sheetView>
  </sheetViews>
  <sheetFormatPr defaultColWidth="9" defaultRowHeight="14.25" x14ac:dyDescent="0.15"/>
  <cols>
    <col min="1" max="1" width="13.375" style="43" customWidth="1"/>
    <col min="2" max="2" width="11.375" style="43" customWidth="1"/>
    <col min="3" max="3" width="13.375" style="43" customWidth="1"/>
    <col min="4" max="4" width="3.375" style="43" customWidth="1"/>
    <col min="5" max="5" width="14.75" style="43" customWidth="1"/>
    <col min="6" max="6" width="11.5" style="43" customWidth="1"/>
    <col min="7" max="7" width="14.625" style="43" customWidth="1"/>
    <col min="8" max="16384" width="9" style="43"/>
  </cols>
  <sheetData>
    <row r="1" spans="1:7" ht="45" customHeight="1" x14ac:dyDescent="0.3">
      <c r="A1" s="159" t="s">
        <v>0</v>
      </c>
      <c r="B1" s="159"/>
      <c r="C1" s="159"/>
      <c r="D1" s="159"/>
      <c r="E1" s="159"/>
      <c r="F1" s="159"/>
      <c r="G1" s="159"/>
    </row>
    <row r="2" spans="1:7" ht="30" customHeight="1" x14ac:dyDescent="0.15">
      <c r="A2" s="157" t="s">
        <v>1</v>
      </c>
      <c r="B2" s="158"/>
      <c r="C2" s="160"/>
      <c r="D2" s="161"/>
      <c r="E2" s="157" t="s">
        <v>2</v>
      </c>
      <c r="F2" s="158"/>
      <c r="G2" s="44"/>
    </row>
    <row r="3" spans="1:7" ht="30" customHeight="1" x14ac:dyDescent="0.15">
      <c r="A3" s="157" t="s">
        <v>3</v>
      </c>
      <c r="B3" s="158"/>
      <c r="C3" s="155"/>
      <c r="D3" s="156"/>
      <c r="E3" s="154" t="s">
        <v>4</v>
      </c>
      <c r="F3" s="162"/>
      <c r="G3" s="46"/>
    </row>
    <row r="4" spans="1:7" ht="30" customHeight="1" x14ac:dyDescent="0.15">
      <c r="A4" s="154" t="s">
        <v>5</v>
      </c>
      <c r="B4" s="154"/>
      <c r="C4" s="155"/>
      <c r="D4" s="156"/>
      <c r="E4" s="157" t="s">
        <v>6</v>
      </c>
      <c r="F4" s="158"/>
      <c r="G4" s="46"/>
    </row>
    <row r="5" spans="1:7" ht="9" customHeight="1" x14ac:dyDescent="0.15">
      <c r="A5" s="47"/>
      <c r="B5" s="47"/>
      <c r="C5" s="48"/>
      <c r="D5" s="48"/>
      <c r="E5" s="47"/>
      <c r="F5" s="47"/>
      <c r="G5" s="48"/>
    </row>
    <row r="6" spans="1:7" s="42" customFormat="1" ht="24.75" customHeight="1" x14ac:dyDescent="0.15">
      <c r="A6" s="49" t="s">
        <v>7</v>
      </c>
      <c r="B6" s="50"/>
      <c r="F6" s="51"/>
      <c r="G6" s="52"/>
    </row>
    <row r="7" spans="1:7" ht="27" customHeight="1" x14ac:dyDescent="0.15">
      <c r="A7" s="45" t="s">
        <v>8</v>
      </c>
      <c r="B7" s="45" t="s">
        <v>9</v>
      </c>
      <c r="C7" s="45" t="s">
        <v>10</v>
      </c>
      <c r="D7" s="53"/>
      <c r="E7" s="45" t="s">
        <v>8</v>
      </c>
      <c r="F7" s="45" t="s">
        <v>9</v>
      </c>
      <c r="G7" s="45" t="s">
        <v>10</v>
      </c>
    </row>
    <row r="8" spans="1:7" ht="22.5" customHeight="1" x14ac:dyDescent="0.15">
      <c r="A8" s="54"/>
      <c r="B8" s="54"/>
      <c r="C8" s="54"/>
      <c r="D8" s="55"/>
      <c r="E8" s="54"/>
      <c r="F8" s="54"/>
      <c r="G8" s="54"/>
    </row>
    <row r="9" spans="1:7" ht="22.5" customHeight="1" x14ac:dyDescent="0.15">
      <c r="A9" s="54"/>
      <c r="B9" s="54"/>
      <c r="C9" s="54"/>
      <c r="D9" s="55"/>
      <c r="E9" s="54"/>
      <c r="F9" s="54"/>
      <c r="G9" s="54"/>
    </row>
    <row r="10" spans="1:7" ht="22.5" customHeight="1" x14ac:dyDescent="0.15">
      <c r="A10" s="54"/>
      <c r="B10" s="54"/>
      <c r="C10" s="54"/>
      <c r="D10" s="55"/>
      <c r="E10" s="54"/>
      <c r="F10" s="54"/>
      <c r="G10" s="54"/>
    </row>
    <row r="11" spans="1:7" ht="22.5" customHeight="1" x14ac:dyDescent="0.15">
      <c r="A11" s="54"/>
      <c r="B11" s="54"/>
      <c r="C11" s="54"/>
      <c r="D11" s="55"/>
      <c r="E11" s="54"/>
      <c r="F11" s="54"/>
      <c r="G11" s="54"/>
    </row>
    <row r="12" spans="1:7" ht="22.5" customHeight="1" x14ac:dyDescent="0.15">
      <c r="A12" s="54"/>
      <c r="B12" s="54"/>
      <c r="C12" s="54"/>
      <c r="D12" s="55"/>
      <c r="E12" s="54"/>
      <c r="F12" s="54"/>
      <c r="G12" s="54"/>
    </row>
    <row r="13" spans="1:7" ht="22.5" customHeight="1" x14ac:dyDescent="0.15">
      <c r="A13" s="54"/>
      <c r="B13" s="54"/>
      <c r="C13" s="54"/>
      <c r="D13" s="55"/>
      <c r="E13" s="54"/>
      <c r="F13" s="54"/>
      <c r="G13" s="54"/>
    </row>
    <row r="14" spans="1:7" ht="22.5" customHeight="1" x14ac:dyDescent="0.15">
      <c r="A14" s="54"/>
      <c r="B14" s="54"/>
      <c r="C14" s="54"/>
      <c r="D14" s="55"/>
      <c r="E14" s="54"/>
      <c r="F14" s="54"/>
      <c r="G14" s="54"/>
    </row>
    <row r="15" spans="1:7" ht="22.5" customHeight="1" x14ac:dyDescent="0.15">
      <c r="A15" s="54"/>
      <c r="B15" s="54"/>
      <c r="C15" s="54"/>
      <c r="D15" s="55"/>
      <c r="E15" s="54"/>
      <c r="F15" s="54"/>
      <c r="G15" s="54"/>
    </row>
    <row r="16" spans="1:7" ht="22.5" customHeight="1" x14ac:dyDescent="0.15">
      <c r="A16" s="54"/>
      <c r="B16" s="54"/>
      <c r="C16" s="54"/>
      <c r="D16" s="55"/>
      <c r="E16" s="54"/>
      <c r="F16" s="54"/>
      <c r="G16" s="54"/>
    </row>
    <row r="17" spans="1:7" ht="22.5" customHeight="1" x14ac:dyDescent="0.15">
      <c r="A17" s="54"/>
      <c r="B17" s="54"/>
      <c r="C17" s="54"/>
      <c r="D17" s="55"/>
      <c r="E17" s="54"/>
      <c r="F17" s="54"/>
      <c r="G17" s="54"/>
    </row>
    <row r="18" spans="1:7" ht="22.5" customHeight="1" x14ac:dyDescent="0.15">
      <c r="A18" s="54"/>
      <c r="B18" s="54"/>
      <c r="C18" s="54"/>
      <c r="D18" s="55"/>
      <c r="E18" s="54"/>
      <c r="F18" s="54"/>
      <c r="G18" s="54"/>
    </row>
    <row r="19" spans="1:7" ht="22.5" customHeight="1" x14ac:dyDescent="0.15">
      <c r="A19" s="54"/>
      <c r="B19" s="54"/>
      <c r="C19" s="54"/>
      <c r="D19" s="55"/>
      <c r="E19" s="54"/>
      <c r="F19" s="54"/>
      <c r="G19" s="54"/>
    </row>
    <row r="20" spans="1:7" ht="22.5" customHeight="1" x14ac:dyDescent="0.15">
      <c r="A20" s="54"/>
      <c r="B20" s="54"/>
      <c r="C20" s="54"/>
      <c r="D20" s="55"/>
      <c r="E20" s="54"/>
      <c r="F20" s="54"/>
      <c r="G20" s="54"/>
    </row>
    <row r="21" spans="1:7" ht="22.5" customHeight="1" x14ac:dyDescent="0.15">
      <c r="A21" s="54"/>
      <c r="B21" s="54"/>
      <c r="C21" s="54"/>
      <c r="D21" s="55"/>
      <c r="E21" s="54"/>
      <c r="F21" s="54"/>
      <c r="G21" s="54"/>
    </row>
    <row r="22" spans="1:7" ht="22.5" customHeight="1" x14ac:dyDescent="0.15">
      <c r="A22" s="54"/>
      <c r="B22" s="54"/>
      <c r="C22" s="54"/>
      <c r="D22" s="55"/>
      <c r="E22" s="54"/>
      <c r="F22" s="54"/>
      <c r="G22" s="54"/>
    </row>
    <row r="23" spans="1:7" ht="22.5" customHeight="1" x14ac:dyDescent="0.15">
      <c r="A23" s="54"/>
      <c r="B23" s="54"/>
      <c r="C23" s="54"/>
      <c r="D23" s="55"/>
      <c r="E23" s="54"/>
      <c r="F23" s="54"/>
      <c r="G23" s="54"/>
    </row>
    <row r="24" spans="1:7" ht="22.5" customHeight="1" x14ac:dyDescent="0.15">
      <c r="A24" s="54"/>
      <c r="B24" s="54"/>
      <c r="C24" s="54"/>
      <c r="D24" s="55"/>
      <c r="E24" s="54"/>
      <c r="F24" s="54"/>
      <c r="G24" s="54"/>
    </row>
    <row r="25" spans="1:7" ht="22.5" customHeight="1" x14ac:dyDescent="0.15">
      <c r="A25" s="54"/>
      <c r="B25" s="54"/>
      <c r="C25" s="54"/>
      <c r="D25" s="55"/>
      <c r="E25" s="54"/>
      <c r="F25" s="54"/>
      <c r="G25" s="54"/>
    </row>
    <row r="26" spans="1:7" ht="22.5" customHeight="1" x14ac:dyDescent="0.15">
      <c r="A26" s="54"/>
      <c r="B26" s="54"/>
      <c r="C26" s="54"/>
      <c r="D26" s="55"/>
      <c r="E26" s="54"/>
      <c r="F26" s="54"/>
      <c r="G26" s="54"/>
    </row>
    <row r="27" spans="1:7" ht="22.5" customHeight="1" x14ac:dyDescent="0.15">
      <c r="A27" s="54"/>
      <c r="B27" s="54"/>
      <c r="C27" s="54"/>
      <c r="D27" s="55"/>
      <c r="E27" s="54"/>
      <c r="F27" s="54"/>
      <c r="G27" s="54"/>
    </row>
    <row r="28" spans="1:7" ht="22.5" customHeight="1" x14ac:dyDescent="0.15">
      <c r="A28" s="54"/>
      <c r="B28" s="54"/>
      <c r="C28" s="54"/>
      <c r="D28" s="55"/>
      <c r="E28" s="56"/>
      <c r="F28" s="57" t="s">
        <v>11</v>
      </c>
      <c r="G28" s="58" t="s">
        <v>12</v>
      </c>
    </row>
    <row r="29" spans="1:7" ht="22.5" customHeight="1" x14ac:dyDescent="0.15">
      <c r="A29" s="54"/>
      <c r="B29" s="54"/>
      <c r="C29" s="54"/>
      <c r="D29" s="55"/>
      <c r="E29" s="56"/>
      <c r="F29" s="57" t="s">
        <v>13</v>
      </c>
      <c r="G29" s="58" t="s">
        <v>12</v>
      </c>
    </row>
    <row r="30" spans="1:7" ht="15" customHeight="1" x14ac:dyDescent="0.15"/>
  </sheetData>
  <mergeCells count="10">
    <mergeCell ref="A4:B4"/>
    <mergeCell ref="C4:D4"/>
    <mergeCell ref="E4:F4"/>
    <mergeCell ref="A1:G1"/>
    <mergeCell ref="A2:B2"/>
    <mergeCell ref="C2:D2"/>
    <mergeCell ref="E2:F2"/>
    <mergeCell ref="A3:B3"/>
    <mergeCell ref="C3:D3"/>
    <mergeCell ref="E3:F3"/>
  </mergeCells>
  <phoneticPr fontId="40" type="noConversion"/>
  <pageMargins left="0.70763888888888904" right="0.70763888888888904" top="0.74791666666666701" bottom="0.74791666666666701" header="0.31388888888888899" footer="0.31388888888888899"/>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43913</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33</v>
      </c>
      <c r="D4" s="13" t="s">
        <v>34</v>
      </c>
      <c r="E4" s="30" t="s">
        <v>35</v>
      </c>
      <c r="F4" s="30">
        <v>43640</v>
      </c>
      <c r="G4" s="30">
        <v>43668</v>
      </c>
      <c r="H4" s="30">
        <v>43676</v>
      </c>
      <c r="I4" s="14">
        <v>43696</v>
      </c>
      <c r="J4" s="13" t="str">
        <f t="shared" ref="J4" ca="1" si="0">IF(AND(I4&lt;=$C$2,I4&lt;&gt;0),"DONE",IF(K4&lt;0,"OVERDUE",IF(AND(K4="",O4&lt;0),"OVERDUE","IN TIME")))</f>
        <v>DONE</v>
      </c>
      <c r="K4" s="13">
        <f t="shared" ref="K4" ca="1" si="1">IF(H4&gt;0,H4-$C$2,"")</f>
        <v>-237</v>
      </c>
      <c r="L4" s="13">
        <f t="shared" ref="L4" ca="1" si="2">IF(J4="OVERDUE",1,0)</f>
        <v>0</v>
      </c>
      <c r="M4" s="13">
        <f t="shared" ref="M4" ca="1" si="3">IF(J4="IN TIME",1,0)</f>
        <v>0</v>
      </c>
      <c r="N4" s="13">
        <f t="shared" ref="N4" ca="1" si="4">IF(J4="DONE",1,0)</f>
        <v>1</v>
      </c>
      <c r="O4" s="13">
        <f t="shared" ref="O4" ca="1" si="5">IF(G4&gt;0,G4-$C$2,"")</f>
        <v>-245</v>
      </c>
      <c r="P4" s="41" t="s">
        <v>36</v>
      </c>
      <c r="Q4" s="27"/>
      <c r="R4" s="27"/>
      <c r="S4" s="27"/>
      <c r="T4" s="27"/>
      <c r="U4" s="27"/>
      <c r="V4" s="27"/>
      <c r="W4" s="27"/>
      <c r="X4" s="27"/>
      <c r="Y4" s="27"/>
      <c r="Z4" s="27"/>
      <c r="AA4" s="27"/>
      <c r="AB4" s="27"/>
      <c r="AC4" s="27"/>
      <c r="AD4" s="27"/>
    </row>
    <row r="5" spans="1:246" ht="82.5" customHeight="1" x14ac:dyDescent="0.15">
      <c r="A5" s="15">
        <v>235</v>
      </c>
      <c r="B5" s="13"/>
      <c r="C5" s="28" t="s">
        <v>37</v>
      </c>
      <c r="D5" s="30" t="s">
        <v>38</v>
      </c>
      <c r="E5" s="30" t="s">
        <v>39</v>
      </c>
      <c r="F5" s="30">
        <v>43640</v>
      </c>
      <c r="G5" s="30">
        <v>43646</v>
      </c>
      <c r="H5" s="30">
        <v>43653</v>
      </c>
      <c r="I5" s="30">
        <v>43661</v>
      </c>
      <c r="J5" s="13" t="str">
        <f t="shared" ref="J5" ca="1" si="6">IF(AND(I5&lt;=$C$2,I5&lt;&gt;0),"DONE",IF(K5&lt;0,"OVERDUE",IF(AND(K5="",O5&lt;0),"OVERDUE","IN TIME")))</f>
        <v>DONE</v>
      </c>
      <c r="K5" s="13">
        <f t="shared" ref="K5" ca="1" si="7">IF(H5&gt;0,H5-$C$2,"")</f>
        <v>-260</v>
      </c>
      <c r="L5" s="13">
        <f t="shared" ref="L5" ca="1" si="8">IF(J5="OVERDUE",1,0)</f>
        <v>0</v>
      </c>
      <c r="M5" s="13">
        <f t="shared" ref="M5" ca="1" si="9">IF(J5="IN TIME",1,0)</f>
        <v>0</v>
      </c>
      <c r="N5" s="13">
        <f t="shared" ref="N5" ca="1" si="10">IF(J5="DONE",1,0)</f>
        <v>1</v>
      </c>
      <c r="O5" s="13">
        <f t="shared" ref="O5" ca="1" si="11">IF(G5&gt;0,G5-$C$2,"")</f>
        <v>-267</v>
      </c>
      <c r="P5" s="41" t="s">
        <v>40</v>
      </c>
      <c r="Q5" s="27"/>
      <c r="R5" s="27"/>
      <c r="S5" s="27"/>
      <c r="T5" s="27"/>
      <c r="U5" s="27"/>
      <c r="V5" s="27"/>
      <c r="W5" s="27"/>
      <c r="X5" s="27"/>
      <c r="Y5" s="27"/>
      <c r="Z5" s="27"/>
      <c r="AA5" s="27"/>
      <c r="AB5" s="27"/>
      <c r="AC5" s="27"/>
      <c r="AD5" s="27"/>
    </row>
    <row r="6" spans="1:246" ht="50.25" customHeight="1" x14ac:dyDescent="0.15">
      <c r="A6" s="15">
        <v>236</v>
      </c>
      <c r="B6" s="13"/>
      <c r="C6" s="28" t="s">
        <v>41</v>
      </c>
      <c r="D6" s="30" t="s">
        <v>38</v>
      </c>
      <c r="E6" s="30" t="s">
        <v>35</v>
      </c>
      <c r="F6" s="30">
        <v>43640</v>
      </c>
      <c r="G6" s="30">
        <v>43640</v>
      </c>
      <c r="H6" s="30">
        <v>43647</v>
      </c>
      <c r="I6" s="30">
        <v>43654</v>
      </c>
      <c r="J6" s="13" t="str">
        <f t="shared" ref="J6" ca="1" si="12">IF(AND(I6&lt;=$C$2,I6&lt;&gt;0),"DONE",IF(K6&lt;0,"OVERDUE",IF(AND(K6="",O6&lt;0),"OVERDUE","IN TIME")))</f>
        <v>DONE</v>
      </c>
      <c r="K6" s="13">
        <f t="shared" ref="K6" ca="1" si="13">IF(H6&gt;0,H6-$C$2,"")</f>
        <v>-266</v>
      </c>
      <c r="L6" s="13">
        <f t="shared" ref="L6" ca="1" si="14">IF(J6="OVERDUE",1,0)</f>
        <v>0</v>
      </c>
      <c r="M6" s="13">
        <f t="shared" ref="M6" ca="1" si="15">IF(J6="IN TIME",1,0)</f>
        <v>0</v>
      </c>
      <c r="N6" s="13">
        <f t="shared" ref="N6" ca="1" si="16">IF(J6="DONE",1,0)</f>
        <v>1</v>
      </c>
      <c r="O6" s="13">
        <f t="shared" ref="O6" ca="1" si="17">IF(G6&gt;0,G6-$C$2,"")</f>
        <v>-273</v>
      </c>
      <c r="P6" s="41" t="s">
        <v>42</v>
      </c>
      <c r="Q6" s="27"/>
      <c r="R6" s="27"/>
      <c r="S6" s="27"/>
      <c r="T6" s="27"/>
      <c r="U6" s="27"/>
      <c r="V6" s="27"/>
      <c r="W6" s="27"/>
      <c r="X6" s="27"/>
      <c r="Y6" s="27"/>
      <c r="Z6" s="27"/>
      <c r="AA6" s="27"/>
      <c r="AB6" s="27"/>
      <c r="AC6" s="27"/>
      <c r="AD6" s="27"/>
    </row>
    <row r="7" spans="1:246" ht="74.25" customHeight="1" x14ac:dyDescent="0.15">
      <c r="A7" s="15">
        <v>237</v>
      </c>
      <c r="B7" s="13"/>
      <c r="C7" s="28" t="s">
        <v>43</v>
      </c>
      <c r="D7" s="30" t="s">
        <v>38</v>
      </c>
      <c r="E7" s="30" t="s">
        <v>35</v>
      </c>
      <c r="F7" s="30">
        <v>43640</v>
      </c>
      <c r="G7" s="30">
        <v>43648</v>
      </c>
      <c r="H7" s="30">
        <v>43661</v>
      </c>
      <c r="I7" s="30">
        <v>43661</v>
      </c>
      <c r="J7" s="13" t="str">
        <f t="shared" ref="J7" ca="1" si="18">IF(AND(I7&lt;=$C$2,I7&lt;&gt;0),"DONE",IF(K7&lt;0,"OVERDUE",IF(AND(K7="",O7&lt;0),"OVERDUE","IN TIME")))</f>
        <v>DONE</v>
      </c>
      <c r="K7" s="13">
        <f t="shared" ref="K7" ca="1" si="19">IF(H7&gt;0,H7-$C$2,"")</f>
        <v>-252</v>
      </c>
      <c r="L7" s="13">
        <f t="shared" ref="L7" ca="1" si="20">IF(J7="OVERDUE",1,0)</f>
        <v>0</v>
      </c>
      <c r="M7" s="13">
        <f t="shared" ref="M7" ca="1" si="21">IF(J7="IN TIME",1,0)</f>
        <v>0</v>
      </c>
      <c r="N7" s="13">
        <f t="shared" ref="N7" ca="1" si="22">IF(J7="DONE",1,0)</f>
        <v>1</v>
      </c>
      <c r="O7" s="13">
        <f t="shared" ref="O7" ca="1" si="23">IF(G7&gt;0,G7-$C$2,"")</f>
        <v>-265</v>
      </c>
      <c r="P7" s="41" t="s">
        <v>44</v>
      </c>
      <c r="Q7" s="27"/>
      <c r="R7" s="27"/>
      <c r="S7" s="27"/>
      <c r="T7" s="27"/>
      <c r="U7" s="27"/>
      <c r="V7" s="27"/>
      <c r="W7" s="27"/>
      <c r="X7" s="27"/>
      <c r="Y7" s="27"/>
      <c r="Z7" s="27"/>
      <c r="AA7" s="27"/>
      <c r="AB7" s="27"/>
      <c r="AC7" s="27"/>
      <c r="AD7" s="27"/>
    </row>
    <row r="8" spans="1:246" ht="189" customHeight="1" x14ac:dyDescent="0.15">
      <c r="A8" s="15">
        <v>238</v>
      </c>
      <c r="B8" s="13"/>
      <c r="C8" s="28" t="s">
        <v>45</v>
      </c>
      <c r="D8" s="30" t="s">
        <v>38</v>
      </c>
      <c r="E8" s="30" t="s">
        <v>46</v>
      </c>
      <c r="F8" s="30">
        <v>43640</v>
      </c>
      <c r="G8" s="30">
        <v>43647</v>
      </c>
      <c r="H8" s="30">
        <v>43678</v>
      </c>
      <c r="I8" s="30">
        <v>43683</v>
      </c>
      <c r="J8" s="13" t="str">
        <f t="shared" ref="J8" ca="1" si="24">IF(AND(I8&lt;=$C$2,I8&lt;&gt;0),"DONE",IF(K8&lt;0,"OVERDUE",IF(AND(K8="",O8&lt;0),"OVERDUE","IN TIME")))</f>
        <v>DONE</v>
      </c>
      <c r="K8" s="13">
        <f t="shared" ref="K8" ca="1" si="25">IF(H8&gt;0,H8-$C$2,"")</f>
        <v>-235</v>
      </c>
      <c r="L8" s="13">
        <f t="shared" ref="L8" ca="1" si="26">IF(J8="OVERDUE",1,0)</f>
        <v>0</v>
      </c>
      <c r="M8" s="13">
        <f t="shared" ref="M8" ca="1" si="27">IF(J8="IN TIME",1,0)</f>
        <v>0</v>
      </c>
      <c r="N8" s="13">
        <f t="shared" ref="N8" ca="1" si="28">IF(J8="DONE",1,0)</f>
        <v>1</v>
      </c>
      <c r="O8" s="13">
        <f t="shared" ref="O8" ca="1" si="29">IF(G8&gt;0,G8-$C$2,"")</f>
        <v>-266</v>
      </c>
      <c r="P8" s="41" t="s">
        <v>47</v>
      </c>
      <c r="Q8" s="27"/>
      <c r="R8" s="27"/>
      <c r="S8" s="27"/>
      <c r="T8" s="27"/>
      <c r="U8" s="27"/>
      <c r="V8" s="27"/>
      <c r="W8" s="27"/>
      <c r="X8" s="27"/>
      <c r="Y8" s="27"/>
      <c r="Z8" s="27"/>
      <c r="AA8" s="27"/>
      <c r="AB8" s="27"/>
      <c r="AC8" s="27"/>
      <c r="AD8" s="27"/>
    </row>
    <row r="9" spans="1:246" ht="90.75" customHeight="1" x14ac:dyDescent="0.15">
      <c r="A9" s="15">
        <v>239</v>
      </c>
      <c r="B9" s="13"/>
      <c r="C9" s="40" t="s">
        <v>48</v>
      </c>
      <c r="D9" s="30" t="s">
        <v>38</v>
      </c>
      <c r="E9" s="30" t="s">
        <v>35</v>
      </c>
      <c r="F9" s="30">
        <v>43640</v>
      </c>
      <c r="G9" s="30">
        <v>43678</v>
      </c>
      <c r="H9" s="30">
        <v>43697</v>
      </c>
      <c r="I9" s="30">
        <v>43683</v>
      </c>
      <c r="J9" s="13" t="str">
        <f t="shared" ref="J9" ca="1" si="30">IF(AND(I9&lt;=$C$2,I9&lt;&gt;0),"DONE",IF(K9&lt;0,"OVERDUE",IF(AND(K9="",O9&lt;0),"OVERDUE","IN TIME")))</f>
        <v>DONE</v>
      </c>
      <c r="K9" s="13">
        <f t="shared" ref="K9" ca="1" si="31">IF(H9&gt;0,H9-$C$2,"")</f>
        <v>-216</v>
      </c>
      <c r="L9" s="13">
        <f t="shared" ref="L9" ca="1" si="32">IF(J9="OVERDUE",1,0)</f>
        <v>0</v>
      </c>
      <c r="M9" s="13">
        <f t="shared" ref="M9" ca="1" si="33">IF(J9="IN TIME",1,0)</f>
        <v>0</v>
      </c>
      <c r="N9" s="13">
        <f t="shared" ref="N9" ca="1" si="34">IF(J9="DONE",1,0)</f>
        <v>1</v>
      </c>
      <c r="O9" s="13">
        <f t="shared" ref="O9" ca="1" si="35">IF(G9&gt;0,G9-$C$2,"")</f>
        <v>-235</v>
      </c>
      <c r="P9" s="41" t="s">
        <v>49</v>
      </c>
      <c r="Q9" s="27"/>
      <c r="R9" s="27"/>
      <c r="S9" s="27"/>
      <c r="T9" s="27"/>
      <c r="U9" s="27"/>
      <c r="V9" s="27"/>
      <c r="W9" s="27"/>
      <c r="X9" s="27"/>
      <c r="Y9" s="27"/>
      <c r="Z9" s="27"/>
      <c r="AA9" s="27"/>
      <c r="AB9" s="27"/>
      <c r="AC9" s="27"/>
      <c r="AD9" s="27"/>
    </row>
    <row r="10" spans="1:246" ht="93" customHeight="1" x14ac:dyDescent="0.15">
      <c r="A10" s="15">
        <v>240</v>
      </c>
      <c r="B10" s="13"/>
      <c r="C10" s="28" t="s">
        <v>50</v>
      </c>
      <c r="D10" s="30" t="s">
        <v>51</v>
      </c>
      <c r="E10" s="30" t="s">
        <v>52</v>
      </c>
      <c r="F10" s="30">
        <v>43640</v>
      </c>
      <c r="G10" s="30">
        <v>43661</v>
      </c>
      <c r="H10" s="30">
        <v>43676</v>
      </c>
      <c r="I10" s="30">
        <v>43696</v>
      </c>
      <c r="J10" s="13" t="str">
        <f t="shared" ref="J10" ca="1" si="36">IF(AND(I10&lt;=$C$2,I10&lt;&gt;0),"DONE",IF(K10&lt;0,"OVERDUE",IF(AND(K10="",O10&lt;0),"OVERDUE","IN TIME")))</f>
        <v>DONE</v>
      </c>
      <c r="K10" s="13">
        <f t="shared" ref="K10" ca="1" si="37">IF(H10&gt;0,H10-$C$2,"")</f>
        <v>-237</v>
      </c>
      <c r="L10" s="13">
        <f t="shared" ref="L10" ca="1" si="38">IF(J10="OVERDUE",1,0)</f>
        <v>0</v>
      </c>
      <c r="M10" s="13">
        <f t="shared" ref="M10" ca="1" si="39">IF(J10="IN TIME",1,0)</f>
        <v>0</v>
      </c>
      <c r="N10" s="13">
        <f t="shared" ref="N10" ca="1" si="40">IF(J10="DONE",1,0)</f>
        <v>1</v>
      </c>
      <c r="O10" s="13">
        <f t="shared" ref="O10" ca="1" si="41">IF(G10&gt;0,G10-$C$2,"")</f>
        <v>-252</v>
      </c>
      <c r="P10" s="41" t="s">
        <v>53</v>
      </c>
      <c r="Q10" s="27"/>
      <c r="R10" s="27"/>
      <c r="S10" s="27"/>
      <c r="T10" s="27"/>
      <c r="U10" s="27"/>
      <c r="V10" s="27"/>
      <c r="W10" s="27"/>
      <c r="X10" s="27"/>
      <c r="Y10" s="27"/>
      <c r="Z10" s="27"/>
      <c r="AA10" s="27"/>
      <c r="AB10" s="27"/>
      <c r="AC10" s="27"/>
      <c r="AD10" s="27"/>
    </row>
    <row r="11" spans="1:246" ht="68.25" customHeight="1" x14ac:dyDescent="0.15">
      <c r="A11" s="15">
        <v>241</v>
      </c>
      <c r="B11" s="13"/>
      <c r="C11" s="28" t="s">
        <v>54</v>
      </c>
      <c r="D11" s="30" t="s">
        <v>38</v>
      </c>
      <c r="E11" s="30" t="s">
        <v>52</v>
      </c>
      <c r="F11" s="30">
        <v>43640</v>
      </c>
      <c r="G11" s="30">
        <v>43684</v>
      </c>
      <c r="H11" s="30">
        <v>43691</v>
      </c>
      <c r="I11" s="30">
        <v>43696</v>
      </c>
      <c r="J11" s="13" t="str">
        <f t="shared" ref="J11" ca="1" si="42">IF(AND(I11&lt;=$C$2,I11&lt;&gt;0),"DONE",IF(K11&lt;0,"OVERDUE",IF(AND(K11="",O11&lt;0),"OVERDUE","IN TIME")))</f>
        <v>DONE</v>
      </c>
      <c r="K11" s="13">
        <f t="shared" ref="K11" ca="1" si="43">IF(H11&gt;0,H11-$C$2,"")</f>
        <v>-222</v>
      </c>
      <c r="L11" s="13">
        <f t="shared" ref="L11" ca="1" si="44">IF(J11="OVERDUE",1,0)</f>
        <v>0</v>
      </c>
      <c r="M11" s="13">
        <f t="shared" ref="M11" ca="1" si="45">IF(J11="IN TIME",1,0)</f>
        <v>0</v>
      </c>
      <c r="N11" s="13">
        <f t="shared" ref="N11" ca="1" si="46">IF(J11="DONE",1,0)</f>
        <v>1</v>
      </c>
      <c r="O11" s="13">
        <f t="shared" ref="O11" ca="1" si="47">IF(G11&gt;0,G11-$C$2,"")</f>
        <v>-229</v>
      </c>
      <c r="P11" s="20" t="s">
        <v>55</v>
      </c>
      <c r="Q11" s="27"/>
      <c r="R11" s="27"/>
      <c r="S11" s="27"/>
      <c r="T11" s="27"/>
      <c r="U11" s="27"/>
      <c r="V11" s="27"/>
      <c r="W11" s="27"/>
      <c r="X11" s="27"/>
      <c r="Y11" s="27"/>
      <c r="Z11" s="27"/>
      <c r="AA11" s="27"/>
      <c r="AB11" s="27"/>
      <c r="AC11" s="27"/>
      <c r="AD11" s="27"/>
    </row>
    <row r="12" spans="1:246" ht="60" customHeight="1" x14ac:dyDescent="0.15">
      <c r="A12" s="15">
        <v>242</v>
      </c>
      <c r="B12" s="13"/>
      <c r="C12" s="28" t="s">
        <v>56</v>
      </c>
      <c r="D12" s="30" t="s">
        <v>51</v>
      </c>
      <c r="E12" s="30" t="s">
        <v>35</v>
      </c>
      <c r="F12" s="30">
        <v>43640</v>
      </c>
      <c r="G12" s="30">
        <v>43696</v>
      </c>
      <c r="H12" s="30">
        <v>43703</v>
      </c>
      <c r="I12" s="30">
        <v>43696</v>
      </c>
      <c r="J12" s="13" t="str">
        <f t="shared" ref="J12" ca="1" si="48">IF(AND(I12&lt;=$C$2,I12&lt;&gt;0),"DONE",IF(K12&lt;0,"OVERDUE",IF(AND(K12="",O12&lt;0),"OVERDUE","IN TIME")))</f>
        <v>DONE</v>
      </c>
      <c r="K12" s="13">
        <f t="shared" ref="K12" ca="1" si="49">IF(H12&gt;0,H12-$C$2,"")</f>
        <v>-210</v>
      </c>
      <c r="L12" s="13">
        <f t="shared" ref="L12" ca="1" si="50">IF(J12="OVERDUE",1,0)</f>
        <v>0</v>
      </c>
      <c r="M12" s="13">
        <f t="shared" ref="M12" ca="1" si="51">IF(J12="IN TIME",1,0)</f>
        <v>0</v>
      </c>
      <c r="N12" s="13">
        <f t="shared" ref="N12" ca="1" si="52">IF(J12="DONE",1,0)</f>
        <v>1</v>
      </c>
      <c r="O12" s="13">
        <f t="shared" ref="O12" ca="1" si="53">IF(G12&gt;0,G12-$C$2,"")</f>
        <v>-217</v>
      </c>
      <c r="P12" s="41" t="s">
        <v>57</v>
      </c>
      <c r="Q12" s="27"/>
      <c r="R12" s="27"/>
      <c r="S12" s="27"/>
      <c r="T12" s="27"/>
      <c r="U12" s="27"/>
      <c r="V12" s="27"/>
      <c r="W12" s="27"/>
      <c r="X12" s="27"/>
      <c r="Y12" s="27"/>
      <c r="Z12" s="27"/>
      <c r="AA12" s="27"/>
      <c r="AB12" s="27"/>
      <c r="AC12" s="27"/>
      <c r="AD12" s="27"/>
    </row>
    <row r="13" spans="1:246" ht="24.6" customHeight="1" x14ac:dyDescent="0.15">
      <c r="A13" s="15">
        <v>243</v>
      </c>
      <c r="B13" s="13"/>
      <c r="C13" s="28" t="s">
        <v>58</v>
      </c>
      <c r="D13" s="30" t="s">
        <v>38</v>
      </c>
      <c r="E13" s="30" t="s">
        <v>35</v>
      </c>
      <c r="F13" s="30">
        <v>43682</v>
      </c>
      <c r="G13" s="30">
        <v>43683</v>
      </c>
      <c r="H13" s="30">
        <v>43686</v>
      </c>
      <c r="I13" s="14">
        <v>43696</v>
      </c>
      <c r="J13" s="13" t="str">
        <f t="shared" ref="J13" ca="1" si="54">IF(AND(I13&lt;=$C$2,I13&lt;&gt;0),"DONE",IF(K13&lt;0,"OVERDUE",IF(AND(K13="",O13&lt;0),"OVERDUE","IN TIME")))</f>
        <v>DONE</v>
      </c>
      <c r="K13" s="13">
        <f t="shared" ref="K13" ca="1" si="55">IF(H13&gt;0,H13-$C$2,"")</f>
        <v>-227</v>
      </c>
      <c r="L13" s="13">
        <f t="shared" ref="L13" ca="1" si="56">IF(J13="OVERDUE",1,0)</f>
        <v>0</v>
      </c>
      <c r="M13" s="13">
        <f t="shared" ref="M13" ca="1" si="57">IF(J13="IN TIME",1,0)</f>
        <v>0</v>
      </c>
      <c r="N13" s="13">
        <f t="shared" ref="N13" ca="1" si="58">IF(J13="DONE",1,0)</f>
        <v>1</v>
      </c>
      <c r="O13" s="13">
        <f t="shared" ref="O13" ca="1" si="59">IF(G13&gt;0,G13-$C$2,"")</f>
        <v>-230</v>
      </c>
      <c r="P13" s="20" t="s">
        <v>59</v>
      </c>
      <c r="Q13" s="27"/>
      <c r="R13" s="27"/>
      <c r="S13" s="27"/>
      <c r="T13" s="27"/>
      <c r="U13" s="27"/>
      <c r="V13" s="27"/>
      <c r="W13" s="27"/>
      <c r="X13" s="27"/>
      <c r="Y13" s="27"/>
      <c r="Z13" s="27"/>
      <c r="AA13" s="27"/>
      <c r="AB13" s="27"/>
      <c r="AC13" s="27"/>
      <c r="AD13" s="27"/>
    </row>
    <row r="14" spans="1:246" ht="102" customHeight="1" x14ac:dyDescent="0.15">
      <c r="A14" s="15">
        <v>244</v>
      </c>
      <c r="B14" s="13"/>
      <c r="C14" s="28" t="s">
        <v>60</v>
      </c>
      <c r="D14" s="30" t="s">
        <v>38</v>
      </c>
      <c r="E14" s="30" t="s">
        <v>61</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-190</v>
      </c>
      <c r="P14" s="20" t="s">
        <v>62</v>
      </c>
      <c r="Q14" s="27"/>
      <c r="R14" s="27"/>
      <c r="S14" s="27"/>
      <c r="T14" s="27"/>
      <c r="U14" s="27"/>
      <c r="V14" s="27"/>
      <c r="W14" s="27"/>
      <c r="X14" s="27"/>
      <c r="Y14" s="27"/>
      <c r="Z14" s="27"/>
      <c r="AA14" s="27"/>
      <c r="AB14" s="27"/>
      <c r="AC14" s="27"/>
      <c r="AD14" s="27"/>
    </row>
    <row r="15" spans="1:246" ht="78.75" customHeight="1" x14ac:dyDescent="0.15">
      <c r="A15" s="15">
        <v>245</v>
      </c>
      <c r="B15" s="13"/>
      <c r="C15" s="16" t="s">
        <v>63</v>
      </c>
      <c r="D15" s="13" t="s">
        <v>38</v>
      </c>
      <c r="E15" s="13" t="s">
        <v>35</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-121</v>
      </c>
      <c r="P15" s="20" t="s">
        <v>64</v>
      </c>
      <c r="Q15" s="27"/>
      <c r="R15" s="27"/>
      <c r="S15" s="27"/>
      <c r="T15" s="27"/>
      <c r="U15" s="27"/>
      <c r="V15" s="27"/>
      <c r="W15" s="27"/>
      <c r="X15" s="27"/>
      <c r="Y15" s="27"/>
      <c r="Z15" s="27"/>
      <c r="AA15" s="27"/>
      <c r="AB15" s="27"/>
      <c r="AC15" s="27"/>
      <c r="AD15" s="27"/>
    </row>
    <row r="16" spans="1:246" ht="45.75" customHeight="1" x14ac:dyDescent="0.15">
      <c r="A16" s="15">
        <v>246</v>
      </c>
      <c r="B16" s="13"/>
      <c r="C16" s="12" t="s">
        <v>65</v>
      </c>
      <c r="D16" s="13" t="s">
        <v>38</v>
      </c>
      <c r="E16" s="13" t="s">
        <v>35</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-114</v>
      </c>
      <c r="P16" s="20" t="s">
        <v>66</v>
      </c>
      <c r="Q16" s="27"/>
      <c r="R16" s="27"/>
      <c r="S16" s="27"/>
      <c r="T16" s="27"/>
      <c r="U16" s="27"/>
      <c r="V16" s="27"/>
      <c r="W16" s="27"/>
      <c r="X16" s="27"/>
      <c r="Y16" s="27"/>
      <c r="Z16" s="27"/>
      <c r="AA16" s="27"/>
      <c r="AB16" s="27"/>
      <c r="AC16" s="27"/>
      <c r="AD16" s="27"/>
    </row>
    <row r="17" spans="1:30" ht="24.6" customHeight="1" x14ac:dyDescent="0.15">
      <c r="A17" s="15">
        <v>247</v>
      </c>
      <c r="B17" s="13"/>
      <c r="C17" s="12" t="s">
        <v>411</v>
      </c>
      <c r="D17" s="13" t="s">
        <v>38</v>
      </c>
      <c r="E17" s="13" t="s">
        <v>412</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-2</v>
      </c>
      <c r="P17" s="20" t="s">
        <v>434</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40" type="noConversion"/>
  <conditionalFormatting sqref="J4">
    <cfRule type="cellIs" dxfId="295" priority="43" operator="equal">
      <formula>"OVERDUE"</formula>
    </cfRule>
    <cfRule type="cellIs" dxfId="294" priority="44" operator="equal">
      <formula>"DONE"</formula>
    </cfRule>
    <cfRule type="cellIs" dxfId="293" priority="45" operator="equal">
      <formula>"DONE"</formula>
    </cfRule>
  </conditionalFormatting>
  <conditionalFormatting sqref="J5">
    <cfRule type="cellIs" dxfId="292" priority="40" operator="equal">
      <formula>"OVERDUE"</formula>
    </cfRule>
    <cfRule type="cellIs" dxfId="291" priority="41" operator="equal">
      <formula>"DONE"</formula>
    </cfRule>
    <cfRule type="cellIs" dxfId="290" priority="42" operator="equal">
      <formula>"DONE"</formula>
    </cfRule>
  </conditionalFormatting>
  <conditionalFormatting sqref="J6">
    <cfRule type="cellIs" dxfId="289" priority="37" operator="equal">
      <formula>"OVERDUE"</formula>
    </cfRule>
    <cfRule type="cellIs" dxfId="288" priority="38" operator="equal">
      <formula>"DONE"</formula>
    </cfRule>
    <cfRule type="cellIs" dxfId="287" priority="39" operator="equal">
      <formula>"DONE"</formula>
    </cfRule>
  </conditionalFormatting>
  <conditionalFormatting sqref="J7">
    <cfRule type="cellIs" dxfId="286" priority="34" operator="equal">
      <formula>"OVERDUE"</formula>
    </cfRule>
    <cfRule type="cellIs" dxfId="285" priority="35" operator="equal">
      <formula>"DONE"</formula>
    </cfRule>
    <cfRule type="cellIs" dxfId="284" priority="36" operator="equal">
      <formula>"DONE"</formula>
    </cfRule>
  </conditionalFormatting>
  <conditionalFormatting sqref="J8">
    <cfRule type="cellIs" dxfId="283" priority="31" operator="equal">
      <formula>"OVERDUE"</formula>
    </cfRule>
    <cfRule type="cellIs" dxfId="282" priority="32" operator="equal">
      <formula>"DONE"</formula>
    </cfRule>
    <cfRule type="cellIs" dxfId="281" priority="33" operator="equal">
      <formula>"DONE"</formula>
    </cfRule>
  </conditionalFormatting>
  <conditionalFormatting sqref="J9">
    <cfRule type="cellIs" dxfId="280" priority="28" operator="equal">
      <formula>"OVERDUE"</formula>
    </cfRule>
    <cfRule type="cellIs" dxfId="279" priority="29" operator="equal">
      <formula>"DONE"</formula>
    </cfRule>
    <cfRule type="cellIs" dxfId="278" priority="30" operator="equal">
      <formula>"DONE"</formula>
    </cfRule>
  </conditionalFormatting>
  <conditionalFormatting sqref="J10">
    <cfRule type="cellIs" dxfId="277" priority="25" operator="equal">
      <formula>"OVERDUE"</formula>
    </cfRule>
    <cfRule type="cellIs" dxfId="276" priority="26" operator="equal">
      <formula>"DONE"</formula>
    </cfRule>
    <cfRule type="cellIs" dxfId="275" priority="27" operator="equal">
      <formula>"DONE"</formula>
    </cfRule>
  </conditionalFormatting>
  <conditionalFormatting sqref="J11">
    <cfRule type="cellIs" dxfId="274" priority="22" operator="equal">
      <formula>"OVERDUE"</formula>
    </cfRule>
    <cfRule type="cellIs" dxfId="273" priority="23" operator="equal">
      <formula>"DONE"</formula>
    </cfRule>
    <cfRule type="cellIs" dxfId="272" priority="24" operator="equal">
      <formula>"DONE"</formula>
    </cfRule>
  </conditionalFormatting>
  <conditionalFormatting sqref="J12">
    <cfRule type="cellIs" dxfId="271" priority="19" operator="equal">
      <formula>"OVERDUE"</formula>
    </cfRule>
    <cfRule type="cellIs" dxfId="270" priority="20" operator="equal">
      <formula>"DONE"</formula>
    </cfRule>
    <cfRule type="cellIs" dxfId="269" priority="21" operator="equal">
      <formula>"DONE"</formula>
    </cfRule>
  </conditionalFormatting>
  <conditionalFormatting sqref="J13">
    <cfRule type="cellIs" dxfId="268" priority="16" operator="equal">
      <formula>"OVERDUE"</formula>
    </cfRule>
    <cfRule type="cellIs" dxfId="267" priority="17" operator="equal">
      <formula>"DONE"</formula>
    </cfRule>
    <cfRule type="cellIs" dxfId="266" priority="18" operator="equal">
      <formula>"DONE"</formula>
    </cfRule>
  </conditionalFormatting>
  <conditionalFormatting sqref="J14">
    <cfRule type="cellIs" dxfId="265" priority="13" operator="equal">
      <formula>"OVERDUE"</formula>
    </cfRule>
    <cfRule type="cellIs" dxfId="264" priority="14" operator="equal">
      <formula>"DONE"</formula>
    </cfRule>
    <cfRule type="cellIs" dxfId="263" priority="15" operator="equal">
      <formula>"DONE"</formula>
    </cfRule>
  </conditionalFormatting>
  <conditionalFormatting sqref="J15">
    <cfRule type="cellIs" dxfId="262" priority="10" operator="equal">
      <formula>"OVERDUE"</formula>
    </cfRule>
    <cfRule type="cellIs" dxfId="261" priority="11" operator="equal">
      <formula>"DONE"</formula>
    </cfRule>
    <cfRule type="cellIs" dxfId="260" priority="12" operator="equal">
      <formula>"DONE"</formula>
    </cfRule>
  </conditionalFormatting>
  <conditionalFormatting sqref="J16">
    <cfRule type="cellIs" dxfId="259" priority="7" operator="equal">
      <formula>"OVERDUE"</formula>
    </cfRule>
    <cfRule type="cellIs" dxfId="258" priority="8" operator="equal">
      <formula>"DONE"</formula>
    </cfRule>
    <cfRule type="cellIs" dxfId="257" priority="9" operator="equal">
      <formula>"DONE"</formula>
    </cfRule>
  </conditionalFormatting>
  <conditionalFormatting sqref="J17">
    <cfRule type="cellIs" dxfId="256" priority="4" operator="equal">
      <formula>"OVERDUE"</formula>
    </cfRule>
    <cfRule type="cellIs" dxfId="255" priority="5" operator="equal">
      <formula>"DONE"</formula>
    </cfRule>
    <cfRule type="cellIs" dxfId="254" priority="6" operator="equal">
      <formula>"DONE"</formula>
    </cfRule>
  </conditionalFormatting>
  <conditionalFormatting sqref="J18">
    <cfRule type="cellIs" dxfId="253" priority="1" operator="equal">
      <formula>"OVERDUE"</formula>
    </cfRule>
    <cfRule type="cellIs" dxfId="252" priority="2" operator="equal">
      <formula>"DONE"</formula>
    </cfRule>
    <cfRule type="cellIs" dxfId="251" priority="3" operator="equal">
      <formula>"DONE"</formula>
    </cfRule>
  </conditionalFormatting>
  <conditionalFormatting sqref="J2:J3 J19:J1048576">
    <cfRule type="cellIs" dxfId="250" priority="901" operator="equal">
      <formula>"OVERDUE"</formula>
    </cfRule>
    <cfRule type="cellIs" dxfId="249" priority="902" operator="equal">
      <formula>"DONE"</formula>
    </cfRule>
    <cfRule type="cellIs" dxfId="248"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43913</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67</v>
      </c>
      <c r="D4" s="13" t="s">
        <v>51</v>
      </c>
      <c r="E4" s="13" t="s">
        <v>61</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-220</v>
      </c>
      <c r="P4" s="20" t="s">
        <v>68</v>
      </c>
      <c r="Q4" s="27"/>
      <c r="R4" s="27"/>
      <c r="S4" s="27"/>
      <c r="T4" s="27"/>
      <c r="U4" s="27"/>
      <c r="V4" s="27"/>
      <c r="W4" s="27"/>
      <c r="X4" s="27"/>
      <c r="Y4" s="27"/>
      <c r="Z4" s="27"/>
      <c r="AA4" s="27"/>
      <c r="AB4" s="27"/>
      <c r="AC4" s="27"/>
      <c r="AD4" s="27"/>
    </row>
    <row r="5" spans="1:246" ht="144.75" customHeight="1" x14ac:dyDescent="0.15">
      <c r="A5" s="15">
        <v>235</v>
      </c>
      <c r="B5" s="13"/>
      <c r="C5" s="16" t="s">
        <v>69</v>
      </c>
      <c r="D5" s="13" t="s">
        <v>51</v>
      </c>
      <c r="E5" s="13" t="s">
        <v>61</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-206</v>
      </c>
      <c r="P5" s="20" t="s">
        <v>70</v>
      </c>
      <c r="Q5" s="27"/>
      <c r="R5" s="27"/>
      <c r="S5" s="27"/>
      <c r="T5" s="27"/>
      <c r="U5" s="27"/>
      <c r="V5" s="27"/>
      <c r="W5" s="27"/>
      <c r="X5" s="27"/>
      <c r="Y5" s="27"/>
      <c r="Z5" s="27"/>
      <c r="AA5" s="27"/>
      <c r="AB5" s="27"/>
      <c r="AC5" s="27"/>
      <c r="AD5" s="27"/>
    </row>
    <row r="6" spans="1:246" ht="78.75" customHeight="1" x14ac:dyDescent="0.15">
      <c r="A6" s="15">
        <v>236</v>
      </c>
      <c r="B6" s="13"/>
      <c r="C6" s="38" t="s">
        <v>71</v>
      </c>
      <c r="D6" s="11" t="s">
        <v>51</v>
      </c>
      <c r="E6" s="13" t="s">
        <v>61</v>
      </c>
      <c r="F6" s="14">
        <v>43710</v>
      </c>
      <c r="G6" s="14">
        <v>43714</v>
      </c>
      <c r="H6" s="14"/>
      <c r="I6" s="14"/>
      <c r="J6" s="13" t="str">
        <f t="shared" ca="1" si="0"/>
        <v>OVERDUE</v>
      </c>
      <c r="K6" s="13" t="str">
        <f t="shared" si="1"/>
        <v/>
      </c>
      <c r="L6" s="13">
        <f t="shared" ca="1" si="2"/>
        <v>1</v>
      </c>
      <c r="M6" s="13">
        <f t="shared" ca="1" si="3"/>
        <v>0</v>
      </c>
      <c r="N6" s="13">
        <f t="shared" ca="1" si="4"/>
        <v>0</v>
      </c>
      <c r="O6" s="13">
        <f t="shared" ca="1" si="5"/>
        <v>-199</v>
      </c>
      <c r="P6" s="20" t="s">
        <v>72</v>
      </c>
      <c r="Q6" s="27"/>
      <c r="R6" s="27"/>
      <c r="S6" s="27"/>
      <c r="T6" s="27"/>
      <c r="U6" s="27"/>
      <c r="V6" s="27"/>
      <c r="W6" s="27"/>
      <c r="X6" s="27"/>
      <c r="Y6" s="27"/>
      <c r="Z6" s="27"/>
      <c r="AA6" s="27"/>
      <c r="AB6" s="27"/>
      <c r="AC6" s="27"/>
      <c r="AD6" s="27"/>
    </row>
    <row r="7" spans="1:246" ht="60" customHeight="1" x14ac:dyDescent="0.15">
      <c r="A7" s="15">
        <v>237</v>
      </c>
      <c r="B7" s="13"/>
      <c r="C7" s="39" t="s">
        <v>73</v>
      </c>
      <c r="D7" s="13" t="s">
        <v>51</v>
      </c>
      <c r="E7" s="13" t="s">
        <v>61</v>
      </c>
      <c r="F7" s="14">
        <v>43717</v>
      </c>
      <c r="G7" s="14">
        <v>43721</v>
      </c>
      <c r="H7" s="14"/>
      <c r="I7" s="14"/>
      <c r="J7" s="13" t="str">
        <f t="shared" ca="1" si="0"/>
        <v>OVERDUE</v>
      </c>
      <c r="K7" s="13" t="str">
        <f t="shared" si="1"/>
        <v/>
      </c>
      <c r="L7" s="13">
        <f t="shared" ca="1" si="2"/>
        <v>1</v>
      </c>
      <c r="M7" s="13">
        <f t="shared" ca="1" si="3"/>
        <v>0</v>
      </c>
      <c r="N7" s="13">
        <f t="shared" ca="1" si="4"/>
        <v>0</v>
      </c>
      <c r="O7" s="13">
        <f t="shared" ca="1" si="5"/>
        <v>-192</v>
      </c>
      <c r="P7" s="20" t="s">
        <v>74</v>
      </c>
      <c r="Q7" s="27"/>
      <c r="R7" s="27"/>
      <c r="S7" s="27"/>
      <c r="T7" s="27"/>
      <c r="U7" s="27"/>
      <c r="V7" s="27"/>
      <c r="W7" s="27"/>
      <c r="X7" s="27"/>
      <c r="Y7" s="27"/>
      <c r="Z7" s="27"/>
      <c r="AA7" s="27"/>
      <c r="AB7" s="27"/>
      <c r="AC7" s="27"/>
      <c r="AD7" s="27"/>
    </row>
    <row r="8" spans="1:246" ht="24.6" customHeight="1" x14ac:dyDescent="0.15">
      <c r="A8" s="15">
        <v>238</v>
      </c>
      <c r="B8" s="13"/>
      <c r="C8" s="39" t="s">
        <v>75</v>
      </c>
      <c r="D8" s="13" t="s">
        <v>51</v>
      </c>
      <c r="E8" s="13" t="s">
        <v>61</v>
      </c>
      <c r="F8" s="14">
        <v>43724</v>
      </c>
      <c r="G8" s="14">
        <v>43726</v>
      </c>
      <c r="H8" s="14"/>
      <c r="I8" s="14"/>
      <c r="J8" s="13" t="str">
        <f t="shared" ca="1" si="0"/>
        <v>OVERDUE</v>
      </c>
      <c r="K8" s="13" t="str">
        <f t="shared" si="1"/>
        <v/>
      </c>
      <c r="L8" s="13">
        <f t="shared" ca="1" si="2"/>
        <v>1</v>
      </c>
      <c r="M8" s="13">
        <f t="shared" ca="1" si="3"/>
        <v>0</v>
      </c>
      <c r="N8" s="13">
        <f t="shared" ca="1" si="4"/>
        <v>0</v>
      </c>
      <c r="O8" s="13">
        <f t="shared" ca="1" si="5"/>
        <v>-187</v>
      </c>
      <c r="P8" s="20"/>
      <c r="Q8" s="27"/>
      <c r="R8" s="27"/>
      <c r="S8" s="27"/>
      <c r="T8" s="27"/>
      <c r="U8" s="27"/>
      <c r="V8" s="27"/>
      <c r="W8" s="27"/>
      <c r="X8" s="27"/>
      <c r="Y8" s="27"/>
      <c r="Z8" s="27"/>
      <c r="AA8" s="27"/>
      <c r="AB8" s="27"/>
      <c r="AC8" s="27"/>
      <c r="AD8" s="27"/>
    </row>
    <row r="9" spans="1:246" ht="24.6" customHeight="1" x14ac:dyDescent="0.15">
      <c r="A9" s="15">
        <v>239</v>
      </c>
      <c r="B9" s="13"/>
      <c r="C9" s="39" t="s">
        <v>76</v>
      </c>
      <c r="D9" s="13" t="s">
        <v>51</v>
      </c>
      <c r="E9" s="13" t="s">
        <v>61</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-178</v>
      </c>
      <c r="P9" s="20"/>
      <c r="Q9" s="27"/>
      <c r="R9" s="27"/>
      <c r="S9" s="27"/>
      <c r="T9" s="27"/>
      <c r="U9" s="27"/>
      <c r="V9" s="27"/>
      <c r="W9" s="27"/>
      <c r="X9" s="27"/>
      <c r="Y9" s="27"/>
      <c r="Z9" s="27"/>
      <c r="AA9" s="27"/>
      <c r="AB9" s="27"/>
      <c r="AC9" s="27"/>
      <c r="AD9" s="27"/>
    </row>
    <row r="10" spans="1:246" ht="60.75" customHeight="1" x14ac:dyDescent="0.15">
      <c r="A10" s="15">
        <v>240</v>
      </c>
      <c r="B10" s="13"/>
      <c r="C10" s="39" t="s">
        <v>77</v>
      </c>
      <c r="D10" s="13" t="s">
        <v>51</v>
      </c>
      <c r="E10" s="13" t="s">
        <v>61</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-175</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40" type="noConversion"/>
  <conditionalFormatting sqref="J4">
    <cfRule type="cellIs" dxfId="247" priority="31" operator="equal">
      <formula>"OVERDUE"</formula>
    </cfRule>
    <cfRule type="cellIs" dxfId="246" priority="32" operator="equal">
      <formula>"DONE"</formula>
    </cfRule>
    <cfRule type="cellIs" dxfId="245" priority="33" operator="equal">
      <formula>"DONE"</formula>
    </cfRule>
  </conditionalFormatting>
  <conditionalFormatting sqref="J5">
    <cfRule type="cellIs" dxfId="244" priority="28" operator="equal">
      <formula>"OVERDUE"</formula>
    </cfRule>
    <cfRule type="cellIs" dxfId="243" priority="29" operator="equal">
      <formula>"DONE"</formula>
    </cfRule>
    <cfRule type="cellIs" dxfId="242" priority="30" operator="equal">
      <formula>"DONE"</formula>
    </cfRule>
  </conditionalFormatting>
  <conditionalFormatting sqref="J6">
    <cfRule type="cellIs" dxfId="241" priority="25" operator="equal">
      <formula>"OVERDUE"</formula>
    </cfRule>
    <cfRule type="cellIs" dxfId="240" priority="26" operator="equal">
      <formula>"DONE"</formula>
    </cfRule>
    <cfRule type="cellIs" dxfId="239" priority="27" operator="equal">
      <formula>"DONE"</formula>
    </cfRule>
  </conditionalFormatting>
  <conditionalFormatting sqref="J7">
    <cfRule type="cellIs" dxfId="238" priority="22" operator="equal">
      <formula>"OVERDUE"</formula>
    </cfRule>
    <cfRule type="cellIs" dxfId="237" priority="23" operator="equal">
      <formula>"DONE"</formula>
    </cfRule>
    <cfRule type="cellIs" dxfId="236" priority="24" operator="equal">
      <formula>"DONE"</formula>
    </cfRule>
  </conditionalFormatting>
  <conditionalFormatting sqref="J8">
    <cfRule type="cellIs" dxfId="235" priority="19" operator="equal">
      <formula>"OVERDUE"</formula>
    </cfRule>
    <cfRule type="cellIs" dxfId="234" priority="20" operator="equal">
      <formula>"DONE"</formula>
    </cfRule>
    <cfRule type="cellIs" dxfId="233" priority="21" operator="equal">
      <formula>"DONE"</formula>
    </cfRule>
  </conditionalFormatting>
  <conditionalFormatting sqref="J9">
    <cfRule type="cellIs" dxfId="232" priority="16" operator="equal">
      <formula>"OVERDUE"</formula>
    </cfRule>
    <cfRule type="cellIs" dxfId="231" priority="17" operator="equal">
      <formula>"DONE"</formula>
    </cfRule>
    <cfRule type="cellIs" dxfId="230" priority="18" operator="equal">
      <formula>"DONE"</formula>
    </cfRule>
  </conditionalFormatting>
  <conditionalFormatting sqref="J10">
    <cfRule type="cellIs" dxfId="229" priority="13" operator="equal">
      <formula>"OVERDUE"</formula>
    </cfRule>
    <cfRule type="cellIs" dxfId="228" priority="14" operator="equal">
      <formula>"DONE"</formula>
    </cfRule>
    <cfRule type="cellIs" dxfId="227" priority="15" operator="equal">
      <formula>"DONE"</formula>
    </cfRule>
  </conditionalFormatting>
  <conditionalFormatting sqref="J11">
    <cfRule type="cellIs" dxfId="226" priority="10" operator="equal">
      <formula>"OVERDUE"</formula>
    </cfRule>
    <cfRule type="cellIs" dxfId="225" priority="11" operator="equal">
      <formula>"DONE"</formula>
    </cfRule>
    <cfRule type="cellIs" dxfId="224" priority="12" operator="equal">
      <formula>"DONE"</formula>
    </cfRule>
  </conditionalFormatting>
  <conditionalFormatting sqref="J12">
    <cfRule type="cellIs" dxfId="223" priority="7" operator="equal">
      <formula>"OVERDUE"</formula>
    </cfRule>
    <cfRule type="cellIs" dxfId="222" priority="8" operator="equal">
      <formula>"DONE"</formula>
    </cfRule>
    <cfRule type="cellIs" dxfId="221" priority="9" operator="equal">
      <formula>"DONE"</formula>
    </cfRule>
  </conditionalFormatting>
  <conditionalFormatting sqref="J13">
    <cfRule type="cellIs" dxfId="220" priority="4" operator="equal">
      <formula>"OVERDUE"</formula>
    </cfRule>
    <cfRule type="cellIs" dxfId="219" priority="5" operator="equal">
      <formula>"DONE"</formula>
    </cfRule>
    <cfRule type="cellIs" dxfId="218" priority="6" operator="equal">
      <formula>"DONE"</formula>
    </cfRule>
  </conditionalFormatting>
  <conditionalFormatting sqref="J14">
    <cfRule type="cellIs" dxfId="217" priority="1" operator="equal">
      <formula>"OVERDUE"</formula>
    </cfRule>
    <cfRule type="cellIs" dxfId="216" priority="2" operator="equal">
      <formula>"DONE"</formula>
    </cfRule>
    <cfRule type="cellIs" dxfId="215" priority="3" operator="equal">
      <formula>"DONE"</formula>
    </cfRule>
  </conditionalFormatting>
  <conditionalFormatting sqref="J2:J3 J15:J1048576">
    <cfRule type="cellIs" dxfId="214" priority="34" operator="equal">
      <formula>"OVERDUE"</formula>
    </cfRule>
    <cfRule type="cellIs" dxfId="213" priority="35" operator="equal">
      <formula>"DONE"</formula>
    </cfRule>
    <cfRule type="cellIs" dxfId="212"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10"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14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43913</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78</v>
      </c>
      <c r="D4" s="29" t="s">
        <v>38</v>
      </c>
      <c r="E4" s="30" t="s">
        <v>61</v>
      </c>
      <c r="F4" s="30">
        <v>43640</v>
      </c>
      <c r="G4" s="30">
        <v>43676</v>
      </c>
      <c r="H4" s="31">
        <v>43703</v>
      </c>
      <c r="I4" s="31">
        <v>43724</v>
      </c>
      <c r="J4" s="13" t="str">
        <f t="shared" ref="J4:J13" ca="1" si="0">IF(AND(I4&lt;=$C$2,I4&lt;&gt;0),"DONE",IF(K4&lt;0,"OVERDUE",IF(AND(K4="",O4&lt;0),"OVERDUE","IN TIME")))</f>
        <v>DONE</v>
      </c>
      <c r="K4" s="13">
        <f t="shared" ref="K4:K13" ca="1" si="1">IF(H4&gt;0,H4-$C$2,"")</f>
        <v>-210</v>
      </c>
      <c r="L4" s="13">
        <f t="shared" ref="L4:L13" ca="1" si="2">IF(J4="OVERDUE",1,0)</f>
        <v>0</v>
      </c>
      <c r="M4" s="13">
        <f t="shared" ref="M4:M13" ca="1" si="3">IF(J4="IN TIME",1,0)</f>
        <v>0</v>
      </c>
      <c r="N4" s="13">
        <f t="shared" ref="N4:N13" ca="1" si="4">IF(J4="DONE",1,0)</f>
        <v>1</v>
      </c>
      <c r="O4" s="13">
        <f t="shared" ref="O4:O13" ca="1" si="5">IF(G4&gt;0,G4-$C$2,"")</f>
        <v>-237</v>
      </c>
      <c r="P4" s="20" t="s">
        <v>79</v>
      </c>
      <c r="Q4" s="27"/>
      <c r="R4" s="27"/>
      <c r="S4" s="27"/>
      <c r="T4" s="27"/>
      <c r="U4" s="27"/>
      <c r="V4" s="27"/>
      <c r="W4" s="27"/>
      <c r="X4" s="27"/>
      <c r="Y4" s="27"/>
      <c r="Z4" s="27"/>
      <c r="AA4" s="27"/>
      <c r="AB4" s="27"/>
      <c r="AC4" s="27"/>
      <c r="AD4" s="27"/>
    </row>
    <row r="5" spans="1:246" ht="60.75" customHeight="1" x14ac:dyDescent="0.15">
      <c r="A5" s="32">
        <v>235</v>
      </c>
      <c r="B5" s="32"/>
      <c r="C5" s="33" t="s">
        <v>80</v>
      </c>
      <c r="D5" s="34" t="s">
        <v>51</v>
      </c>
      <c r="E5" s="35" t="s">
        <v>39</v>
      </c>
      <c r="F5" s="35">
        <v>43640</v>
      </c>
      <c r="G5" s="35">
        <v>43653</v>
      </c>
      <c r="H5" s="35">
        <v>43727</v>
      </c>
      <c r="I5" s="35">
        <v>44093</v>
      </c>
      <c r="J5" s="32" t="str">
        <f t="shared" ca="1" si="0"/>
        <v>OVERDUE</v>
      </c>
      <c r="K5" s="32">
        <f t="shared" ca="1" si="1"/>
        <v>-186</v>
      </c>
      <c r="L5" s="32">
        <f t="shared" ca="1" si="2"/>
        <v>1</v>
      </c>
      <c r="M5" s="32">
        <f t="shared" ca="1" si="3"/>
        <v>0</v>
      </c>
      <c r="N5" s="32">
        <f t="shared" ca="1" si="4"/>
        <v>0</v>
      </c>
      <c r="O5" s="32">
        <f t="shared" ca="1" si="5"/>
        <v>-260</v>
      </c>
      <c r="P5" s="36" t="s">
        <v>81</v>
      </c>
      <c r="Q5" s="27"/>
      <c r="R5" s="27"/>
      <c r="S5" s="27"/>
      <c r="T5" s="27"/>
      <c r="U5" s="27"/>
      <c r="V5" s="27"/>
      <c r="W5" s="27"/>
      <c r="X5" s="27"/>
      <c r="Y5" s="27"/>
      <c r="Z5" s="27"/>
      <c r="AA5" s="27"/>
      <c r="AB5" s="27"/>
      <c r="AC5" s="27"/>
      <c r="AD5" s="27"/>
    </row>
    <row r="6" spans="1:246" ht="152.25" customHeight="1" x14ac:dyDescent="0.15">
      <c r="A6" s="15">
        <v>236</v>
      </c>
      <c r="B6" s="13"/>
      <c r="C6" s="16" t="s">
        <v>82</v>
      </c>
      <c r="D6" s="13" t="s">
        <v>38</v>
      </c>
      <c r="E6" s="13" t="s">
        <v>61</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-206</v>
      </c>
      <c r="P6" s="20" t="s">
        <v>83</v>
      </c>
      <c r="Q6" s="27"/>
      <c r="R6" s="27"/>
      <c r="S6" s="27"/>
      <c r="T6" s="27"/>
      <c r="U6" s="27"/>
      <c r="V6" s="27"/>
      <c r="W6" s="27"/>
      <c r="X6" s="27"/>
      <c r="Y6" s="27"/>
      <c r="Z6" s="27"/>
      <c r="AA6" s="27"/>
      <c r="AB6" s="27"/>
      <c r="AC6" s="27"/>
      <c r="AD6" s="27"/>
    </row>
    <row r="7" spans="1:246" ht="63.75" customHeight="1" x14ac:dyDescent="0.15">
      <c r="A7" s="15">
        <v>237</v>
      </c>
      <c r="B7" s="13"/>
      <c r="C7" s="12" t="s">
        <v>84</v>
      </c>
      <c r="D7" s="13" t="s">
        <v>51</v>
      </c>
      <c r="E7" s="13" t="s">
        <v>39</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-137</v>
      </c>
      <c r="P7" s="20" t="s">
        <v>85</v>
      </c>
      <c r="Q7" s="27"/>
      <c r="R7" s="27"/>
      <c r="S7" s="27"/>
      <c r="T7" s="27"/>
      <c r="U7" s="27"/>
      <c r="V7" s="27"/>
      <c r="W7" s="27"/>
      <c r="X7" s="27"/>
      <c r="Y7" s="27"/>
      <c r="Z7" s="27"/>
      <c r="AA7" s="27"/>
      <c r="AB7" s="27"/>
      <c r="AC7" s="27"/>
      <c r="AD7" s="27"/>
    </row>
    <row r="8" spans="1:246" ht="63.75" customHeight="1" x14ac:dyDescent="0.15">
      <c r="A8" s="15">
        <v>238</v>
      </c>
      <c r="B8" s="13"/>
      <c r="C8" s="12" t="s">
        <v>86</v>
      </c>
      <c r="D8" s="13" t="s">
        <v>51</v>
      </c>
      <c r="E8" s="13" t="s">
        <v>39</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-137</v>
      </c>
      <c r="P8" s="20" t="s">
        <v>87</v>
      </c>
      <c r="Q8" s="27"/>
      <c r="R8" s="27"/>
      <c r="S8" s="27"/>
      <c r="T8" s="27"/>
      <c r="U8" s="27"/>
      <c r="V8" s="27"/>
      <c r="W8" s="27"/>
      <c r="X8" s="27"/>
      <c r="Y8" s="27"/>
      <c r="Z8" s="27"/>
      <c r="AA8" s="27"/>
      <c r="AB8" s="27"/>
      <c r="AC8" s="27"/>
      <c r="AD8" s="27"/>
    </row>
    <row r="9" spans="1:246" ht="78.75" customHeight="1" x14ac:dyDescent="0.15">
      <c r="A9" s="15">
        <v>239</v>
      </c>
      <c r="B9" s="13"/>
      <c r="C9" s="12" t="s">
        <v>88</v>
      </c>
      <c r="D9" s="13" t="s">
        <v>51</v>
      </c>
      <c r="E9" s="13" t="s">
        <v>39</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-137</v>
      </c>
      <c r="P9" s="20" t="s">
        <v>89</v>
      </c>
      <c r="Q9" s="27"/>
      <c r="R9" s="27"/>
      <c r="S9" s="27"/>
      <c r="T9" s="27"/>
      <c r="U9" s="27"/>
      <c r="V9" s="27"/>
      <c r="W9" s="27"/>
      <c r="X9" s="27"/>
      <c r="Y9" s="27"/>
      <c r="Z9" s="27"/>
      <c r="AA9" s="27"/>
      <c r="AB9" s="27"/>
      <c r="AC9" s="27"/>
      <c r="AD9" s="27"/>
    </row>
    <row r="10" spans="1:246" ht="102" customHeight="1" x14ac:dyDescent="0.15">
      <c r="A10" s="15">
        <v>240</v>
      </c>
      <c r="B10" s="13"/>
      <c r="C10" s="12" t="s">
        <v>90</v>
      </c>
      <c r="D10" s="13" t="s">
        <v>51</v>
      </c>
      <c r="E10" s="13" t="s">
        <v>91</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-137</v>
      </c>
      <c r="P10" s="20" t="s">
        <v>92</v>
      </c>
      <c r="Q10" s="27"/>
      <c r="R10" s="27"/>
      <c r="S10" s="27"/>
      <c r="T10" s="27"/>
      <c r="U10" s="27"/>
      <c r="V10" s="27"/>
      <c r="W10" s="27"/>
      <c r="X10" s="27"/>
      <c r="Y10" s="27"/>
      <c r="Z10" s="27"/>
      <c r="AA10" s="27"/>
      <c r="AB10" s="27"/>
      <c r="AC10" s="27"/>
      <c r="AD10" s="27"/>
    </row>
    <row r="11" spans="1:246" ht="85.5" customHeight="1" x14ac:dyDescent="0.15">
      <c r="A11" s="15">
        <v>241</v>
      </c>
      <c r="B11" s="13"/>
      <c r="C11" s="16" t="s">
        <v>93</v>
      </c>
      <c r="D11" s="13" t="s">
        <v>38</v>
      </c>
      <c r="E11" s="13" t="s">
        <v>61</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94</v>
      </c>
      <c r="Q11" s="27"/>
      <c r="R11" s="27"/>
      <c r="S11" s="27"/>
      <c r="T11" s="27"/>
      <c r="U11" s="27"/>
      <c r="V11" s="27"/>
      <c r="W11" s="27"/>
      <c r="X11" s="27"/>
      <c r="Y11" s="27"/>
      <c r="Z11" s="27"/>
      <c r="AA11" s="27"/>
      <c r="AB11" s="27"/>
      <c r="AC11" s="27"/>
      <c r="AD11" s="27"/>
    </row>
    <row r="12" spans="1:246" ht="51" customHeight="1" x14ac:dyDescent="0.15">
      <c r="A12" s="15">
        <v>242</v>
      </c>
      <c r="B12" s="13"/>
      <c r="C12" s="12" t="s">
        <v>95</v>
      </c>
      <c r="D12" s="13" t="s">
        <v>38</v>
      </c>
      <c r="E12" s="13" t="s">
        <v>61</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96</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40" type="noConversion"/>
  <conditionalFormatting sqref="J4">
    <cfRule type="cellIs" dxfId="211" priority="34" operator="equal">
      <formula>"OVERDUE"</formula>
    </cfRule>
    <cfRule type="cellIs" dxfId="210" priority="35" operator="equal">
      <formula>"DONE"</formula>
    </cfRule>
    <cfRule type="cellIs" dxfId="209" priority="36" operator="equal">
      <formula>"DONE"</formula>
    </cfRule>
  </conditionalFormatting>
  <conditionalFormatting sqref="J5">
    <cfRule type="cellIs" dxfId="208" priority="31" operator="equal">
      <formula>"OVERDUE"</formula>
    </cfRule>
    <cfRule type="cellIs" dxfId="207" priority="32" operator="equal">
      <formula>"DONE"</formula>
    </cfRule>
    <cfRule type="cellIs" dxfId="206" priority="33" operator="equal">
      <formula>"DONE"</formula>
    </cfRule>
  </conditionalFormatting>
  <conditionalFormatting sqref="J6">
    <cfRule type="cellIs" dxfId="205" priority="28" operator="equal">
      <formula>"OVERDUE"</formula>
    </cfRule>
    <cfRule type="cellIs" dxfId="204" priority="29" operator="equal">
      <formula>"DONE"</formula>
    </cfRule>
    <cfRule type="cellIs" dxfId="203" priority="30" operator="equal">
      <formula>"DONE"</formula>
    </cfRule>
  </conditionalFormatting>
  <conditionalFormatting sqref="J7">
    <cfRule type="cellIs" dxfId="202" priority="25" operator="equal">
      <formula>"OVERDUE"</formula>
    </cfRule>
    <cfRule type="cellIs" dxfId="201" priority="26" operator="equal">
      <formula>"DONE"</formula>
    </cfRule>
    <cfRule type="cellIs" dxfId="200" priority="27" operator="equal">
      <formula>"DONE"</formula>
    </cfRule>
  </conditionalFormatting>
  <conditionalFormatting sqref="J8">
    <cfRule type="cellIs" dxfId="199" priority="22" operator="equal">
      <formula>"OVERDUE"</formula>
    </cfRule>
    <cfRule type="cellIs" dxfId="198" priority="23" operator="equal">
      <formula>"DONE"</formula>
    </cfRule>
    <cfRule type="cellIs" dxfId="197" priority="24" operator="equal">
      <formula>"DONE"</formula>
    </cfRule>
  </conditionalFormatting>
  <conditionalFormatting sqref="J9">
    <cfRule type="cellIs" dxfId="196" priority="19" operator="equal">
      <formula>"OVERDUE"</formula>
    </cfRule>
    <cfRule type="cellIs" dxfId="195" priority="20" operator="equal">
      <formula>"DONE"</formula>
    </cfRule>
    <cfRule type="cellIs" dxfId="194" priority="21" operator="equal">
      <formula>"DONE"</formula>
    </cfRule>
  </conditionalFormatting>
  <conditionalFormatting sqref="J10">
    <cfRule type="cellIs" dxfId="193" priority="16" operator="equal">
      <formula>"OVERDUE"</formula>
    </cfRule>
    <cfRule type="cellIs" dxfId="192" priority="17" operator="equal">
      <formula>"DONE"</formula>
    </cfRule>
    <cfRule type="cellIs" dxfId="191" priority="18" operator="equal">
      <formula>"DONE"</formula>
    </cfRule>
  </conditionalFormatting>
  <conditionalFormatting sqref="J11">
    <cfRule type="cellIs" dxfId="190" priority="13" operator="equal">
      <formula>"OVERDUE"</formula>
    </cfRule>
    <cfRule type="cellIs" dxfId="189" priority="14" operator="equal">
      <formula>"DONE"</formula>
    </cfRule>
    <cfRule type="cellIs" dxfId="188" priority="15" operator="equal">
      <formula>"DONE"</formula>
    </cfRule>
  </conditionalFormatting>
  <conditionalFormatting sqref="J12">
    <cfRule type="cellIs" dxfId="187" priority="10" operator="equal">
      <formula>"OVERDUE"</formula>
    </cfRule>
    <cfRule type="cellIs" dxfId="186" priority="11" operator="equal">
      <formula>"DONE"</formula>
    </cfRule>
    <cfRule type="cellIs" dxfId="185" priority="12" operator="equal">
      <formula>"DONE"</formula>
    </cfRule>
  </conditionalFormatting>
  <conditionalFormatting sqref="J13">
    <cfRule type="cellIs" dxfId="184" priority="7" operator="equal">
      <formula>"OVERDUE"</formula>
    </cfRule>
    <cfRule type="cellIs" dxfId="183" priority="8" operator="equal">
      <formula>"DONE"</formula>
    </cfRule>
    <cfRule type="cellIs" dxfId="182" priority="9" operator="equal">
      <formula>"DONE"</formula>
    </cfRule>
  </conditionalFormatting>
  <conditionalFormatting sqref="J14">
    <cfRule type="cellIs" dxfId="181" priority="4" operator="equal">
      <formula>"OVERDUE"</formula>
    </cfRule>
    <cfRule type="cellIs" dxfId="180" priority="5" operator="equal">
      <formula>"DONE"</formula>
    </cfRule>
    <cfRule type="cellIs" dxfId="179" priority="6" operator="equal">
      <formula>"DONE"</formula>
    </cfRule>
  </conditionalFormatting>
  <conditionalFormatting sqref="J15">
    <cfRule type="cellIs" dxfId="178" priority="1" operator="equal">
      <formula>"OVERDUE"</formula>
    </cfRule>
    <cfRule type="cellIs" dxfId="177" priority="2" operator="equal">
      <formula>"DONE"</formula>
    </cfRule>
    <cfRule type="cellIs" dxfId="176" priority="3" operator="equal">
      <formula>"DONE"</formula>
    </cfRule>
  </conditionalFormatting>
  <conditionalFormatting sqref="J2:J3 J16:J1048576">
    <cfRule type="cellIs" dxfId="175" priority="37" operator="equal">
      <formula>"OVERDUE"</formula>
    </cfRule>
    <cfRule type="cellIs" dxfId="174" priority="38" operator="equal">
      <formula>"DONE"</formula>
    </cfRule>
    <cfRule type="cellIs" dxfId="173"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0"/>
  <sheetViews>
    <sheetView tabSelected="1" workbookViewId="0">
      <pane ySplit="3" topLeftCell="A16" activePane="bottomLeft" state="frozen"/>
      <selection pane="bottomLeft" activeCell="F20" sqref="F20"/>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373</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43913</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97</v>
      </c>
      <c r="B4" s="11" t="s">
        <v>98</v>
      </c>
      <c r="C4" s="12" t="s">
        <v>99</v>
      </c>
      <c r="D4" s="13" t="s">
        <v>38</v>
      </c>
      <c r="E4" s="13" t="s">
        <v>61</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-63</v>
      </c>
      <c r="P4" s="20" t="s">
        <v>100</v>
      </c>
      <c r="Q4" s="165"/>
      <c r="R4" s="166"/>
      <c r="S4" s="166"/>
      <c r="T4" s="166"/>
      <c r="U4" s="166"/>
      <c r="V4" s="166"/>
      <c r="W4" s="166"/>
      <c r="X4" s="166"/>
      <c r="Y4" s="166"/>
      <c r="Z4" s="166"/>
      <c r="AA4" s="166"/>
      <c r="AB4" s="166"/>
      <c r="AC4" s="27"/>
      <c r="AD4" s="27"/>
    </row>
    <row r="5" spans="1:246" ht="57.75" customHeight="1" x14ac:dyDescent="0.15">
      <c r="A5" s="15">
        <v>241</v>
      </c>
      <c r="B5" s="11" t="s">
        <v>101</v>
      </c>
      <c r="C5" s="16" t="s">
        <v>102</v>
      </c>
      <c r="D5" s="13" t="s">
        <v>51</v>
      </c>
      <c r="E5" s="13" t="s">
        <v>61</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-23</v>
      </c>
      <c r="P5" s="20" t="s">
        <v>410</v>
      </c>
      <c r="Q5" s="165"/>
      <c r="R5" s="166"/>
      <c r="S5" s="166"/>
      <c r="T5" s="166"/>
      <c r="U5" s="166"/>
      <c r="V5" s="166"/>
      <c r="W5" s="166"/>
      <c r="X5" s="166"/>
      <c r="Y5" s="166"/>
      <c r="Z5" s="166"/>
      <c r="AA5" s="166"/>
      <c r="AB5" s="166"/>
      <c r="AC5" s="27"/>
      <c r="AD5" s="27"/>
    </row>
    <row r="6" spans="1:246" ht="24.6" customHeight="1" x14ac:dyDescent="0.15">
      <c r="A6" s="15">
        <v>242</v>
      </c>
      <c r="B6" s="11" t="s">
        <v>103</v>
      </c>
      <c r="C6" s="12" t="s">
        <v>104</v>
      </c>
      <c r="D6" s="13" t="s">
        <v>38</v>
      </c>
      <c r="E6" s="13" t="s">
        <v>35</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-73</v>
      </c>
      <c r="P6" s="20" t="s">
        <v>105</v>
      </c>
      <c r="Q6" s="165"/>
      <c r="R6" s="166"/>
      <c r="S6" s="166"/>
      <c r="T6" s="166"/>
      <c r="U6" s="166"/>
      <c r="V6" s="166"/>
      <c r="W6" s="166"/>
      <c r="X6" s="166"/>
      <c r="Y6" s="166"/>
      <c r="Z6" s="166"/>
      <c r="AA6" s="166"/>
      <c r="AB6" s="166"/>
      <c r="AC6" s="27"/>
      <c r="AD6" s="27"/>
    </row>
    <row r="7" spans="1:246" ht="45" customHeight="1" x14ac:dyDescent="0.15">
      <c r="A7" s="15">
        <v>243</v>
      </c>
      <c r="B7" s="13" t="s">
        <v>106</v>
      </c>
      <c r="C7" s="12" t="s">
        <v>107</v>
      </c>
      <c r="D7" s="13" t="s">
        <v>38</v>
      </c>
      <c r="E7" s="13" t="s">
        <v>35</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-73</v>
      </c>
      <c r="P7" s="20" t="s">
        <v>108</v>
      </c>
      <c r="Q7" s="165"/>
      <c r="R7" s="166"/>
      <c r="S7" s="166"/>
      <c r="T7" s="166"/>
      <c r="U7" s="166"/>
      <c r="V7" s="166"/>
      <c r="W7" s="166"/>
      <c r="X7" s="166"/>
      <c r="Y7" s="166"/>
      <c r="Z7" s="166"/>
      <c r="AA7" s="166"/>
      <c r="AB7" s="166"/>
      <c r="AC7" s="27"/>
      <c r="AD7" s="27"/>
    </row>
    <row r="8" spans="1:246" ht="24.6" customHeight="1" x14ac:dyDescent="0.15">
      <c r="A8" s="10" t="s">
        <v>109</v>
      </c>
      <c r="B8" s="11" t="s">
        <v>110</v>
      </c>
      <c r="C8" s="16" t="s">
        <v>111</v>
      </c>
      <c r="D8" s="13" t="s">
        <v>38</v>
      </c>
      <c r="E8" s="13" t="s">
        <v>35</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-63</v>
      </c>
      <c r="P8" s="20" t="s">
        <v>112</v>
      </c>
      <c r="Q8" s="165"/>
      <c r="R8" s="166"/>
      <c r="S8" s="166"/>
      <c r="T8" s="166"/>
      <c r="U8" s="166"/>
      <c r="V8" s="166"/>
      <c r="W8" s="166"/>
      <c r="X8" s="166"/>
      <c r="Y8" s="166"/>
      <c r="Z8" s="166"/>
      <c r="AA8" s="166"/>
      <c r="AB8" s="166"/>
      <c r="AC8" s="27"/>
      <c r="AD8" s="27"/>
    </row>
    <row r="9" spans="1:246" ht="24.6" customHeight="1" x14ac:dyDescent="0.15">
      <c r="A9" s="10" t="s">
        <v>113</v>
      </c>
      <c r="B9" s="11" t="s">
        <v>114</v>
      </c>
      <c r="C9" s="16" t="s">
        <v>115</v>
      </c>
      <c r="D9" s="13" t="s">
        <v>38</v>
      </c>
      <c r="E9" s="13" t="s">
        <v>35</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-23</v>
      </c>
      <c r="P9" s="20" t="s">
        <v>116</v>
      </c>
      <c r="Q9" s="165"/>
      <c r="R9" s="166"/>
      <c r="S9" s="166"/>
      <c r="T9" s="166"/>
      <c r="U9" s="166"/>
      <c r="V9" s="166"/>
      <c r="W9" s="166"/>
      <c r="X9" s="166"/>
      <c r="Y9" s="166"/>
      <c r="Z9" s="166"/>
      <c r="AA9" s="166"/>
      <c r="AB9" s="166"/>
      <c r="AC9" s="27"/>
      <c r="AD9" s="27"/>
    </row>
    <row r="10" spans="1:246" ht="24.6" customHeight="1" x14ac:dyDescent="0.15">
      <c r="A10" s="15">
        <v>246</v>
      </c>
      <c r="B10" s="11" t="s">
        <v>114</v>
      </c>
      <c r="C10" s="16" t="s">
        <v>117</v>
      </c>
      <c r="D10" s="13" t="s">
        <v>38</v>
      </c>
      <c r="E10" s="13" t="s">
        <v>35</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-23</v>
      </c>
      <c r="P10" s="20" t="s">
        <v>118</v>
      </c>
      <c r="Q10" s="165"/>
      <c r="R10" s="166"/>
      <c r="S10" s="166"/>
      <c r="T10" s="166"/>
      <c r="U10" s="166"/>
      <c r="V10" s="166"/>
      <c r="W10" s="166"/>
      <c r="X10" s="166"/>
      <c r="Y10" s="166"/>
      <c r="Z10" s="166"/>
      <c r="AA10" s="166"/>
      <c r="AB10" s="166"/>
      <c r="AC10" s="27"/>
      <c r="AD10" s="27"/>
    </row>
    <row r="11" spans="1:246" ht="24.6" customHeight="1" x14ac:dyDescent="0.15">
      <c r="A11" s="15">
        <v>247</v>
      </c>
      <c r="B11" s="11" t="s">
        <v>114</v>
      </c>
      <c r="C11" s="16" t="s">
        <v>119</v>
      </c>
      <c r="D11" s="13" t="s">
        <v>38</v>
      </c>
      <c r="E11" s="13" t="s">
        <v>35</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-23</v>
      </c>
      <c r="P11" s="20" t="s">
        <v>120</v>
      </c>
      <c r="Q11" s="165"/>
      <c r="R11" s="166"/>
      <c r="S11" s="166"/>
      <c r="T11" s="166"/>
      <c r="U11" s="166"/>
      <c r="V11" s="166"/>
      <c r="W11" s="166"/>
      <c r="X11" s="166"/>
      <c r="Y11" s="166"/>
      <c r="Z11" s="166"/>
      <c r="AA11" s="166"/>
      <c r="AB11" s="166"/>
      <c r="AC11" s="27"/>
      <c r="AD11" s="27"/>
    </row>
    <row r="12" spans="1:246" ht="39" customHeight="1" x14ac:dyDescent="0.15">
      <c r="A12" s="15">
        <v>248</v>
      </c>
      <c r="B12" s="11" t="s">
        <v>121</v>
      </c>
      <c r="C12" s="12" t="s">
        <v>122</v>
      </c>
      <c r="D12" s="13" t="s">
        <v>38</v>
      </c>
      <c r="E12" s="13" t="s">
        <v>123</v>
      </c>
      <c r="F12" s="14">
        <v>43862</v>
      </c>
      <c r="G12" s="14">
        <v>43890</v>
      </c>
      <c r="H12" s="14"/>
      <c r="I12" s="14"/>
      <c r="J12" s="13" t="str">
        <f t="shared" ref="J12" ca="1" si="30">IF(AND(I12&lt;=$C$2,I12&lt;&gt;0),"DONE",IF(K12&lt;0,"OVERDUE",IF(AND(K12="",O12&lt;0),"OVERDUE","IN TIME")))</f>
        <v>OVERDUE</v>
      </c>
      <c r="K12" s="13" t="str">
        <f t="shared" ref="K12" si="31">IF(H12&gt;0,H12-$C$2,"")</f>
        <v/>
      </c>
      <c r="L12" s="13">
        <f t="shared" ref="L12" ca="1" si="32">IF(J12="OVERDUE",1,0)</f>
        <v>1</v>
      </c>
      <c r="M12" s="13">
        <f t="shared" ref="M12" ca="1" si="33">IF(J12="IN TIME",1,0)</f>
        <v>0</v>
      </c>
      <c r="N12" s="13">
        <f t="shared" ref="N12" ca="1" si="34">IF(J12="DONE",1,0)</f>
        <v>0</v>
      </c>
      <c r="O12" s="13">
        <f t="shared" ref="O12" ca="1" si="35">IF(G12&gt;0,G12-$C$2,"")</f>
        <v>-23</v>
      </c>
      <c r="P12" s="20" t="s">
        <v>440</v>
      </c>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5"/>
      <c r="R13" s="166"/>
      <c r="S13" s="166"/>
      <c r="T13" s="166"/>
      <c r="U13" s="166"/>
      <c r="V13" s="166"/>
      <c r="W13" s="166"/>
      <c r="X13" s="166"/>
      <c r="Y13" s="166"/>
      <c r="Z13" s="166"/>
      <c r="AA13" s="166"/>
      <c r="AB13" s="166"/>
      <c r="AC13" s="27"/>
      <c r="AD13" s="27"/>
    </row>
    <row r="14" spans="1:246" ht="24.6" customHeight="1" x14ac:dyDescent="0.15">
      <c r="A14" s="15"/>
      <c r="B14" s="11" t="s">
        <v>124</v>
      </c>
      <c r="C14" s="16" t="s">
        <v>125</v>
      </c>
      <c r="D14" s="13" t="s">
        <v>38</v>
      </c>
      <c r="E14" s="13" t="s">
        <v>35</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-31</v>
      </c>
      <c r="P14" s="20" t="s">
        <v>126</v>
      </c>
      <c r="Q14" s="165"/>
      <c r="R14" s="166"/>
      <c r="S14" s="166"/>
      <c r="T14" s="166"/>
      <c r="U14" s="166"/>
      <c r="V14" s="166"/>
      <c r="W14" s="166"/>
      <c r="X14" s="166"/>
      <c r="Y14" s="166"/>
      <c r="Z14" s="166"/>
      <c r="AA14" s="166"/>
      <c r="AB14" s="166"/>
      <c r="AC14" s="27"/>
      <c r="AD14" s="27"/>
    </row>
    <row r="15" spans="1:246" ht="24.6" customHeight="1" x14ac:dyDescent="0.15">
      <c r="A15" s="15">
        <v>251</v>
      </c>
      <c r="B15" s="11" t="s">
        <v>127</v>
      </c>
      <c r="C15" s="16" t="s">
        <v>128</v>
      </c>
      <c r="D15" s="13" t="s">
        <v>38</v>
      </c>
      <c r="E15" s="13" t="s">
        <v>35</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-23</v>
      </c>
      <c r="P15" s="20" t="s">
        <v>409</v>
      </c>
      <c r="Q15" s="25"/>
      <c r="R15" s="26"/>
      <c r="S15" s="26"/>
      <c r="T15" s="26"/>
      <c r="U15" s="26"/>
      <c r="V15" s="26"/>
      <c r="W15" s="26"/>
      <c r="X15" s="26"/>
      <c r="Y15" s="26"/>
      <c r="Z15" s="26"/>
      <c r="AA15" s="26"/>
      <c r="AB15" s="26"/>
      <c r="AC15" s="27"/>
      <c r="AD15" s="27"/>
    </row>
    <row r="16" spans="1:246" ht="93" customHeight="1" x14ac:dyDescent="0.15">
      <c r="A16" s="15">
        <v>252</v>
      </c>
      <c r="B16" s="11" t="s">
        <v>129</v>
      </c>
      <c r="C16" s="16" t="s">
        <v>130</v>
      </c>
      <c r="D16" s="13" t="s">
        <v>38</v>
      </c>
      <c r="E16" s="13" t="s">
        <v>415</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-14</v>
      </c>
      <c r="P16" s="20" t="s">
        <v>408</v>
      </c>
      <c r="Q16" s="25"/>
      <c r="R16" s="26"/>
      <c r="S16" s="26"/>
      <c r="T16" s="26"/>
      <c r="U16" s="26"/>
      <c r="V16" s="26"/>
      <c r="W16" s="26"/>
      <c r="X16" s="26"/>
      <c r="Y16" s="26"/>
      <c r="Z16" s="26"/>
      <c r="AA16" s="26"/>
      <c r="AB16" s="26"/>
      <c r="AC16" s="27"/>
      <c r="AD16" s="27"/>
    </row>
    <row r="17" spans="1:30" ht="24.6" customHeight="1" x14ac:dyDescent="0.15">
      <c r="A17" s="15">
        <v>253</v>
      </c>
      <c r="B17" s="11" t="s">
        <v>413</v>
      </c>
      <c r="C17" s="16" t="s">
        <v>414</v>
      </c>
      <c r="D17" s="13" t="s">
        <v>38</v>
      </c>
      <c r="E17" s="13" t="s">
        <v>416</v>
      </c>
      <c r="F17" s="14">
        <v>43899</v>
      </c>
      <c r="G17" s="14">
        <v>43931</v>
      </c>
      <c r="H17" s="14"/>
      <c r="I17" s="14"/>
      <c r="J17" s="13" t="str">
        <f t="shared" ref="J17" ca="1" si="60">IF(AND(I17&lt;=$C$2,I17&lt;&gt;0),"DONE",IF(K17&lt;0,"OVERDUE",IF(AND(K17="",O17&lt;0),"OVERDUE","IN TIME")))</f>
        <v>IN TIME</v>
      </c>
      <c r="K17" s="13" t="str">
        <f t="shared" ref="K17" si="61">IF(H17&gt;0,H17-$C$2,"")</f>
        <v/>
      </c>
      <c r="L17" s="13">
        <f t="shared" ref="L17" ca="1" si="62">IF(J17="OVERDUE",1,0)</f>
        <v>0</v>
      </c>
      <c r="M17" s="13">
        <f t="shared" ref="M17" ca="1" si="63">IF(J17="IN TIME",1,0)</f>
        <v>1</v>
      </c>
      <c r="N17" s="13">
        <f t="shared" ref="N17" ca="1" si="64">IF(J17="DONE",1,0)</f>
        <v>0</v>
      </c>
      <c r="O17" s="13">
        <f t="shared" ref="O17" ca="1" si="65">IF(G17&gt;0,G17-$C$2,"")</f>
        <v>18</v>
      </c>
      <c r="P17" s="20" t="s">
        <v>435</v>
      </c>
      <c r="Q17" s="25"/>
      <c r="R17" s="26"/>
      <c r="S17" s="26"/>
      <c r="T17" s="26"/>
      <c r="U17" s="26"/>
      <c r="V17" s="26"/>
      <c r="W17" s="26"/>
      <c r="X17" s="26"/>
      <c r="Y17" s="26"/>
      <c r="Z17" s="26"/>
      <c r="AA17" s="26"/>
      <c r="AB17" s="26"/>
      <c r="AC17" s="27"/>
      <c r="AD17" s="27"/>
    </row>
    <row r="18" spans="1:30" ht="24.6" customHeight="1" x14ac:dyDescent="0.15">
      <c r="A18" s="15"/>
      <c r="B18" s="11" t="s">
        <v>417</v>
      </c>
      <c r="C18" s="16" t="s">
        <v>441</v>
      </c>
      <c r="D18" s="13" t="s">
        <v>38</v>
      </c>
      <c r="E18" s="13" t="s">
        <v>420</v>
      </c>
      <c r="F18" s="14">
        <v>43899</v>
      </c>
      <c r="G18" s="14">
        <v>43931</v>
      </c>
      <c r="H18" s="14"/>
      <c r="I18" s="14"/>
      <c r="J18" s="13" t="str">
        <f t="shared" ref="J18" ca="1" si="66">IF(AND(I18&lt;=$C$2,I18&lt;&gt;0),"DONE",IF(K18&lt;0,"OVERDUE",IF(AND(K18="",O18&lt;0),"OVERDUE","IN TIME")))</f>
        <v>IN TIME</v>
      </c>
      <c r="K18" s="13" t="str">
        <f t="shared" ref="K18" si="67">IF(H18&gt;0,H18-$C$2,"")</f>
        <v/>
      </c>
      <c r="L18" s="13">
        <f t="shared" ref="L18" ca="1" si="68">IF(J18="OVERDUE",1,0)</f>
        <v>0</v>
      </c>
      <c r="M18" s="13">
        <f t="shared" ref="M18" ca="1" si="69">IF(J18="IN TIME",1,0)</f>
        <v>1</v>
      </c>
      <c r="N18" s="13">
        <f t="shared" ref="N18" ca="1" si="70">IF(J18="DONE",1,0)</f>
        <v>0</v>
      </c>
      <c r="O18" s="13">
        <f t="shared" ref="O18" ca="1" si="71">IF(G18&gt;0,G18-$C$2,"")</f>
        <v>18</v>
      </c>
      <c r="P18" s="20" t="s">
        <v>436</v>
      </c>
      <c r="Q18" s="25"/>
      <c r="R18" s="26"/>
      <c r="S18" s="26"/>
      <c r="T18" s="26"/>
      <c r="U18" s="26"/>
      <c r="V18" s="26"/>
      <c r="W18" s="26"/>
      <c r="X18" s="26"/>
      <c r="Y18" s="26"/>
      <c r="Z18" s="26"/>
      <c r="AA18" s="26"/>
      <c r="AB18" s="26"/>
      <c r="AC18" s="27"/>
      <c r="AD18" s="27"/>
    </row>
    <row r="19" spans="1:30" ht="24.6" customHeight="1" x14ac:dyDescent="0.15">
      <c r="A19" s="15">
        <v>255</v>
      </c>
      <c r="B19" s="11" t="s">
        <v>419</v>
      </c>
      <c r="C19" s="12" t="s">
        <v>418</v>
      </c>
      <c r="D19" s="13" t="s">
        <v>38</v>
      </c>
      <c r="E19" s="13" t="s">
        <v>421</v>
      </c>
      <c r="F19" s="14">
        <v>43899</v>
      </c>
      <c r="G19" s="14">
        <v>43931</v>
      </c>
      <c r="H19" s="14"/>
      <c r="I19" s="14"/>
      <c r="J19" s="13" t="str">
        <f t="shared" ref="J19" ca="1" si="72">IF(AND(I19&lt;=$C$2,I19&lt;&gt;0),"DONE",IF(K19&lt;0,"OVERDUE",IF(AND(K19="",O19&lt;0),"OVERDUE","IN TIME")))</f>
        <v>IN TIME</v>
      </c>
      <c r="K19" s="13" t="str">
        <f t="shared" ref="K19" si="73">IF(H19&gt;0,H19-$C$2,"")</f>
        <v/>
      </c>
      <c r="L19" s="13">
        <f t="shared" ref="L19" ca="1" si="74">IF(J19="OVERDUE",1,0)</f>
        <v>0</v>
      </c>
      <c r="M19" s="13">
        <f t="shared" ref="M19" ca="1" si="75">IF(J19="IN TIME",1,0)</f>
        <v>1</v>
      </c>
      <c r="N19" s="13">
        <f t="shared" ref="N19" ca="1" si="76">IF(J19="DONE",1,0)</f>
        <v>0</v>
      </c>
      <c r="O19" s="13">
        <f t="shared" ref="O19" ca="1" si="77">IF(G19&gt;0,G19-$C$2,"")</f>
        <v>18</v>
      </c>
      <c r="P19" s="20" t="s">
        <v>436</v>
      </c>
      <c r="Q19" s="25"/>
      <c r="R19" s="26"/>
      <c r="S19" s="26"/>
      <c r="T19" s="26"/>
      <c r="U19" s="26"/>
      <c r="V19" s="26"/>
      <c r="W19" s="26"/>
      <c r="X19" s="26"/>
      <c r="Y19" s="26"/>
      <c r="Z19" s="26"/>
      <c r="AA19" s="26"/>
      <c r="AB19" s="26"/>
      <c r="AC19" s="27"/>
      <c r="AD19" s="27"/>
    </row>
    <row r="20" spans="1:30" ht="24.6" customHeight="1" x14ac:dyDescent="0.15">
      <c r="A20" s="15" t="s">
        <v>422</v>
      </c>
      <c r="B20" s="11" t="s">
        <v>423</v>
      </c>
      <c r="C20" s="12" t="s">
        <v>426</v>
      </c>
      <c r="D20" s="13" t="s">
        <v>38</v>
      </c>
      <c r="E20" s="13" t="s">
        <v>424</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18</v>
      </c>
      <c r="P20" s="20" t="s">
        <v>437</v>
      </c>
      <c r="Q20" s="25"/>
      <c r="R20" s="26"/>
      <c r="S20" s="26"/>
      <c r="T20" s="26"/>
      <c r="U20" s="26"/>
      <c r="V20" s="26"/>
      <c r="W20" s="26"/>
      <c r="X20" s="26"/>
      <c r="Y20" s="26"/>
      <c r="Z20" s="26"/>
      <c r="AA20" s="26"/>
      <c r="AB20" s="26"/>
      <c r="AC20" s="27"/>
      <c r="AD20" s="27"/>
    </row>
    <row r="21" spans="1:30" ht="24.6" customHeight="1" x14ac:dyDescent="0.15">
      <c r="A21" s="15">
        <v>257</v>
      </c>
      <c r="B21" s="11" t="s">
        <v>425</v>
      </c>
      <c r="C21" s="12" t="s">
        <v>427</v>
      </c>
      <c r="D21" s="13" t="s">
        <v>38</v>
      </c>
      <c r="E21" s="13" t="s">
        <v>424</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18</v>
      </c>
      <c r="P21" s="20" t="s">
        <v>438</v>
      </c>
      <c r="Q21" s="25"/>
      <c r="R21" s="26"/>
      <c r="S21" s="26"/>
      <c r="T21" s="26"/>
      <c r="U21" s="26"/>
      <c r="V21" s="26"/>
      <c r="W21" s="26"/>
      <c r="X21" s="26"/>
      <c r="Y21" s="26"/>
      <c r="Z21" s="26"/>
      <c r="AA21" s="26"/>
      <c r="AB21" s="26"/>
      <c r="AC21" s="27"/>
      <c r="AD21" s="27"/>
    </row>
    <row r="22" spans="1:30" ht="24.6" customHeight="1" x14ac:dyDescent="0.15">
      <c r="A22" s="15">
        <v>258</v>
      </c>
      <c r="B22" s="11" t="s">
        <v>428</v>
      </c>
      <c r="C22" s="16" t="s">
        <v>429</v>
      </c>
      <c r="D22" s="13" t="s">
        <v>38</v>
      </c>
      <c r="E22" s="13" t="s">
        <v>424</v>
      </c>
      <c r="F22" s="14">
        <v>43899</v>
      </c>
      <c r="G22" s="14">
        <v>43931</v>
      </c>
      <c r="H22" s="14"/>
      <c r="I22" s="14"/>
      <c r="J22" s="13" t="str">
        <f t="shared" ref="J22" ca="1" si="90">IF(AND(I22&lt;=$C$2,I22&lt;&gt;0),"DONE",IF(K22&lt;0,"OVERDUE",IF(AND(K22="",O22&lt;0),"OVERDUE","IN TIME")))</f>
        <v>IN TIME</v>
      </c>
      <c r="K22" s="13" t="str">
        <f t="shared" ref="K22" si="91">IF(H22&gt;0,H22-$C$2,"")</f>
        <v/>
      </c>
      <c r="L22" s="13">
        <f t="shared" ref="L22" ca="1" si="92">IF(J22="OVERDUE",1,0)</f>
        <v>0</v>
      </c>
      <c r="M22" s="13">
        <f t="shared" ref="M22" ca="1" si="93">IF(J22="IN TIME",1,0)</f>
        <v>1</v>
      </c>
      <c r="N22" s="13">
        <f t="shared" ref="N22" ca="1" si="94">IF(J22="DONE",1,0)</f>
        <v>0</v>
      </c>
      <c r="O22" s="13">
        <f t="shared" ref="O22" ca="1" si="95">IF(G22&gt;0,G22-$C$2,"")</f>
        <v>18</v>
      </c>
      <c r="P22" s="20" t="s">
        <v>439</v>
      </c>
      <c r="Q22" s="25"/>
      <c r="R22" s="26"/>
      <c r="S22" s="26"/>
      <c r="T22" s="26"/>
      <c r="U22" s="26"/>
      <c r="V22" s="26"/>
      <c r="W22" s="26"/>
      <c r="X22" s="26"/>
      <c r="Y22" s="26"/>
      <c r="Z22" s="26"/>
      <c r="AA22" s="26"/>
      <c r="AB22" s="26"/>
      <c r="AC22" s="27"/>
      <c r="AD22" s="27"/>
    </row>
    <row r="23" spans="1:30" ht="24.6" customHeight="1" x14ac:dyDescent="0.15">
      <c r="A23" s="15">
        <v>259</v>
      </c>
      <c r="B23" s="11" t="s">
        <v>431</v>
      </c>
      <c r="C23" s="12" t="s">
        <v>432</v>
      </c>
      <c r="D23" s="13" t="s">
        <v>38</v>
      </c>
      <c r="E23" s="13" t="s">
        <v>433</v>
      </c>
      <c r="F23" s="14">
        <v>43899</v>
      </c>
      <c r="G23" s="14">
        <v>43931</v>
      </c>
      <c r="H23" s="14"/>
      <c r="I23" s="14"/>
      <c r="J23" s="13" t="str">
        <f t="shared" ref="J23" ca="1" si="96">IF(AND(I23&lt;=$C$2,I23&lt;&gt;0),"DONE",IF(K23&lt;0,"OVERDUE",IF(AND(K23="",O23&lt;0),"OVERDUE","IN TIME")))</f>
        <v>IN TIME</v>
      </c>
      <c r="K23" s="13" t="str">
        <f t="shared" ref="K23" si="97">IF(H23&gt;0,H23-$C$2,"")</f>
        <v/>
      </c>
      <c r="L23" s="13">
        <f t="shared" ref="L23" ca="1" si="98">IF(J23="OVERDUE",1,0)</f>
        <v>0</v>
      </c>
      <c r="M23" s="13">
        <f t="shared" ref="M23" ca="1" si="99">IF(J23="IN TIME",1,0)</f>
        <v>1</v>
      </c>
      <c r="N23" s="13">
        <f t="shared" ref="N23" ca="1" si="100">IF(J23="DONE",1,0)</f>
        <v>0</v>
      </c>
      <c r="O23" s="13">
        <f t="shared" ref="O23" ca="1" si="101">IF(G23&gt;0,G23-$C$2,"")</f>
        <v>18</v>
      </c>
      <c r="P23" s="20" t="s">
        <v>430</v>
      </c>
      <c r="Q23" s="25"/>
      <c r="R23" s="26"/>
      <c r="S23" s="26"/>
      <c r="T23" s="26"/>
      <c r="U23" s="26"/>
      <c r="V23" s="26"/>
      <c r="W23" s="26"/>
      <c r="X23" s="26"/>
      <c r="Y23" s="26"/>
      <c r="Z23" s="26"/>
      <c r="AA23" s="26"/>
      <c r="AB23" s="26"/>
      <c r="AC23" s="27"/>
      <c r="AD23" s="27"/>
    </row>
    <row r="24" spans="1:30" ht="24.6" customHeight="1" x14ac:dyDescent="0.15">
      <c r="A24" s="15">
        <v>260</v>
      </c>
      <c r="B24" s="13"/>
      <c r="C24" s="12"/>
      <c r="D24" s="13"/>
      <c r="E24" s="13"/>
      <c r="F24" s="14"/>
      <c r="G24" s="14"/>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t="str">
        <f t="shared" ref="O24" si="107">IF(G24&gt;0,G24-$C$2,"")</f>
        <v/>
      </c>
      <c r="P24" s="20"/>
      <c r="Q24" s="25"/>
      <c r="R24" s="26"/>
      <c r="S24" s="26"/>
      <c r="T24" s="26"/>
      <c r="U24" s="26"/>
      <c r="V24" s="26"/>
      <c r="W24" s="26"/>
      <c r="X24" s="26"/>
      <c r="Y24" s="26"/>
      <c r="Z24" s="26"/>
      <c r="AA24" s="26"/>
      <c r="AB24" s="26"/>
      <c r="AC24" s="27"/>
      <c r="AD24" s="27"/>
    </row>
    <row r="25" spans="1:30" ht="24.6" customHeight="1" x14ac:dyDescent="0.15">
      <c r="A25" s="15">
        <v>261</v>
      </c>
      <c r="B25" s="13"/>
      <c r="C25" s="12"/>
      <c r="D25" s="13"/>
      <c r="E25" s="13"/>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c r="D26" s="13"/>
      <c r="E26" s="13"/>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v>263</v>
      </c>
      <c r="B27" s="13"/>
      <c r="C27" s="12"/>
      <c r="D27" s="13"/>
      <c r="E27" s="13"/>
      <c r="F27" s="14"/>
      <c r="G27" s="14"/>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t="str">
        <f t="shared" ref="O27" si="125">IF(G27&gt;0,G27-$C$2,"")</f>
        <v/>
      </c>
      <c r="P27" s="20"/>
      <c r="Q27" s="25"/>
      <c r="R27" s="26"/>
      <c r="S27" s="26"/>
      <c r="T27" s="26"/>
      <c r="U27" s="26"/>
      <c r="V27" s="26"/>
      <c r="W27" s="26"/>
      <c r="X27" s="26"/>
      <c r="Y27" s="26"/>
      <c r="Z27" s="26"/>
      <c r="AA27" s="26"/>
      <c r="AB27" s="26"/>
      <c r="AC27" s="27"/>
      <c r="AD27" s="27"/>
    </row>
    <row r="28" spans="1:30" ht="24.6" customHeight="1" x14ac:dyDescent="0.15">
      <c r="A28" s="15">
        <v>264</v>
      </c>
      <c r="B28" s="13"/>
      <c r="C28" s="12"/>
      <c r="D28" s="13"/>
      <c r="E28" s="13"/>
      <c r="F28" s="14"/>
      <c r="G28" s="14"/>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t="str">
        <f t="shared" ref="O28" si="131">IF(G28&gt;0,G28-$C$2,"")</f>
        <v/>
      </c>
      <c r="P28" s="20"/>
      <c r="Q28" s="25"/>
      <c r="R28" s="26"/>
      <c r="S28" s="26"/>
      <c r="T28" s="26"/>
      <c r="U28" s="26"/>
      <c r="V28" s="26"/>
      <c r="W28" s="26"/>
      <c r="X28" s="26"/>
      <c r="Y28" s="26"/>
      <c r="Z28" s="26"/>
      <c r="AA28" s="26"/>
      <c r="AB28" s="26"/>
      <c r="AC28" s="27"/>
      <c r="AD28" s="27"/>
    </row>
    <row r="29" spans="1:30" ht="24.6" customHeight="1" x14ac:dyDescent="0.15">
      <c r="A29" s="15">
        <v>265</v>
      </c>
      <c r="B29" s="13"/>
      <c r="C29" s="12"/>
      <c r="D29" s="13"/>
      <c r="E29" s="13"/>
      <c r="F29" s="14"/>
      <c r="G29" s="14"/>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t="str">
        <f t="shared" ref="O29" si="137">IF(G29&gt;0,G29-$C$2,"")</f>
        <v/>
      </c>
      <c r="P29" s="20"/>
      <c r="Q29" s="25"/>
      <c r="R29" s="26"/>
      <c r="S29" s="26"/>
      <c r="T29" s="26"/>
      <c r="U29" s="26"/>
      <c r="V29" s="26"/>
      <c r="W29" s="26"/>
      <c r="X29" s="26"/>
      <c r="Y29" s="26"/>
      <c r="Z29" s="26"/>
      <c r="AA29" s="26"/>
      <c r="AB29" s="26"/>
      <c r="AC29" s="27"/>
      <c r="AD29" s="27"/>
    </row>
    <row r="30" spans="1:30" ht="24.6" customHeight="1" x14ac:dyDescent="0.15">
      <c r="A30" s="15">
        <v>266</v>
      </c>
      <c r="B30" s="13"/>
      <c r="C30" s="12"/>
      <c r="D30" s="13"/>
      <c r="E30" s="13"/>
      <c r="F30" s="14"/>
      <c r="G30" s="14"/>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t="str">
        <f t="shared" ref="O30" si="143">IF(G30&gt;0,G30-$C$2,"")</f>
        <v/>
      </c>
      <c r="P30" s="20"/>
      <c r="Q30" s="25"/>
      <c r="R30" s="26"/>
      <c r="S30" s="26"/>
      <c r="T30" s="26"/>
      <c r="U30" s="26"/>
      <c r="V30" s="26"/>
      <c r="W30" s="26"/>
      <c r="X30" s="26"/>
      <c r="Y30" s="26"/>
      <c r="Z30" s="26"/>
      <c r="AA30" s="26"/>
      <c r="AB30" s="26"/>
      <c r="AC30" s="27"/>
      <c r="AD30" s="27"/>
    </row>
  </sheetData>
  <autoFilter ref="A3:P30"/>
  <mergeCells count="3">
    <mergeCell ref="A1:P1"/>
    <mergeCell ref="A2:B2"/>
    <mergeCell ref="Q3:AB14"/>
  </mergeCells>
  <phoneticPr fontId="40" type="noConversion"/>
  <conditionalFormatting sqref="J4">
    <cfRule type="cellIs" dxfId="172" priority="79" operator="equal">
      <formula>"OVERDUE"</formula>
    </cfRule>
    <cfRule type="cellIs" dxfId="171" priority="80" operator="equal">
      <formula>"DONE"</formula>
    </cfRule>
    <cfRule type="cellIs" dxfId="170" priority="81" operator="equal">
      <formula>"DONE"</formula>
    </cfRule>
  </conditionalFormatting>
  <conditionalFormatting sqref="J5">
    <cfRule type="cellIs" dxfId="169" priority="76" operator="equal">
      <formula>"OVERDUE"</formula>
    </cfRule>
    <cfRule type="cellIs" dxfId="168" priority="77" operator="equal">
      <formula>"DONE"</formula>
    </cfRule>
    <cfRule type="cellIs" dxfId="167" priority="78" operator="equal">
      <formula>"DONE"</formula>
    </cfRule>
  </conditionalFormatting>
  <conditionalFormatting sqref="J6">
    <cfRule type="cellIs" dxfId="166" priority="73" operator="equal">
      <formula>"OVERDUE"</formula>
    </cfRule>
    <cfRule type="cellIs" dxfId="165" priority="74" operator="equal">
      <formula>"DONE"</formula>
    </cfRule>
    <cfRule type="cellIs" dxfId="164" priority="75" operator="equal">
      <formula>"DONE"</formula>
    </cfRule>
  </conditionalFormatting>
  <conditionalFormatting sqref="J7">
    <cfRule type="cellIs" dxfId="163" priority="70" operator="equal">
      <formula>"OVERDUE"</formula>
    </cfRule>
    <cfRule type="cellIs" dxfId="162" priority="71" operator="equal">
      <formula>"DONE"</formula>
    </cfRule>
    <cfRule type="cellIs" dxfId="161" priority="72" operator="equal">
      <formula>"DONE"</formula>
    </cfRule>
  </conditionalFormatting>
  <conditionalFormatting sqref="J8">
    <cfRule type="cellIs" dxfId="160" priority="67" operator="equal">
      <formula>"OVERDUE"</formula>
    </cfRule>
    <cfRule type="cellIs" dxfId="159" priority="68" operator="equal">
      <formula>"DONE"</formula>
    </cfRule>
    <cfRule type="cellIs" dxfId="158" priority="69" operator="equal">
      <formula>"DONE"</formula>
    </cfRule>
  </conditionalFormatting>
  <conditionalFormatting sqref="J9">
    <cfRule type="cellIs" dxfId="157" priority="64" operator="equal">
      <formula>"OVERDUE"</formula>
    </cfRule>
    <cfRule type="cellIs" dxfId="156" priority="65" operator="equal">
      <formula>"DONE"</formula>
    </cfRule>
    <cfRule type="cellIs" dxfId="155" priority="66" operator="equal">
      <formula>"DONE"</formula>
    </cfRule>
  </conditionalFormatting>
  <conditionalFormatting sqref="J10">
    <cfRule type="cellIs" dxfId="154" priority="61" operator="equal">
      <formula>"OVERDUE"</formula>
    </cfRule>
    <cfRule type="cellIs" dxfId="153" priority="62" operator="equal">
      <formula>"DONE"</formula>
    </cfRule>
    <cfRule type="cellIs" dxfId="152" priority="63" operator="equal">
      <formula>"DONE"</formula>
    </cfRule>
  </conditionalFormatting>
  <conditionalFormatting sqref="J11">
    <cfRule type="cellIs" dxfId="151" priority="58" operator="equal">
      <formula>"OVERDUE"</formula>
    </cfRule>
    <cfRule type="cellIs" dxfId="150" priority="59" operator="equal">
      <formula>"DONE"</formula>
    </cfRule>
    <cfRule type="cellIs" dxfId="149" priority="60" operator="equal">
      <formula>"DONE"</formula>
    </cfRule>
  </conditionalFormatting>
  <conditionalFormatting sqref="J12">
    <cfRule type="cellIs" dxfId="148" priority="55" operator="equal">
      <formula>"OVERDUE"</formula>
    </cfRule>
    <cfRule type="cellIs" dxfId="147" priority="56" operator="equal">
      <formula>"DONE"</formula>
    </cfRule>
    <cfRule type="cellIs" dxfId="146" priority="57" operator="equal">
      <formula>"DONE"</formula>
    </cfRule>
  </conditionalFormatting>
  <conditionalFormatting sqref="J13">
    <cfRule type="cellIs" dxfId="145" priority="52" operator="equal">
      <formula>"OVERDUE"</formula>
    </cfRule>
    <cfRule type="cellIs" dxfId="144" priority="53" operator="equal">
      <formula>"DONE"</formula>
    </cfRule>
    <cfRule type="cellIs" dxfId="143" priority="54" operator="equal">
      <formula>"DONE"</formula>
    </cfRule>
  </conditionalFormatting>
  <conditionalFormatting sqref="J14">
    <cfRule type="cellIs" dxfId="142" priority="49" operator="equal">
      <formula>"OVERDUE"</formula>
    </cfRule>
    <cfRule type="cellIs" dxfId="141" priority="50" operator="equal">
      <formula>"DONE"</formula>
    </cfRule>
    <cfRule type="cellIs" dxfId="140" priority="51" operator="equal">
      <formula>"DONE"</formula>
    </cfRule>
  </conditionalFormatting>
  <conditionalFormatting sqref="J15">
    <cfRule type="cellIs" dxfId="139" priority="46" operator="equal">
      <formula>"OVERDUE"</formula>
    </cfRule>
    <cfRule type="cellIs" dxfId="138" priority="47" operator="equal">
      <formula>"DONE"</formula>
    </cfRule>
    <cfRule type="cellIs" dxfId="137" priority="48" operator="equal">
      <formula>"DONE"</formula>
    </cfRule>
  </conditionalFormatting>
  <conditionalFormatting sqref="J16">
    <cfRule type="cellIs" dxfId="136" priority="43" operator="equal">
      <formula>"OVERDUE"</formula>
    </cfRule>
    <cfRule type="cellIs" dxfId="135" priority="44" operator="equal">
      <formula>"DONE"</formula>
    </cfRule>
    <cfRule type="cellIs" dxfId="134" priority="45" operator="equal">
      <formula>"DONE"</formula>
    </cfRule>
  </conditionalFormatting>
  <conditionalFormatting sqref="J17">
    <cfRule type="cellIs" dxfId="133" priority="40" operator="equal">
      <formula>"OVERDUE"</formula>
    </cfRule>
    <cfRule type="cellIs" dxfId="132" priority="41" operator="equal">
      <formula>"DONE"</formula>
    </cfRule>
    <cfRule type="cellIs" dxfId="131" priority="42" operator="equal">
      <formula>"DONE"</formula>
    </cfRule>
  </conditionalFormatting>
  <conditionalFormatting sqref="J18">
    <cfRule type="cellIs" dxfId="130" priority="37" operator="equal">
      <formula>"OVERDUE"</formula>
    </cfRule>
    <cfRule type="cellIs" dxfId="129" priority="38" operator="equal">
      <formula>"DONE"</formula>
    </cfRule>
    <cfRule type="cellIs" dxfId="128" priority="39" operator="equal">
      <formula>"DONE"</formula>
    </cfRule>
  </conditionalFormatting>
  <conditionalFormatting sqref="J19">
    <cfRule type="cellIs" dxfId="127" priority="34" operator="equal">
      <formula>"OVERDUE"</formula>
    </cfRule>
    <cfRule type="cellIs" dxfId="126" priority="35" operator="equal">
      <formula>"DONE"</formula>
    </cfRule>
    <cfRule type="cellIs" dxfId="125" priority="36" operator="equal">
      <formula>"DONE"</formula>
    </cfRule>
  </conditionalFormatting>
  <conditionalFormatting sqref="J20">
    <cfRule type="cellIs" dxfId="124" priority="31" operator="equal">
      <formula>"OVERDUE"</formula>
    </cfRule>
    <cfRule type="cellIs" dxfId="123" priority="32" operator="equal">
      <formula>"DONE"</formula>
    </cfRule>
    <cfRule type="cellIs" dxfId="122" priority="33" operator="equal">
      <formula>"DONE"</formula>
    </cfRule>
  </conditionalFormatting>
  <conditionalFormatting sqref="J21">
    <cfRule type="cellIs" dxfId="121" priority="28" operator="equal">
      <formula>"OVERDUE"</formula>
    </cfRule>
    <cfRule type="cellIs" dxfId="120" priority="29" operator="equal">
      <formula>"DONE"</formula>
    </cfRule>
    <cfRule type="cellIs" dxfId="119" priority="30" operator="equal">
      <formula>"DONE"</formula>
    </cfRule>
  </conditionalFormatting>
  <conditionalFormatting sqref="J22">
    <cfRule type="cellIs" dxfId="118" priority="25" operator="equal">
      <formula>"OVERDUE"</formula>
    </cfRule>
    <cfRule type="cellIs" dxfId="117" priority="26" operator="equal">
      <formula>"DONE"</formula>
    </cfRule>
    <cfRule type="cellIs" dxfId="116" priority="27" operator="equal">
      <formula>"DONE"</formula>
    </cfRule>
  </conditionalFormatting>
  <conditionalFormatting sqref="J23">
    <cfRule type="cellIs" dxfId="115" priority="22" operator="equal">
      <formula>"OVERDUE"</formula>
    </cfRule>
    <cfRule type="cellIs" dxfId="114" priority="23" operator="equal">
      <formula>"DONE"</formula>
    </cfRule>
    <cfRule type="cellIs" dxfId="113" priority="24" operator="equal">
      <formula>"DONE"</formula>
    </cfRule>
  </conditionalFormatting>
  <conditionalFormatting sqref="J24">
    <cfRule type="cellIs" dxfId="112" priority="19" operator="equal">
      <formula>"OVERDUE"</formula>
    </cfRule>
    <cfRule type="cellIs" dxfId="111" priority="20" operator="equal">
      <formula>"DONE"</formula>
    </cfRule>
    <cfRule type="cellIs" dxfId="110" priority="21" operator="equal">
      <formula>"DONE"</formula>
    </cfRule>
  </conditionalFormatting>
  <conditionalFormatting sqref="J25">
    <cfRule type="cellIs" dxfId="109" priority="16" operator="equal">
      <formula>"OVERDUE"</formula>
    </cfRule>
    <cfRule type="cellIs" dxfId="108" priority="17" operator="equal">
      <formula>"DONE"</formula>
    </cfRule>
    <cfRule type="cellIs" dxfId="107" priority="18" operator="equal">
      <formula>"DONE"</formula>
    </cfRule>
  </conditionalFormatting>
  <conditionalFormatting sqref="J26">
    <cfRule type="cellIs" dxfId="106" priority="13" operator="equal">
      <formula>"OVERDUE"</formula>
    </cfRule>
    <cfRule type="cellIs" dxfId="105" priority="14" operator="equal">
      <formula>"DONE"</formula>
    </cfRule>
    <cfRule type="cellIs" dxfId="104" priority="15" operator="equal">
      <formula>"DONE"</formula>
    </cfRule>
  </conditionalFormatting>
  <conditionalFormatting sqref="J27">
    <cfRule type="cellIs" dxfId="103" priority="10" operator="equal">
      <formula>"OVERDUE"</formula>
    </cfRule>
    <cfRule type="cellIs" dxfId="102" priority="11" operator="equal">
      <formula>"DONE"</formula>
    </cfRule>
    <cfRule type="cellIs" dxfId="101" priority="12" operator="equal">
      <formula>"DONE"</formula>
    </cfRule>
  </conditionalFormatting>
  <conditionalFormatting sqref="J28">
    <cfRule type="cellIs" dxfId="100" priority="7" operator="equal">
      <formula>"OVERDUE"</formula>
    </cfRule>
    <cfRule type="cellIs" dxfId="99" priority="8" operator="equal">
      <formula>"DONE"</formula>
    </cfRule>
    <cfRule type="cellIs" dxfId="98" priority="9" operator="equal">
      <formula>"DONE"</formula>
    </cfRule>
  </conditionalFormatting>
  <conditionalFormatting sqref="J29">
    <cfRule type="cellIs" dxfId="97" priority="4" operator="equal">
      <formula>"OVERDUE"</formula>
    </cfRule>
    <cfRule type="cellIs" dxfId="96" priority="5" operator="equal">
      <formula>"DONE"</formula>
    </cfRule>
    <cfRule type="cellIs" dxfId="95" priority="6" operator="equal">
      <formula>"DONE"</formula>
    </cfRule>
  </conditionalFormatting>
  <conditionalFormatting sqref="J30">
    <cfRule type="cellIs" dxfId="94" priority="1" operator="equal">
      <formula>"OVERDUE"</formula>
    </cfRule>
    <cfRule type="cellIs" dxfId="93" priority="2" operator="equal">
      <formula>"DONE"</formula>
    </cfRule>
    <cfRule type="cellIs" dxfId="92" priority="3" operator="equal">
      <formula>"DONE"</formula>
    </cfRule>
  </conditionalFormatting>
  <conditionalFormatting sqref="J2:J3 J31:J1048576">
    <cfRule type="cellIs" dxfId="91" priority="100" operator="equal">
      <formula>"OVERDUE"</formula>
    </cfRule>
    <cfRule type="cellIs" dxfId="90" priority="101" operator="equal">
      <formula>"DONE"</formula>
    </cfRule>
    <cfRule type="cellIs" dxfId="89" priority="102"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27" activePane="bottomLeft" state="frozen"/>
      <selection pane="bottomLeft" activeCell="D21" sqref="D21"/>
    </sheetView>
  </sheetViews>
  <sheetFormatPr defaultRowHeight="30" customHeight="1" x14ac:dyDescent="0.3"/>
  <cols>
    <col min="1" max="1" width="3.125" style="63" customWidth="1"/>
    <col min="2" max="2" width="31.875" style="61" customWidth="1"/>
    <col min="3" max="3" width="9.875" style="61" customWidth="1"/>
    <col min="4" max="4" width="13" style="61" customWidth="1"/>
    <col min="5" max="5" width="11.625" style="62" customWidth="1"/>
    <col min="6" max="6" width="11.25" style="61" customWidth="1"/>
    <col min="7" max="7" width="3.125" style="61" customWidth="1"/>
    <col min="8" max="8" width="7.875" style="61" customWidth="1"/>
    <col min="9" max="9" width="39.625" style="61" customWidth="1"/>
    <col min="10" max="65" width="3" style="61" customWidth="1"/>
    <col min="66" max="16384" width="9" style="61"/>
  </cols>
  <sheetData>
    <row r="1" spans="1:65" ht="30" customHeight="1" x14ac:dyDescent="0.55000000000000004">
      <c r="A1" s="76" t="s">
        <v>353</v>
      </c>
      <c r="B1" s="138" t="s">
        <v>352</v>
      </c>
      <c r="C1" s="137"/>
      <c r="D1" s="134"/>
      <c r="E1" s="136"/>
      <c r="F1" s="135"/>
      <c r="H1" s="134"/>
      <c r="I1" s="134"/>
      <c r="J1" s="66" t="s">
        <v>351</v>
      </c>
    </row>
    <row r="2" spans="1:65" ht="30" customHeight="1" x14ac:dyDescent="0.35">
      <c r="A2" s="63" t="s">
        <v>350</v>
      </c>
      <c r="B2" s="133" t="s">
        <v>349</v>
      </c>
      <c r="J2" s="132" t="s">
        <v>348</v>
      </c>
    </row>
    <row r="3" spans="1:65" ht="30" customHeight="1" x14ac:dyDescent="0.3">
      <c r="A3" s="63" t="s">
        <v>347</v>
      </c>
      <c r="B3" s="131" t="s">
        <v>346</v>
      </c>
      <c r="C3" s="171" t="s">
        <v>345</v>
      </c>
      <c r="D3" s="172"/>
      <c r="E3" s="170">
        <v>43647</v>
      </c>
      <c r="F3" s="170"/>
    </row>
    <row r="4" spans="1:65" ht="30" customHeight="1" x14ac:dyDescent="0.3">
      <c r="A4" s="76" t="s">
        <v>344</v>
      </c>
      <c r="C4" s="171" t="s">
        <v>343</v>
      </c>
      <c r="D4" s="172"/>
      <c r="E4" s="130">
        <v>25</v>
      </c>
      <c r="J4" s="167">
        <f>J5</f>
        <v>43814</v>
      </c>
      <c r="K4" s="168"/>
      <c r="L4" s="168"/>
      <c r="M4" s="168"/>
      <c r="N4" s="168"/>
      <c r="O4" s="168"/>
      <c r="P4" s="169"/>
      <c r="Q4" s="167">
        <f>Q5</f>
        <v>43821</v>
      </c>
      <c r="R4" s="168"/>
      <c r="S4" s="168"/>
      <c r="T4" s="168"/>
      <c r="U4" s="168"/>
      <c r="V4" s="168"/>
      <c r="W4" s="169"/>
      <c r="X4" s="167">
        <f>X5</f>
        <v>43828</v>
      </c>
      <c r="Y4" s="168"/>
      <c r="Z4" s="168"/>
      <c r="AA4" s="168"/>
      <c r="AB4" s="168"/>
      <c r="AC4" s="168"/>
      <c r="AD4" s="169"/>
      <c r="AE4" s="167">
        <f>AE5</f>
        <v>43835</v>
      </c>
      <c r="AF4" s="168"/>
      <c r="AG4" s="168"/>
      <c r="AH4" s="168"/>
      <c r="AI4" s="168"/>
      <c r="AJ4" s="168"/>
      <c r="AK4" s="169"/>
      <c r="AL4" s="167">
        <f>AL5</f>
        <v>43842</v>
      </c>
      <c r="AM4" s="168"/>
      <c r="AN4" s="168"/>
      <c r="AO4" s="168"/>
      <c r="AP4" s="168"/>
      <c r="AQ4" s="168"/>
      <c r="AR4" s="169"/>
      <c r="AS4" s="167">
        <f>AS5</f>
        <v>43849</v>
      </c>
      <c r="AT4" s="168"/>
      <c r="AU4" s="168"/>
      <c r="AV4" s="168"/>
      <c r="AW4" s="168"/>
      <c r="AX4" s="168"/>
      <c r="AY4" s="169"/>
      <c r="AZ4" s="167">
        <f>AZ5</f>
        <v>43856</v>
      </c>
      <c r="BA4" s="168"/>
      <c r="BB4" s="168"/>
      <c r="BC4" s="168"/>
      <c r="BD4" s="168"/>
      <c r="BE4" s="168"/>
      <c r="BF4" s="169"/>
      <c r="BG4" s="167">
        <f>BG5</f>
        <v>43863</v>
      </c>
      <c r="BH4" s="168"/>
      <c r="BI4" s="168"/>
      <c r="BJ4" s="168"/>
      <c r="BK4" s="168"/>
      <c r="BL4" s="168"/>
      <c r="BM4" s="169"/>
    </row>
    <row r="5" spans="1:65" ht="15" customHeight="1" x14ac:dyDescent="0.3">
      <c r="A5" s="76" t="s">
        <v>342</v>
      </c>
      <c r="B5" s="173"/>
      <c r="C5" s="173"/>
      <c r="D5" s="173"/>
      <c r="E5" s="173"/>
      <c r="F5" s="173"/>
      <c r="G5" s="173"/>
      <c r="J5" s="129">
        <f>Project_Start-WEEKDAY(Project_Start,1)+1+7*(Display_Week-1)</f>
        <v>43814</v>
      </c>
      <c r="K5" s="128">
        <f t="shared" ref="K5:AP5" si="0">J5+1</f>
        <v>43815</v>
      </c>
      <c r="L5" s="128">
        <f t="shared" si="0"/>
        <v>43816</v>
      </c>
      <c r="M5" s="128">
        <f t="shared" si="0"/>
        <v>43817</v>
      </c>
      <c r="N5" s="128">
        <f t="shared" si="0"/>
        <v>43818</v>
      </c>
      <c r="O5" s="128">
        <f t="shared" si="0"/>
        <v>43819</v>
      </c>
      <c r="P5" s="127">
        <f t="shared" si="0"/>
        <v>43820</v>
      </c>
      <c r="Q5" s="129">
        <f t="shared" si="0"/>
        <v>43821</v>
      </c>
      <c r="R5" s="128">
        <f t="shared" si="0"/>
        <v>43822</v>
      </c>
      <c r="S5" s="128">
        <f t="shared" si="0"/>
        <v>43823</v>
      </c>
      <c r="T5" s="128">
        <f t="shared" si="0"/>
        <v>43824</v>
      </c>
      <c r="U5" s="128">
        <f t="shared" si="0"/>
        <v>43825</v>
      </c>
      <c r="V5" s="128">
        <f t="shared" si="0"/>
        <v>43826</v>
      </c>
      <c r="W5" s="127">
        <f t="shared" si="0"/>
        <v>43827</v>
      </c>
      <c r="X5" s="129">
        <f t="shared" si="0"/>
        <v>43828</v>
      </c>
      <c r="Y5" s="128">
        <f t="shared" si="0"/>
        <v>43829</v>
      </c>
      <c r="Z5" s="128">
        <f t="shared" si="0"/>
        <v>43830</v>
      </c>
      <c r="AA5" s="128">
        <f t="shared" si="0"/>
        <v>43831</v>
      </c>
      <c r="AB5" s="128">
        <f t="shared" si="0"/>
        <v>43832</v>
      </c>
      <c r="AC5" s="128">
        <f t="shared" si="0"/>
        <v>43833</v>
      </c>
      <c r="AD5" s="127">
        <f t="shared" si="0"/>
        <v>43834</v>
      </c>
      <c r="AE5" s="129">
        <f t="shared" si="0"/>
        <v>43835</v>
      </c>
      <c r="AF5" s="128">
        <f t="shared" si="0"/>
        <v>43836</v>
      </c>
      <c r="AG5" s="128">
        <f t="shared" si="0"/>
        <v>43837</v>
      </c>
      <c r="AH5" s="128">
        <f t="shared" si="0"/>
        <v>43838</v>
      </c>
      <c r="AI5" s="128">
        <f t="shared" si="0"/>
        <v>43839</v>
      </c>
      <c r="AJ5" s="128">
        <f t="shared" si="0"/>
        <v>43840</v>
      </c>
      <c r="AK5" s="127">
        <f t="shared" si="0"/>
        <v>43841</v>
      </c>
      <c r="AL5" s="129">
        <f t="shared" si="0"/>
        <v>43842</v>
      </c>
      <c r="AM5" s="128">
        <f t="shared" si="0"/>
        <v>43843</v>
      </c>
      <c r="AN5" s="128">
        <f t="shared" si="0"/>
        <v>43844</v>
      </c>
      <c r="AO5" s="128">
        <f t="shared" si="0"/>
        <v>43845</v>
      </c>
      <c r="AP5" s="128">
        <f t="shared" si="0"/>
        <v>43846</v>
      </c>
      <c r="AQ5" s="128">
        <f t="shared" ref="AQ5:BM5" si="1">AP5+1</f>
        <v>43847</v>
      </c>
      <c r="AR5" s="127">
        <f t="shared" si="1"/>
        <v>43848</v>
      </c>
      <c r="AS5" s="129">
        <f t="shared" si="1"/>
        <v>43849</v>
      </c>
      <c r="AT5" s="128">
        <f t="shared" si="1"/>
        <v>43850</v>
      </c>
      <c r="AU5" s="128">
        <f t="shared" si="1"/>
        <v>43851</v>
      </c>
      <c r="AV5" s="128">
        <f t="shared" si="1"/>
        <v>43852</v>
      </c>
      <c r="AW5" s="128">
        <f t="shared" si="1"/>
        <v>43853</v>
      </c>
      <c r="AX5" s="128">
        <f t="shared" si="1"/>
        <v>43854</v>
      </c>
      <c r="AY5" s="127">
        <f t="shared" si="1"/>
        <v>43855</v>
      </c>
      <c r="AZ5" s="129">
        <f t="shared" si="1"/>
        <v>43856</v>
      </c>
      <c r="BA5" s="128">
        <f t="shared" si="1"/>
        <v>43857</v>
      </c>
      <c r="BB5" s="128">
        <f t="shared" si="1"/>
        <v>43858</v>
      </c>
      <c r="BC5" s="128">
        <f t="shared" si="1"/>
        <v>43859</v>
      </c>
      <c r="BD5" s="128">
        <f t="shared" si="1"/>
        <v>43860</v>
      </c>
      <c r="BE5" s="128">
        <f t="shared" si="1"/>
        <v>43861</v>
      </c>
      <c r="BF5" s="127">
        <f t="shared" si="1"/>
        <v>43862</v>
      </c>
      <c r="BG5" s="129">
        <f t="shared" si="1"/>
        <v>43863</v>
      </c>
      <c r="BH5" s="128">
        <f t="shared" si="1"/>
        <v>43864</v>
      </c>
      <c r="BI5" s="128">
        <f t="shared" si="1"/>
        <v>43865</v>
      </c>
      <c r="BJ5" s="128">
        <f t="shared" si="1"/>
        <v>43866</v>
      </c>
      <c r="BK5" s="128">
        <f t="shared" si="1"/>
        <v>43867</v>
      </c>
      <c r="BL5" s="128">
        <f t="shared" si="1"/>
        <v>43868</v>
      </c>
      <c r="BM5" s="127">
        <f t="shared" si="1"/>
        <v>43869</v>
      </c>
    </row>
    <row r="6" spans="1:65" ht="30" customHeight="1" thickBot="1" x14ac:dyDescent="0.35">
      <c r="A6" s="76" t="s">
        <v>341</v>
      </c>
      <c r="B6" s="126" t="s">
        <v>340</v>
      </c>
      <c r="C6" s="125" t="s">
        <v>339</v>
      </c>
      <c r="D6" s="125" t="s">
        <v>338</v>
      </c>
      <c r="E6" s="125" t="s">
        <v>337</v>
      </c>
      <c r="F6" s="125" t="s">
        <v>336</v>
      </c>
      <c r="G6" s="125"/>
      <c r="H6" s="125" t="s">
        <v>335</v>
      </c>
      <c r="I6" s="124" t="s">
        <v>334</v>
      </c>
      <c r="J6" s="123" t="str">
        <f t="shared" ref="J6:AO6" si="2">LEFT(TEXT(J5,"aaa"),1)</f>
        <v>日</v>
      </c>
      <c r="K6" s="123" t="str">
        <f t="shared" si="2"/>
        <v>一</v>
      </c>
      <c r="L6" s="123" t="str">
        <f t="shared" si="2"/>
        <v>二</v>
      </c>
      <c r="M6" s="123" t="str">
        <f t="shared" si="2"/>
        <v>三</v>
      </c>
      <c r="N6" s="123" t="str">
        <f t="shared" si="2"/>
        <v>四</v>
      </c>
      <c r="O6" s="123" t="str">
        <f t="shared" si="2"/>
        <v>五</v>
      </c>
      <c r="P6" s="123" t="str">
        <f t="shared" si="2"/>
        <v>六</v>
      </c>
      <c r="Q6" s="123" t="str">
        <f t="shared" si="2"/>
        <v>日</v>
      </c>
      <c r="R6" s="123" t="str">
        <f t="shared" si="2"/>
        <v>一</v>
      </c>
      <c r="S6" s="123" t="str">
        <f t="shared" si="2"/>
        <v>二</v>
      </c>
      <c r="T6" s="123" t="str">
        <f t="shared" si="2"/>
        <v>三</v>
      </c>
      <c r="U6" s="123" t="str">
        <f t="shared" si="2"/>
        <v>四</v>
      </c>
      <c r="V6" s="123" t="str">
        <f t="shared" si="2"/>
        <v>五</v>
      </c>
      <c r="W6" s="123" t="str">
        <f t="shared" si="2"/>
        <v>六</v>
      </c>
      <c r="X6" s="123" t="str">
        <f t="shared" si="2"/>
        <v>日</v>
      </c>
      <c r="Y6" s="123" t="str">
        <f t="shared" si="2"/>
        <v>一</v>
      </c>
      <c r="Z6" s="123" t="str">
        <f t="shared" si="2"/>
        <v>二</v>
      </c>
      <c r="AA6" s="123" t="str">
        <f t="shared" si="2"/>
        <v>三</v>
      </c>
      <c r="AB6" s="123" t="str">
        <f t="shared" si="2"/>
        <v>四</v>
      </c>
      <c r="AC6" s="123" t="str">
        <f t="shared" si="2"/>
        <v>五</v>
      </c>
      <c r="AD6" s="123" t="str">
        <f t="shared" si="2"/>
        <v>六</v>
      </c>
      <c r="AE6" s="123" t="str">
        <f t="shared" si="2"/>
        <v>日</v>
      </c>
      <c r="AF6" s="123" t="str">
        <f t="shared" si="2"/>
        <v>一</v>
      </c>
      <c r="AG6" s="123" t="str">
        <f t="shared" si="2"/>
        <v>二</v>
      </c>
      <c r="AH6" s="123" t="str">
        <f t="shared" si="2"/>
        <v>三</v>
      </c>
      <c r="AI6" s="123" t="str">
        <f t="shared" si="2"/>
        <v>四</v>
      </c>
      <c r="AJ6" s="123" t="str">
        <f t="shared" si="2"/>
        <v>五</v>
      </c>
      <c r="AK6" s="123" t="str">
        <f t="shared" si="2"/>
        <v>六</v>
      </c>
      <c r="AL6" s="123" t="str">
        <f t="shared" si="2"/>
        <v>日</v>
      </c>
      <c r="AM6" s="123" t="str">
        <f t="shared" si="2"/>
        <v>一</v>
      </c>
      <c r="AN6" s="123" t="str">
        <f t="shared" si="2"/>
        <v>二</v>
      </c>
      <c r="AO6" s="123" t="str">
        <f t="shared" si="2"/>
        <v>三</v>
      </c>
      <c r="AP6" s="123" t="str">
        <f t="shared" ref="AP6:BM6" si="3">LEFT(TEXT(AP5,"aaa"),1)</f>
        <v>四</v>
      </c>
      <c r="AQ6" s="123" t="str">
        <f t="shared" si="3"/>
        <v>五</v>
      </c>
      <c r="AR6" s="123" t="str">
        <f t="shared" si="3"/>
        <v>六</v>
      </c>
      <c r="AS6" s="123" t="str">
        <f t="shared" si="3"/>
        <v>日</v>
      </c>
      <c r="AT6" s="123" t="str">
        <f t="shared" si="3"/>
        <v>一</v>
      </c>
      <c r="AU6" s="123" t="str">
        <f t="shared" si="3"/>
        <v>二</v>
      </c>
      <c r="AV6" s="123" t="str">
        <f t="shared" si="3"/>
        <v>三</v>
      </c>
      <c r="AW6" s="123" t="str">
        <f t="shared" si="3"/>
        <v>四</v>
      </c>
      <c r="AX6" s="123" t="str">
        <f t="shared" si="3"/>
        <v>五</v>
      </c>
      <c r="AY6" s="123" t="str">
        <f t="shared" si="3"/>
        <v>六</v>
      </c>
      <c r="AZ6" s="123" t="str">
        <f t="shared" si="3"/>
        <v>日</v>
      </c>
      <c r="BA6" s="123" t="str">
        <f t="shared" si="3"/>
        <v>一</v>
      </c>
      <c r="BB6" s="123" t="str">
        <f t="shared" si="3"/>
        <v>二</v>
      </c>
      <c r="BC6" s="123" t="str">
        <f t="shared" si="3"/>
        <v>三</v>
      </c>
      <c r="BD6" s="123" t="str">
        <f t="shared" si="3"/>
        <v>四</v>
      </c>
      <c r="BE6" s="123" t="str">
        <f t="shared" si="3"/>
        <v>五</v>
      </c>
      <c r="BF6" s="123" t="str">
        <f t="shared" si="3"/>
        <v>六</v>
      </c>
      <c r="BG6" s="123" t="str">
        <f t="shared" si="3"/>
        <v>日</v>
      </c>
      <c r="BH6" s="123" t="str">
        <f t="shared" si="3"/>
        <v>一</v>
      </c>
      <c r="BI6" s="123" t="str">
        <f t="shared" si="3"/>
        <v>二</v>
      </c>
      <c r="BJ6" s="123" t="str">
        <f t="shared" si="3"/>
        <v>三</v>
      </c>
      <c r="BK6" s="123" t="str">
        <f t="shared" si="3"/>
        <v>四</v>
      </c>
      <c r="BL6" s="123" t="str">
        <f t="shared" si="3"/>
        <v>五</v>
      </c>
      <c r="BM6" s="123" t="str">
        <f t="shared" si="3"/>
        <v>六</v>
      </c>
    </row>
    <row r="7" spans="1:65" ht="30" hidden="1" customHeight="1" thickBot="1" x14ac:dyDescent="0.35">
      <c r="A7" s="63" t="s">
        <v>333</v>
      </c>
      <c r="C7" s="122"/>
      <c r="E7" s="61"/>
      <c r="H7" s="61" t="str">
        <f t="shared" ref="H7:H38" si="4">IF(OR(ISBLANK(task_start),ISBLANK(task_end)),"",task_end-task_start+1)</f>
        <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row>
    <row r="8" spans="1:65" s="68" customFormat="1" ht="30" customHeight="1" thickBot="1" x14ac:dyDescent="0.35">
      <c r="A8" s="76" t="s">
        <v>332</v>
      </c>
      <c r="B8" s="121" t="s">
        <v>331</v>
      </c>
      <c r="C8" s="120"/>
      <c r="D8" s="119"/>
      <c r="E8" s="118"/>
      <c r="F8" s="117"/>
      <c r="G8" s="78"/>
      <c r="H8" s="78" t="str">
        <f t="shared" si="4"/>
        <v/>
      </c>
      <c r="I8" s="83"/>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row>
    <row r="9" spans="1:65" s="68" customFormat="1" ht="30" customHeight="1" thickBot="1" x14ac:dyDescent="0.35">
      <c r="A9" s="76" t="s">
        <v>330</v>
      </c>
      <c r="B9" s="116" t="s">
        <v>329</v>
      </c>
      <c r="C9" s="115" t="s">
        <v>302</v>
      </c>
      <c r="D9" s="114">
        <v>0.8</v>
      </c>
      <c r="E9" s="113">
        <v>43647</v>
      </c>
      <c r="F9" s="113">
        <f>E9+2</f>
        <v>43649</v>
      </c>
      <c r="G9" s="78"/>
      <c r="H9" s="78">
        <f t="shared" si="4"/>
        <v>3</v>
      </c>
      <c r="I9" s="83" t="s">
        <v>328</v>
      </c>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row>
    <row r="10" spans="1:65" s="68" customFormat="1" ht="30" customHeight="1" thickBot="1" x14ac:dyDescent="0.35">
      <c r="A10" s="76"/>
      <c r="B10" s="116" t="s">
        <v>327</v>
      </c>
      <c r="C10" s="115" t="s">
        <v>302</v>
      </c>
      <c r="D10" s="114">
        <v>1</v>
      </c>
      <c r="E10" s="113">
        <v>43649</v>
      </c>
      <c r="F10" s="113">
        <f>E10+1</f>
        <v>43650</v>
      </c>
      <c r="G10" s="78"/>
      <c r="H10" s="78">
        <f t="shared" si="4"/>
        <v>2</v>
      </c>
      <c r="I10" s="83"/>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row>
    <row r="11" spans="1:65" s="68" customFormat="1" ht="30" customHeight="1" thickBot="1" x14ac:dyDescent="0.35">
      <c r="A11" s="76" t="s">
        <v>326</v>
      </c>
      <c r="B11" s="116" t="s">
        <v>325</v>
      </c>
      <c r="C11" s="115" t="s">
        <v>302</v>
      </c>
      <c r="D11" s="114">
        <v>1</v>
      </c>
      <c r="E11" s="113">
        <v>43647</v>
      </c>
      <c r="F11" s="113">
        <f>E11+2</f>
        <v>43649</v>
      </c>
      <c r="G11" s="78"/>
      <c r="H11" s="78">
        <f t="shared" si="4"/>
        <v>3</v>
      </c>
      <c r="I11" s="83"/>
      <c r="J11" s="77"/>
      <c r="K11" s="77"/>
      <c r="L11" s="77"/>
      <c r="M11" s="77"/>
      <c r="N11" s="77"/>
      <c r="O11" s="77"/>
      <c r="P11" s="77"/>
      <c r="Q11" s="77"/>
      <c r="R11" s="77"/>
      <c r="S11" s="77"/>
      <c r="T11" s="77"/>
      <c r="U11" s="77"/>
      <c r="V11" s="107"/>
      <c r="W11" s="10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row>
    <row r="12" spans="1:65" s="68" customFormat="1" ht="30" customHeight="1" thickBot="1" x14ac:dyDescent="0.35">
      <c r="A12" s="63"/>
      <c r="B12" s="116" t="s">
        <v>324</v>
      </c>
      <c r="C12" s="115" t="s">
        <v>302</v>
      </c>
      <c r="D12" s="114">
        <v>1</v>
      </c>
      <c r="E12" s="113">
        <v>43650</v>
      </c>
      <c r="F12" s="113">
        <f>E12+6</f>
        <v>43656</v>
      </c>
      <c r="G12" s="78"/>
      <c r="H12" s="78">
        <f t="shared" si="4"/>
        <v>7</v>
      </c>
      <c r="I12" s="83"/>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row>
    <row r="13" spans="1:65" s="68" customFormat="1" ht="30" customHeight="1" thickBot="1" x14ac:dyDescent="0.35">
      <c r="A13" s="63"/>
      <c r="B13" s="116" t="s">
        <v>323</v>
      </c>
      <c r="C13" s="115" t="s">
        <v>302</v>
      </c>
      <c r="D13" s="114">
        <v>0.9</v>
      </c>
      <c r="E13" s="113">
        <v>43658</v>
      </c>
      <c r="F13" s="113">
        <f>E13+14</f>
        <v>43672</v>
      </c>
      <c r="G13" s="78"/>
      <c r="H13" s="78">
        <f t="shared" si="4"/>
        <v>15</v>
      </c>
      <c r="I13" s="106" t="s">
        <v>322</v>
      </c>
      <c r="J13" s="77"/>
      <c r="K13" s="77"/>
      <c r="L13" s="77"/>
      <c r="M13" s="77"/>
      <c r="N13" s="77"/>
      <c r="O13" s="77"/>
      <c r="P13" s="77"/>
      <c r="Q13" s="77"/>
      <c r="R13" s="77"/>
      <c r="S13" s="77"/>
      <c r="T13" s="77"/>
      <c r="U13" s="77"/>
      <c r="V13" s="77"/>
      <c r="W13" s="77"/>
      <c r="X13" s="77"/>
      <c r="Y13" s="77"/>
      <c r="Z13" s="10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row>
    <row r="14" spans="1:65" s="68" customFormat="1" ht="30" customHeight="1" thickBot="1" x14ac:dyDescent="0.35">
      <c r="A14" s="63"/>
      <c r="B14" s="116" t="s">
        <v>321</v>
      </c>
      <c r="C14" s="115" t="s">
        <v>302</v>
      </c>
      <c r="D14" s="114">
        <v>1</v>
      </c>
      <c r="E14" s="113">
        <v>43661</v>
      </c>
      <c r="F14" s="113">
        <f>E14+10</f>
        <v>43671</v>
      </c>
      <c r="G14" s="78"/>
      <c r="H14" s="78">
        <f t="shared" si="4"/>
        <v>11</v>
      </c>
      <c r="I14" s="83"/>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row>
    <row r="15" spans="1:65" s="68" customFormat="1" ht="30" customHeight="1" thickBot="1" x14ac:dyDescent="0.35">
      <c r="A15" s="63"/>
      <c r="B15" s="116" t="s">
        <v>320</v>
      </c>
      <c r="C15" s="115" t="s">
        <v>302</v>
      </c>
      <c r="D15" s="114">
        <v>1</v>
      </c>
      <c r="E15" s="113">
        <v>43674</v>
      </c>
      <c r="F15" s="113">
        <f>E15+5</f>
        <v>43679</v>
      </c>
      <c r="G15" s="78"/>
      <c r="H15" s="78">
        <f t="shared" si="4"/>
        <v>6</v>
      </c>
      <c r="I15" s="83"/>
      <c r="J15" s="77"/>
      <c r="K15" s="77"/>
      <c r="L15" s="77"/>
      <c r="M15" s="77"/>
      <c r="N15" s="77"/>
      <c r="O15" s="77"/>
      <c r="P15" s="77"/>
      <c r="Q15" s="77"/>
      <c r="R15" s="77"/>
      <c r="S15" s="77"/>
      <c r="T15" s="77"/>
      <c r="U15" s="77"/>
      <c r="V15" s="77"/>
      <c r="W15" s="77"/>
      <c r="X15" s="77"/>
      <c r="Y15" s="77"/>
      <c r="Z15" s="107"/>
      <c r="AA15" s="77"/>
      <c r="AB15" s="77"/>
      <c r="AC15" s="77"/>
      <c r="AD15" s="77"/>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row>
    <row r="16" spans="1:65" s="68" customFormat="1" ht="30" customHeight="1" thickBot="1" x14ac:dyDescent="0.35">
      <c r="A16" s="63"/>
      <c r="B16" s="116" t="s">
        <v>319</v>
      </c>
      <c r="C16" s="115" t="s">
        <v>302</v>
      </c>
      <c r="D16" s="114">
        <v>1</v>
      </c>
      <c r="E16" s="113">
        <v>43680</v>
      </c>
      <c r="F16" s="113">
        <f>E16+5</f>
        <v>43685</v>
      </c>
      <c r="G16" s="78"/>
      <c r="H16" s="78">
        <f t="shared" si="4"/>
        <v>6</v>
      </c>
      <c r="I16" s="83"/>
      <c r="J16" s="77"/>
      <c r="K16" s="77"/>
      <c r="L16" s="77"/>
      <c r="M16" s="77"/>
      <c r="N16" s="77"/>
      <c r="O16" s="77"/>
      <c r="P16" s="77"/>
      <c r="Q16" s="77"/>
      <c r="R16" s="77"/>
      <c r="S16" s="77"/>
      <c r="T16" s="77"/>
      <c r="U16" s="77"/>
      <c r="V16" s="77"/>
      <c r="W16" s="77"/>
      <c r="X16" s="77"/>
      <c r="Y16" s="77"/>
      <c r="Z16" s="107"/>
      <c r="AA16" s="77"/>
      <c r="AB16" s="77"/>
      <c r="AC16" s="77"/>
      <c r="AD16" s="77"/>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row>
    <row r="17" spans="1:65" s="68" customFormat="1" ht="30" customHeight="1" thickBot="1" x14ac:dyDescent="0.35">
      <c r="A17" s="63"/>
      <c r="B17" s="116" t="s">
        <v>318</v>
      </c>
      <c r="C17" s="115" t="s">
        <v>302</v>
      </c>
      <c r="D17" s="114">
        <v>1</v>
      </c>
      <c r="E17" s="113">
        <v>43682</v>
      </c>
      <c r="F17" s="113">
        <f>E17+5</f>
        <v>43687</v>
      </c>
      <c r="G17" s="78"/>
      <c r="H17" s="78">
        <f t="shared" si="4"/>
        <v>6</v>
      </c>
      <c r="I17" s="83"/>
      <c r="J17" s="77"/>
      <c r="K17" s="77"/>
      <c r="L17" s="77"/>
      <c r="M17" s="77"/>
      <c r="N17" s="77"/>
      <c r="O17" s="77"/>
      <c r="P17" s="77"/>
      <c r="Q17" s="77"/>
      <c r="R17" s="77"/>
      <c r="S17" s="77"/>
      <c r="T17" s="77"/>
      <c r="U17" s="77"/>
      <c r="V17" s="77"/>
      <c r="W17" s="77"/>
      <c r="X17" s="77"/>
      <c r="Y17" s="77"/>
      <c r="Z17" s="10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row>
    <row r="18" spans="1:65" s="68" customFormat="1" ht="30" customHeight="1" thickBot="1" x14ac:dyDescent="0.35">
      <c r="A18" s="63"/>
      <c r="B18" s="116" t="s">
        <v>317</v>
      </c>
      <c r="C18" s="115" t="s">
        <v>302</v>
      </c>
      <c r="D18" s="114">
        <v>0.9</v>
      </c>
      <c r="E18" s="113">
        <v>43689</v>
      </c>
      <c r="F18" s="113">
        <f>E18+2</f>
        <v>43691</v>
      </c>
      <c r="G18" s="78"/>
      <c r="H18" s="78">
        <f t="shared" si="4"/>
        <v>3</v>
      </c>
      <c r="I18" s="106" t="s">
        <v>316</v>
      </c>
      <c r="J18" s="77"/>
      <c r="K18" s="77"/>
      <c r="L18" s="77"/>
      <c r="M18" s="77"/>
      <c r="N18" s="77"/>
      <c r="O18" s="77"/>
      <c r="P18" s="77"/>
      <c r="Q18" s="77"/>
      <c r="R18" s="77"/>
      <c r="S18" s="77"/>
      <c r="T18" s="77"/>
      <c r="U18" s="77"/>
      <c r="V18" s="77"/>
      <c r="W18" s="77"/>
      <c r="X18" s="77"/>
      <c r="Y18" s="77"/>
      <c r="Z18" s="10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row>
    <row r="19" spans="1:65" s="68" customFormat="1" ht="30" customHeight="1" thickBot="1" x14ac:dyDescent="0.35">
      <c r="A19" s="63"/>
      <c r="B19" s="116" t="s">
        <v>315</v>
      </c>
      <c r="C19" s="115" t="s">
        <v>302</v>
      </c>
      <c r="D19" s="114">
        <v>0.8</v>
      </c>
      <c r="E19" s="113">
        <v>43811</v>
      </c>
      <c r="F19" s="113">
        <f>E19+10</f>
        <v>43821</v>
      </c>
      <c r="G19" s="78"/>
      <c r="H19" s="78">
        <f t="shared" si="4"/>
        <v>11</v>
      </c>
      <c r="I19" s="106" t="s">
        <v>314</v>
      </c>
      <c r="J19" s="77"/>
      <c r="K19" s="77"/>
      <c r="L19" s="77"/>
      <c r="M19" s="77"/>
      <c r="N19" s="77"/>
      <c r="O19" s="77"/>
      <c r="P19" s="77"/>
      <c r="Q19" s="77"/>
      <c r="R19" s="77"/>
      <c r="S19" s="77"/>
      <c r="T19" s="77"/>
      <c r="U19" s="77"/>
      <c r="V19" s="77"/>
      <c r="W19" s="77"/>
      <c r="X19" s="77"/>
      <c r="Y19" s="77"/>
      <c r="Z19" s="10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65" s="68" customFormat="1" ht="30" customHeight="1" thickBot="1" x14ac:dyDescent="0.35">
      <c r="A20" s="63"/>
      <c r="B20" s="116" t="s">
        <v>313</v>
      </c>
      <c r="C20" s="115" t="s">
        <v>302</v>
      </c>
      <c r="D20" s="114">
        <v>0.85</v>
      </c>
      <c r="E20" s="113">
        <v>43823</v>
      </c>
      <c r="F20" s="113">
        <f>E20+3</f>
        <v>43826</v>
      </c>
      <c r="G20" s="78"/>
      <c r="H20" s="78">
        <f t="shared" si="4"/>
        <v>4</v>
      </c>
      <c r="I20" s="83" t="s">
        <v>312</v>
      </c>
      <c r="J20" s="77"/>
      <c r="K20" s="77"/>
      <c r="L20" s="77"/>
      <c r="M20" s="77"/>
      <c r="N20" s="77"/>
      <c r="O20" s="77"/>
      <c r="P20" s="77"/>
      <c r="Q20" s="77"/>
      <c r="R20" s="77"/>
      <c r="S20" s="77"/>
      <c r="T20" s="77"/>
      <c r="U20" s="77"/>
      <c r="V20" s="77"/>
      <c r="W20" s="77"/>
      <c r="X20" s="77"/>
      <c r="Y20" s="77"/>
      <c r="Z20" s="10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65" s="68" customFormat="1" ht="30" customHeight="1" thickBot="1" x14ac:dyDescent="0.35">
      <c r="A21" s="63"/>
      <c r="B21" s="116" t="s">
        <v>311</v>
      </c>
      <c r="C21" s="115" t="s">
        <v>302</v>
      </c>
      <c r="D21" s="114">
        <v>0.9</v>
      </c>
      <c r="E21" s="113">
        <v>43702</v>
      </c>
      <c r="F21" s="113">
        <f>E21+7</f>
        <v>43709</v>
      </c>
      <c r="G21" s="78"/>
      <c r="H21" s="78">
        <f t="shared" si="4"/>
        <v>8</v>
      </c>
      <c r="I21" s="83" t="s">
        <v>310</v>
      </c>
      <c r="J21" s="77"/>
      <c r="K21" s="77"/>
      <c r="L21" s="77"/>
      <c r="M21" s="77"/>
      <c r="N21" s="77"/>
      <c r="O21" s="77"/>
      <c r="P21" s="77"/>
      <c r="Q21" s="77"/>
      <c r="R21" s="77"/>
      <c r="S21" s="77"/>
      <c r="T21" s="77"/>
      <c r="U21" s="77"/>
      <c r="V21" s="77"/>
      <c r="W21" s="77"/>
      <c r="X21" s="77"/>
      <c r="Y21" s="77"/>
      <c r="Z21" s="10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65" s="68" customFormat="1" ht="30" customHeight="1" thickBot="1" x14ac:dyDescent="0.35">
      <c r="A22" s="63"/>
      <c r="B22" s="116" t="s">
        <v>309</v>
      </c>
      <c r="C22" s="115" t="s">
        <v>302</v>
      </c>
      <c r="D22" s="114">
        <v>0.7</v>
      </c>
      <c r="E22" s="113">
        <v>43703</v>
      </c>
      <c r="F22" s="113">
        <f>E22+7</f>
        <v>43710</v>
      </c>
      <c r="G22" s="78"/>
      <c r="H22" s="78">
        <f t="shared" si="4"/>
        <v>8</v>
      </c>
      <c r="I22" s="106" t="s">
        <v>307</v>
      </c>
      <c r="J22" s="77"/>
      <c r="K22" s="77"/>
      <c r="L22" s="77"/>
      <c r="M22" s="77"/>
      <c r="N22" s="77"/>
      <c r="O22" s="77"/>
      <c r="P22" s="77"/>
      <c r="Q22" s="77"/>
      <c r="R22" s="77"/>
      <c r="S22" s="77"/>
      <c r="T22" s="77"/>
      <c r="U22" s="77"/>
      <c r="V22" s="77"/>
      <c r="W22" s="77"/>
      <c r="X22" s="77"/>
      <c r="Y22" s="77"/>
      <c r="Z22" s="10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65" s="68" customFormat="1" ht="30" customHeight="1" thickBot="1" x14ac:dyDescent="0.35">
      <c r="A23" s="63"/>
      <c r="B23" s="116" t="s">
        <v>308</v>
      </c>
      <c r="C23" s="115" t="s">
        <v>302</v>
      </c>
      <c r="D23" s="114">
        <v>0.7</v>
      </c>
      <c r="E23" s="113">
        <v>43704</v>
      </c>
      <c r="F23" s="113">
        <f>E23+2</f>
        <v>43706</v>
      </c>
      <c r="G23" s="78"/>
      <c r="H23" s="78">
        <f t="shared" si="4"/>
        <v>3</v>
      </c>
      <c r="I23" s="106" t="s">
        <v>307</v>
      </c>
      <c r="J23" s="77"/>
      <c r="K23" s="77"/>
      <c r="L23" s="77"/>
      <c r="M23" s="77"/>
      <c r="N23" s="77"/>
      <c r="O23" s="77"/>
      <c r="P23" s="77"/>
      <c r="Q23" s="77"/>
      <c r="R23" s="77"/>
      <c r="S23" s="77"/>
      <c r="T23" s="77"/>
      <c r="U23" s="77"/>
      <c r="V23" s="77"/>
      <c r="W23" s="77"/>
      <c r="X23" s="77"/>
      <c r="Y23" s="77"/>
      <c r="Z23" s="10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65" s="68" customFormat="1" ht="30" customHeight="1" thickBot="1" x14ac:dyDescent="0.35">
      <c r="A24" s="63"/>
      <c r="B24" s="116" t="s">
        <v>306</v>
      </c>
      <c r="C24" s="115" t="s">
        <v>302</v>
      </c>
      <c r="D24" s="114">
        <v>1</v>
      </c>
      <c r="E24" s="113">
        <v>43693</v>
      </c>
      <c r="F24" s="113">
        <f>E24+2</f>
        <v>43695</v>
      </c>
      <c r="G24" s="78"/>
      <c r="H24" s="78">
        <f t="shared" si="4"/>
        <v>3</v>
      </c>
      <c r="I24" s="83"/>
      <c r="J24" s="77"/>
      <c r="K24" s="77"/>
      <c r="L24" s="77"/>
      <c r="M24" s="77"/>
      <c r="N24" s="77"/>
      <c r="O24" s="77"/>
      <c r="P24" s="77"/>
      <c r="Q24" s="77"/>
      <c r="R24" s="77"/>
      <c r="S24" s="77"/>
      <c r="T24" s="77"/>
      <c r="U24" s="77"/>
      <c r="V24" s="77"/>
      <c r="W24" s="77"/>
      <c r="X24" s="77"/>
      <c r="Y24" s="77"/>
      <c r="Z24" s="10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65" s="68" customFormat="1" ht="30" customHeight="1" thickBot="1" x14ac:dyDescent="0.35">
      <c r="A25" s="63"/>
      <c r="B25" s="116" t="s">
        <v>305</v>
      </c>
      <c r="C25" s="115" t="s">
        <v>302</v>
      </c>
      <c r="D25" s="114">
        <v>1</v>
      </c>
      <c r="E25" s="113">
        <v>43696</v>
      </c>
      <c r="F25" s="113">
        <f>E25+2</f>
        <v>43698</v>
      </c>
      <c r="G25" s="78"/>
      <c r="H25" s="78">
        <f t="shared" si="4"/>
        <v>3</v>
      </c>
      <c r="I25" s="83"/>
      <c r="J25" s="77"/>
      <c r="K25" s="77"/>
      <c r="L25" s="77"/>
      <c r="M25" s="77"/>
      <c r="N25" s="77"/>
      <c r="O25" s="77"/>
      <c r="P25" s="77"/>
      <c r="Q25" s="77"/>
      <c r="R25" s="77"/>
      <c r="S25" s="77"/>
      <c r="T25" s="77"/>
      <c r="U25" s="77"/>
      <c r="V25" s="77"/>
      <c r="W25" s="77"/>
      <c r="X25" s="77"/>
      <c r="Y25" s="77"/>
      <c r="Z25" s="107"/>
      <c r="AA25" s="77"/>
      <c r="AB25" s="77"/>
      <c r="AC25" s="77"/>
      <c r="AD25" s="77"/>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65" s="68" customFormat="1" ht="30" customHeight="1" thickBot="1" x14ac:dyDescent="0.35">
      <c r="A26" s="63"/>
      <c r="B26" s="116" t="s">
        <v>304</v>
      </c>
      <c r="C26" s="115" t="s">
        <v>302</v>
      </c>
      <c r="D26" s="114">
        <v>1</v>
      </c>
      <c r="E26" s="113">
        <v>43699</v>
      </c>
      <c r="F26" s="113">
        <f>E26+2</f>
        <v>43701</v>
      </c>
      <c r="G26" s="78"/>
      <c r="H26" s="78">
        <f t="shared" si="4"/>
        <v>3</v>
      </c>
      <c r="I26" s="83"/>
      <c r="J26" s="77"/>
      <c r="K26" s="77"/>
      <c r="L26" s="77"/>
      <c r="M26" s="77"/>
      <c r="N26" s="77"/>
      <c r="O26" s="77"/>
      <c r="P26" s="77"/>
      <c r="Q26" s="77"/>
      <c r="R26" s="77"/>
      <c r="S26" s="77"/>
      <c r="T26" s="77"/>
      <c r="U26" s="77"/>
      <c r="V26" s="77"/>
      <c r="W26" s="77"/>
      <c r="X26" s="77"/>
      <c r="Y26" s="77"/>
      <c r="Z26" s="10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65" s="68" customFormat="1" ht="30" customHeight="1" thickBot="1" x14ac:dyDescent="0.35">
      <c r="A27" s="63"/>
      <c r="B27" s="116" t="s">
        <v>303</v>
      </c>
      <c r="C27" s="115" t="s">
        <v>302</v>
      </c>
      <c r="D27" s="114">
        <v>0.5</v>
      </c>
      <c r="E27" s="113">
        <f>F13</f>
        <v>43672</v>
      </c>
      <c r="F27" s="113">
        <f>E27+1</f>
        <v>43673</v>
      </c>
      <c r="G27" s="78"/>
      <c r="H27" s="78">
        <f t="shared" si="4"/>
        <v>2</v>
      </c>
      <c r="I27" s="106" t="s">
        <v>301</v>
      </c>
      <c r="J27" s="77"/>
      <c r="K27" s="77"/>
      <c r="L27" s="77"/>
      <c r="M27" s="77"/>
      <c r="N27" s="77"/>
      <c r="O27" s="77"/>
      <c r="P27" s="77"/>
      <c r="Q27" s="77"/>
      <c r="R27" s="77"/>
      <c r="S27" s="77"/>
      <c r="T27" s="77"/>
      <c r="U27" s="77"/>
      <c r="V27" s="77"/>
      <c r="W27" s="77"/>
      <c r="X27" s="77"/>
      <c r="Y27" s="77"/>
      <c r="Z27" s="10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65" s="68" customFormat="1" ht="30" customHeight="1" thickBot="1" x14ac:dyDescent="0.35">
      <c r="A28" s="63"/>
      <c r="B28" s="116" t="s">
        <v>300</v>
      </c>
      <c r="C28" s="115" t="s">
        <v>136</v>
      </c>
      <c r="D28" s="114">
        <v>0.9</v>
      </c>
      <c r="E28" s="113">
        <v>43879</v>
      </c>
      <c r="F28" s="113">
        <f>E28+3</f>
        <v>43882</v>
      </c>
      <c r="G28" s="78"/>
      <c r="H28" s="78">
        <f t="shared" si="4"/>
        <v>4</v>
      </c>
      <c r="I28" s="83" t="s">
        <v>299</v>
      </c>
      <c r="J28" s="77"/>
      <c r="K28" s="77"/>
      <c r="L28" s="77"/>
      <c r="M28" s="77"/>
      <c r="N28" s="77"/>
      <c r="O28" s="77"/>
      <c r="P28" s="77"/>
      <c r="Q28" s="77"/>
      <c r="R28" s="77"/>
      <c r="S28" s="77"/>
      <c r="T28" s="77"/>
      <c r="U28" s="77"/>
      <c r="V28" s="77"/>
      <c r="W28" s="77"/>
      <c r="X28" s="77"/>
      <c r="Y28" s="77"/>
      <c r="Z28" s="10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row>
    <row r="29" spans="1:65" s="68" customFormat="1" ht="30" customHeight="1" thickBot="1" x14ac:dyDescent="0.35">
      <c r="A29" s="63"/>
      <c r="B29" s="116" t="s">
        <v>298</v>
      </c>
      <c r="C29" s="115" t="s">
        <v>136</v>
      </c>
      <c r="D29" s="114">
        <v>0.8</v>
      </c>
      <c r="E29" s="113">
        <v>43843</v>
      </c>
      <c r="F29" s="113">
        <f>E29+7</f>
        <v>43850</v>
      </c>
      <c r="G29" s="78"/>
      <c r="H29" s="78">
        <f t="shared" si="4"/>
        <v>8</v>
      </c>
      <c r="I29" s="83" t="s">
        <v>297</v>
      </c>
      <c r="J29" s="77"/>
      <c r="K29" s="77"/>
      <c r="L29" s="77"/>
      <c r="M29" s="77"/>
      <c r="N29" s="77"/>
      <c r="O29" s="77"/>
      <c r="P29" s="77"/>
      <c r="Q29" s="77"/>
      <c r="R29" s="77"/>
      <c r="S29" s="77"/>
      <c r="T29" s="77"/>
      <c r="U29" s="77"/>
      <c r="V29" s="77"/>
      <c r="W29" s="77"/>
      <c r="X29" s="77"/>
      <c r="Y29" s="77"/>
      <c r="Z29" s="10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row>
    <row r="30" spans="1:65" s="68" customFormat="1" ht="30" customHeight="1" thickBot="1" x14ac:dyDescent="0.35">
      <c r="A30" s="63"/>
      <c r="B30" s="116" t="s">
        <v>296</v>
      </c>
      <c r="C30" s="115" t="s">
        <v>136</v>
      </c>
      <c r="D30" s="114">
        <v>0.5</v>
      </c>
      <c r="E30" s="113">
        <v>43843</v>
      </c>
      <c r="F30" s="113">
        <f>E30+7</f>
        <v>43850</v>
      </c>
      <c r="G30" s="78"/>
      <c r="H30" s="78">
        <f t="shared" si="4"/>
        <v>8</v>
      </c>
      <c r="I30" s="106" t="s">
        <v>295</v>
      </c>
      <c r="J30" s="77"/>
      <c r="K30" s="77"/>
      <c r="L30" s="77"/>
      <c r="M30" s="77"/>
      <c r="N30" s="77"/>
      <c r="O30" s="77"/>
      <c r="P30" s="77"/>
      <c r="Q30" s="77"/>
      <c r="R30" s="77"/>
      <c r="S30" s="77"/>
      <c r="T30" s="77"/>
      <c r="U30" s="77"/>
      <c r="V30" s="77"/>
      <c r="W30" s="77"/>
      <c r="X30" s="77"/>
      <c r="Y30" s="77"/>
      <c r="Z30" s="10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row>
    <row r="31" spans="1:65" s="68" customFormat="1" ht="30" customHeight="1" thickBot="1" x14ac:dyDescent="0.35">
      <c r="A31" s="63"/>
      <c r="B31" s="116" t="s">
        <v>294</v>
      </c>
      <c r="C31" s="115" t="s">
        <v>136</v>
      </c>
      <c r="D31" s="114">
        <v>0</v>
      </c>
      <c r="E31" s="113"/>
      <c r="F31" s="113">
        <f>E31+3</f>
        <v>3</v>
      </c>
      <c r="G31" s="78"/>
      <c r="H31" s="78" t="str">
        <f t="shared" si="4"/>
        <v/>
      </c>
      <c r="I31" s="83" t="s">
        <v>293</v>
      </c>
      <c r="J31" s="77"/>
      <c r="K31" s="77"/>
      <c r="L31" s="77"/>
      <c r="M31" s="77"/>
      <c r="N31" s="77"/>
      <c r="O31" s="77"/>
      <c r="P31" s="77"/>
      <c r="Q31" s="77"/>
      <c r="R31" s="77"/>
      <c r="S31" s="77"/>
      <c r="T31" s="77"/>
      <c r="U31" s="77"/>
      <c r="V31" s="77"/>
      <c r="W31" s="77"/>
      <c r="X31" s="77"/>
      <c r="Y31" s="77"/>
      <c r="Z31" s="10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row>
    <row r="32" spans="1:65" s="68" customFormat="1" ht="30" customHeight="1" thickBot="1" x14ac:dyDescent="0.35">
      <c r="A32" s="63"/>
      <c r="B32" s="116" t="s">
        <v>292</v>
      </c>
      <c r="C32" s="115" t="s">
        <v>136</v>
      </c>
      <c r="D32" s="114">
        <v>0.5</v>
      </c>
      <c r="E32" s="113">
        <v>43843</v>
      </c>
      <c r="F32" s="113">
        <f>E32+7</f>
        <v>43850</v>
      </c>
      <c r="G32" s="78"/>
      <c r="H32" s="78">
        <f t="shared" si="4"/>
        <v>8</v>
      </c>
      <c r="I32" s="83" t="s">
        <v>291</v>
      </c>
      <c r="J32" s="77"/>
      <c r="K32" s="77"/>
      <c r="L32" s="77"/>
      <c r="M32" s="77"/>
      <c r="N32" s="77"/>
      <c r="O32" s="77"/>
      <c r="P32" s="77"/>
      <c r="Q32" s="77"/>
      <c r="R32" s="77"/>
      <c r="S32" s="77"/>
      <c r="T32" s="77"/>
      <c r="U32" s="77"/>
      <c r="V32" s="77"/>
      <c r="W32" s="77"/>
      <c r="X32" s="77"/>
      <c r="Y32" s="77"/>
      <c r="Z32" s="10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row>
    <row r="33" spans="1:65" s="68" customFormat="1" ht="30" customHeight="1" thickBot="1" x14ac:dyDescent="0.35">
      <c r="A33" s="63"/>
      <c r="B33" s="116"/>
      <c r="C33" s="115"/>
      <c r="D33" s="114"/>
      <c r="E33" s="113"/>
      <c r="F33" s="113"/>
      <c r="G33" s="78"/>
      <c r="H33" s="78" t="str">
        <f t="shared" si="4"/>
        <v/>
      </c>
      <c r="I33" s="83"/>
      <c r="J33" s="77"/>
      <c r="K33" s="77"/>
      <c r="L33" s="77"/>
      <c r="M33" s="77"/>
      <c r="N33" s="77"/>
      <c r="O33" s="77"/>
      <c r="P33" s="77"/>
      <c r="Q33" s="77"/>
      <c r="R33" s="77"/>
      <c r="S33" s="77"/>
      <c r="T33" s="77"/>
      <c r="U33" s="77"/>
      <c r="V33" s="77"/>
      <c r="W33" s="77"/>
      <c r="X33" s="77"/>
      <c r="Y33" s="77"/>
      <c r="Z33" s="10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row>
    <row r="34" spans="1:65" s="68" customFormat="1" ht="30" customHeight="1" thickBot="1" x14ac:dyDescent="0.35">
      <c r="A34" s="76" t="s">
        <v>290</v>
      </c>
      <c r="B34" s="112" t="s">
        <v>289</v>
      </c>
      <c r="C34" s="111"/>
      <c r="D34" s="110"/>
      <c r="E34" s="109"/>
      <c r="F34" s="108"/>
      <c r="G34" s="78"/>
      <c r="H34" s="78" t="str">
        <f t="shared" si="4"/>
        <v/>
      </c>
      <c r="I34" s="83"/>
      <c r="J34" s="77"/>
      <c r="K34" s="77"/>
      <c r="L34" s="77"/>
      <c r="M34" s="77"/>
      <c r="N34" s="77"/>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row>
    <row r="35" spans="1:65" s="68" customFormat="1" ht="30" customHeight="1" thickBot="1" x14ac:dyDescent="0.35">
      <c r="A35" s="76"/>
      <c r="B35" s="105" t="s">
        <v>288</v>
      </c>
      <c r="C35" s="104" t="s">
        <v>136</v>
      </c>
      <c r="D35" s="104">
        <v>0.95</v>
      </c>
      <c r="E35" s="103">
        <v>43709</v>
      </c>
      <c r="F35" s="103">
        <f>E35+3</f>
        <v>43712</v>
      </c>
      <c r="G35" s="78"/>
      <c r="H35" s="78">
        <f t="shared" si="4"/>
        <v>4</v>
      </c>
      <c r="I35" s="83" t="s">
        <v>287</v>
      </c>
      <c r="J35" s="77"/>
      <c r="K35" s="77"/>
      <c r="L35" s="77"/>
      <c r="M35" s="77"/>
      <c r="N35" s="77"/>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row>
    <row r="36" spans="1:65" s="68" customFormat="1" ht="30" customHeight="1" thickBot="1" x14ac:dyDescent="0.35">
      <c r="A36" s="76"/>
      <c r="B36" s="105" t="s">
        <v>286</v>
      </c>
      <c r="C36" s="104" t="s">
        <v>136</v>
      </c>
      <c r="D36" s="104">
        <v>0.5</v>
      </c>
      <c r="E36" s="103">
        <v>43712</v>
      </c>
      <c r="F36" s="103">
        <f>E36+3</f>
        <v>43715</v>
      </c>
      <c r="G36" s="78"/>
      <c r="H36" s="78">
        <f t="shared" si="4"/>
        <v>4</v>
      </c>
      <c r="I36" s="106" t="s">
        <v>285</v>
      </c>
      <c r="J36" s="77"/>
      <c r="K36" s="77"/>
      <c r="L36" s="77"/>
      <c r="M36" s="77"/>
      <c r="N36" s="77"/>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row>
    <row r="37" spans="1:65" s="68" customFormat="1" ht="30" customHeight="1" thickBot="1" x14ac:dyDescent="0.35">
      <c r="A37" s="63"/>
      <c r="B37" s="105" t="s">
        <v>284</v>
      </c>
      <c r="C37" s="104" t="s">
        <v>136</v>
      </c>
      <c r="D37" s="104">
        <v>1</v>
      </c>
      <c r="E37" s="103">
        <v>43717</v>
      </c>
      <c r="F37" s="103">
        <f>E37+3</f>
        <v>43720</v>
      </c>
      <c r="G37" s="78"/>
      <c r="H37" s="78">
        <f t="shared" si="4"/>
        <v>4</v>
      </c>
      <c r="I37" s="83"/>
      <c r="J37" s="77"/>
      <c r="K37" s="77"/>
      <c r="L37" s="77"/>
      <c r="M37" s="77"/>
      <c r="N37" s="77"/>
      <c r="O37" s="77"/>
      <c r="P37" s="77"/>
      <c r="Q37" s="77"/>
      <c r="R37" s="77"/>
      <c r="S37" s="77"/>
      <c r="T37" s="77"/>
      <c r="U37" s="77"/>
      <c r="V37" s="107"/>
      <c r="W37" s="10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row>
    <row r="38" spans="1:65" s="68" customFormat="1" ht="30" customHeight="1" thickBot="1" x14ac:dyDescent="0.35">
      <c r="A38" s="63"/>
      <c r="B38" s="105" t="s">
        <v>283</v>
      </c>
      <c r="C38" s="104" t="s">
        <v>136</v>
      </c>
      <c r="D38" s="104">
        <v>0.4</v>
      </c>
      <c r="E38" s="103">
        <v>43721</v>
      </c>
      <c r="F38" s="103">
        <f>E38+1</f>
        <v>43722</v>
      </c>
      <c r="G38" s="78"/>
      <c r="H38" s="78">
        <f t="shared" si="4"/>
        <v>2</v>
      </c>
      <c r="I38" s="106" t="s">
        <v>282</v>
      </c>
      <c r="J38" s="77"/>
      <c r="K38" s="77"/>
      <c r="L38" s="77"/>
      <c r="M38" s="77"/>
      <c r="N38" s="77"/>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row>
    <row r="39" spans="1:65" s="68" customFormat="1" ht="30" customHeight="1" thickBot="1" x14ac:dyDescent="0.35">
      <c r="A39" s="63"/>
      <c r="B39" s="105" t="s">
        <v>281</v>
      </c>
      <c r="C39" s="104" t="s">
        <v>136</v>
      </c>
      <c r="D39" s="104">
        <v>0.8</v>
      </c>
      <c r="E39" s="103">
        <f>E38</f>
        <v>43721</v>
      </c>
      <c r="F39" s="103">
        <f>E39+3</f>
        <v>43724</v>
      </c>
      <c r="G39" s="78"/>
      <c r="H39" s="78">
        <f t="shared" ref="H39:H70" si="5">IF(OR(ISBLANK(task_start),ISBLANK(task_end)),"",task_end-task_start+1)</f>
        <v>4</v>
      </c>
      <c r="I39" s="83"/>
      <c r="J39" s="77"/>
      <c r="K39" s="77"/>
      <c r="L39" s="77"/>
      <c r="M39" s="77"/>
      <c r="N39" s="77"/>
      <c r="O39" s="77"/>
      <c r="P39" s="77"/>
      <c r="Q39" s="77"/>
      <c r="R39" s="77"/>
      <c r="S39" s="77"/>
      <c r="T39" s="77"/>
      <c r="U39" s="77"/>
      <c r="V39" s="77"/>
      <c r="W39" s="77"/>
      <c r="X39" s="77"/>
      <c r="Y39" s="77"/>
      <c r="Z39" s="10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row>
    <row r="40" spans="1:65" s="68" customFormat="1" ht="30" customHeight="1" thickBot="1" x14ac:dyDescent="0.35">
      <c r="A40" s="63"/>
      <c r="B40" s="105" t="s">
        <v>280</v>
      </c>
      <c r="C40" s="104" t="s">
        <v>136</v>
      </c>
      <c r="D40" s="104">
        <v>0.4</v>
      </c>
      <c r="E40" s="103">
        <v>43723</v>
      </c>
      <c r="F40" s="103">
        <f>E40+3</f>
        <v>43726</v>
      </c>
      <c r="G40" s="78"/>
      <c r="H40" s="78">
        <f t="shared" si="5"/>
        <v>4</v>
      </c>
      <c r="I40" s="106" t="s">
        <v>279</v>
      </c>
      <c r="J40" s="77"/>
      <c r="K40" s="77"/>
      <c r="L40" s="77"/>
      <c r="M40" s="77"/>
      <c r="N40" s="77"/>
      <c r="O40" s="77"/>
      <c r="P40" s="77"/>
      <c r="Q40" s="77"/>
      <c r="R40" s="77"/>
      <c r="S40" s="77"/>
      <c r="T40" s="77"/>
      <c r="U40" s="77"/>
      <c r="V40" s="77"/>
      <c r="W40" s="77"/>
      <c r="X40" s="77"/>
      <c r="Y40" s="77"/>
      <c r="Z40" s="10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row>
    <row r="41" spans="1:65" s="68" customFormat="1" ht="30" customHeight="1" thickBot="1" x14ac:dyDescent="0.35">
      <c r="A41" s="63"/>
      <c r="B41" s="105" t="s">
        <v>278</v>
      </c>
      <c r="C41" s="104" t="s">
        <v>136</v>
      </c>
      <c r="D41" s="104">
        <v>0</v>
      </c>
      <c r="E41" s="103"/>
      <c r="F41" s="103">
        <f>E41+3</f>
        <v>3</v>
      </c>
      <c r="G41" s="78"/>
      <c r="H41" s="78" t="str">
        <f t="shared" si="5"/>
        <v/>
      </c>
      <c r="I41" s="83"/>
      <c r="J41" s="77"/>
      <c r="K41" s="77"/>
      <c r="L41" s="77"/>
      <c r="M41" s="77"/>
      <c r="N41" s="77"/>
      <c r="O41" s="77"/>
      <c r="P41" s="77"/>
      <c r="Q41" s="77"/>
      <c r="R41" s="77"/>
      <c r="S41" s="77"/>
      <c r="T41" s="77"/>
      <c r="U41" s="77"/>
      <c r="V41" s="77"/>
      <c r="W41" s="77"/>
      <c r="X41" s="77"/>
      <c r="Y41" s="77"/>
      <c r="Z41" s="10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row>
    <row r="42" spans="1:65" s="68" customFormat="1" ht="30" customHeight="1" thickBot="1" x14ac:dyDescent="0.35">
      <c r="A42" s="63"/>
      <c r="B42" s="105" t="s">
        <v>277</v>
      </c>
      <c r="C42" s="104"/>
      <c r="D42" s="104">
        <v>0.5</v>
      </c>
      <c r="E42" s="103">
        <v>43727</v>
      </c>
      <c r="F42" s="103">
        <f>E42+1</f>
        <v>43728</v>
      </c>
      <c r="G42" s="78"/>
      <c r="H42" s="78">
        <f t="shared" si="5"/>
        <v>2</v>
      </c>
      <c r="I42" s="83" t="s">
        <v>276</v>
      </c>
      <c r="J42" s="77"/>
      <c r="K42" s="77"/>
      <c r="L42" s="77"/>
      <c r="M42" s="77"/>
      <c r="N42" s="77"/>
      <c r="O42" s="77"/>
      <c r="P42" s="77"/>
      <c r="Q42" s="77"/>
      <c r="R42" s="77"/>
      <c r="S42" s="77"/>
      <c r="T42" s="77"/>
      <c r="U42" s="77"/>
      <c r="V42" s="77"/>
      <c r="W42" s="77"/>
      <c r="X42" s="77"/>
      <c r="Y42" s="77"/>
      <c r="Z42" s="10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row>
    <row r="43" spans="1:65" s="68" customFormat="1" ht="30" customHeight="1" thickBot="1" x14ac:dyDescent="0.35">
      <c r="A43" s="63"/>
      <c r="B43" s="105" t="s">
        <v>275</v>
      </c>
      <c r="C43" s="104" t="s">
        <v>136</v>
      </c>
      <c r="D43" s="104">
        <v>0.9</v>
      </c>
      <c r="E43" s="103">
        <v>43728</v>
      </c>
      <c r="F43" s="103">
        <f>E43+1</f>
        <v>43729</v>
      </c>
      <c r="G43" s="78"/>
      <c r="H43" s="78">
        <f t="shared" si="5"/>
        <v>2</v>
      </c>
      <c r="I43" s="83"/>
      <c r="J43" s="77"/>
      <c r="K43" s="77"/>
      <c r="L43" s="77"/>
      <c r="M43" s="77"/>
      <c r="N43" s="77"/>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row>
    <row r="44" spans="1:65" s="68" customFormat="1" ht="30" customHeight="1" thickBot="1" x14ac:dyDescent="0.35">
      <c r="A44" s="63"/>
      <c r="B44" s="105" t="s">
        <v>274</v>
      </c>
      <c r="C44" s="104" t="s">
        <v>136</v>
      </c>
      <c r="D44" s="104">
        <v>0.95</v>
      </c>
      <c r="E44" s="103">
        <v>43725</v>
      </c>
      <c r="F44" s="103">
        <f>E44+4</f>
        <v>43729</v>
      </c>
      <c r="G44" s="78"/>
      <c r="H44" s="78">
        <f t="shared" si="5"/>
        <v>5</v>
      </c>
      <c r="I44" s="106" t="s">
        <v>273</v>
      </c>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row>
    <row r="45" spans="1:65" s="68" customFormat="1" ht="30" customHeight="1" thickBot="1" x14ac:dyDescent="0.35">
      <c r="A45" s="63"/>
      <c r="B45" s="105" t="s">
        <v>272</v>
      </c>
      <c r="C45" s="104" t="s">
        <v>136</v>
      </c>
      <c r="D45" s="104">
        <v>0.8</v>
      </c>
      <c r="E45" s="103">
        <v>43862</v>
      </c>
      <c r="F45" s="103">
        <f t="shared" ref="F45:F76" si="6">E45+28</f>
        <v>43890</v>
      </c>
      <c r="G45" s="78"/>
      <c r="H45" s="78">
        <f t="shared" si="5"/>
        <v>29</v>
      </c>
      <c r="I45" s="106" t="s">
        <v>271</v>
      </c>
      <c r="J45" s="77"/>
      <c r="K45" s="77"/>
      <c r="L45" s="77"/>
      <c r="M45" s="77"/>
      <c r="N45" s="77"/>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row>
    <row r="46" spans="1:65" s="68" customFormat="1" ht="30" customHeight="1" thickBot="1" x14ac:dyDescent="0.35">
      <c r="A46" s="63"/>
      <c r="B46" s="105" t="s">
        <v>270</v>
      </c>
      <c r="C46" s="104" t="s">
        <v>136</v>
      </c>
      <c r="D46" s="104">
        <v>0.8</v>
      </c>
      <c r="E46" s="103">
        <v>43862</v>
      </c>
      <c r="F46" s="103">
        <f t="shared" si="6"/>
        <v>43890</v>
      </c>
      <c r="G46" s="78"/>
      <c r="H46" s="78">
        <f t="shared" si="5"/>
        <v>29</v>
      </c>
      <c r="I46" s="83"/>
      <c r="J46" s="77"/>
      <c r="K46" s="77"/>
      <c r="L46" s="77"/>
      <c r="M46" s="77"/>
      <c r="N46" s="77"/>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row>
    <row r="47" spans="1:65" s="68" customFormat="1" ht="30" customHeight="1" thickBot="1" x14ac:dyDescent="0.35">
      <c r="A47" s="63"/>
      <c r="B47" s="105" t="s">
        <v>269</v>
      </c>
      <c r="C47" s="104" t="s">
        <v>136</v>
      </c>
      <c r="D47" s="104">
        <v>0.8</v>
      </c>
      <c r="E47" s="103">
        <v>43862</v>
      </c>
      <c r="F47" s="103">
        <f t="shared" si="6"/>
        <v>43890</v>
      </c>
      <c r="G47" s="78"/>
      <c r="H47" s="78">
        <f t="shared" si="5"/>
        <v>29</v>
      </c>
      <c r="I47" s="83"/>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row>
    <row r="48" spans="1:65" s="68" customFormat="1" ht="30" customHeight="1" thickBot="1" x14ac:dyDescent="0.35">
      <c r="A48" s="63"/>
      <c r="B48" s="105" t="s">
        <v>268</v>
      </c>
      <c r="C48" s="104" t="s">
        <v>136</v>
      </c>
      <c r="D48" s="104">
        <v>0.8</v>
      </c>
      <c r="E48" s="103">
        <v>43862</v>
      </c>
      <c r="F48" s="103">
        <f t="shared" si="6"/>
        <v>43890</v>
      </c>
      <c r="G48" s="78"/>
      <c r="H48" s="78">
        <f t="shared" si="5"/>
        <v>29</v>
      </c>
      <c r="I48" s="83"/>
      <c r="J48" s="77"/>
      <c r="K48" s="77"/>
      <c r="L48" s="77"/>
      <c r="M48" s="77"/>
      <c r="N48" s="77"/>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row>
    <row r="49" spans="1:65" s="68" customFormat="1" ht="30" customHeight="1" thickBot="1" x14ac:dyDescent="0.35">
      <c r="A49" s="63"/>
      <c r="B49" s="105" t="s">
        <v>267</v>
      </c>
      <c r="C49" s="104" t="s">
        <v>136</v>
      </c>
      <c r="D49" s="104">
        <v>0.8</v>
      </c>
      <c r="E49" s="103">
        <v>43862</v>
      </c>
      <c r="F49" s="103">
        <f t="shared" si="6"/>
        <v>43890</v>
      </c>
      <c r="G49" s="78"/>
      <c r="H49" s="78">
        <f t="shared" si="5"/>
        <v>29</v>
      </c>
      <c r="I49" s="83"/>
      <c r="J49" s="77"/>
      <c r="K49" s="77"/>
      <c r="L49" s="77"/>
      <c r="M49" s="77"/>
      <c r="N49" s="77"/>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row>
    <row r="50" spans="1:65" s="68" customFormat="1" ht="30" customHeight="1" thickBot="1" x14ac:dyDescent="0.35">
      <c r="A50" s="63"/>
      <c r="B50" s="105" t="s">
        <v>266</v>
      </c>
      <c r="C50" s="104" t="s">
        <v>136</v>
      </c>
      <c r="D50" s="104">
        <v>0.8</v>
      </c>
      <c r="E50" s="103">
        <v>43862</v>
      </c>
      <c r="F50" s="103">
        <f t="shared" si="6"/>
        <v>43890</v>
      </c>
      <c r="G50" s="78"/>
      <c r="H50" s="78">
        <f t="shared" si="5"/>
        <v>29</v>
      </c>
      <c r="I50" s="83"/>
      <c r="J50" s="77"/>
      <c r="K50" s="77"/>
      <c r="L50" s="77"/>
      <c r="M50" s="77"/>
      <c r="N50" s="77"/>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row>
    <row r="51" spans="1:65" s="68" customFormat="1" ht="30" customHeight="1" thickBot="1" x14ac:dyDescent="0.35">
      <c r="A51" s="63"/>
      <c r="B51" s="105" t="s">
        <v>265</v>
      </c>
      <c r="C51" s="104" t="s">
        <v>136</v>
      </c>
      <c r="D51" s="104">
        <v>0.8</v>
      </c>
      <c r="E51" s="103">
        <v>43862</v>
      </c>
      <c r="F51" s="103">
        <f t="shared" si="6"/>
        <v>43890</v>
      </c>
      <c r="G51" s="78"/>
      <c r="H51" s="78">
        <f t="shared" si="5"/>
        <v>29</v>
      </c>
      <c r="I51" s="83"/>
      <c r="J51" s="77"/>
      <c r="K51" s="77"/>
      <c r="L51" s="77"/>
      <c r="M51" s="77"/>
      <c r="N51" s="77"/>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row>
    <row r="52" spans="1:65" s="68" customFormat="1" ht="30" customHeight="1" thickBot="1" x14ac:dyDescent="0.35">
      <c r="A52" s="63"/>
      <c r="B52" s="105" t="s">
        <v>265</v>
      </c>
      <c r="C52" s="104" t="s">
        <v>136</v>
      </c>
      <c r="D52" s="104">
        <v>0.8</v>
      </c>
      <c r="E52" s="103">
        <v>43862</v>
      </c>
      <c r="F52" s="103">
        <f t="shared" si="6"/>
        <v>43890</v>
      </c>
      <c r="G52" s="78"/>
      <c r="H52" s="78">
        <f t="shared" si="5"/>
        <v>29</v>
      </c>
      <c r="I52" s="83"/>
      <c r="J52" s="77"/>
      <c r="K52" s="77"/>
      <c r="L52" s="77"/>
      <c r="M52" s="77"/>
      <c r="N52" s="77"/>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row>
    <row r="53" spans="1:65" s="68" customFormat="1" ht="30" customHeight="1" thickBot="1" x14ac:dyDescent="0.35">
      <c r="A53" s="63"/>
      <c r="B53" s="105" t="s">
        <v>264</v>
      </c>
      <c r="C53" s="104" t="s">
        <v>136</v>
      </c>
      <c r="D53" s="104">
        <v>0.8</v>
      </c>
      <c r="E53" s="103">
        <v>43862</v>
      </c>
      <c r="F53" s="103">
        <f t="shared" si="6"/>
        <v>43890</v>
      </c>
      <c r="G53" s="78"/>
      <c r="H53" s="78">
        <f t="shared" si="5"/>
        <v>29</v>
      </c>
      <c r="I53" s="83"/>
      <c r="J53" s="77"/>
      <c r="K53" s="77"/>
      <c r="L53" s="77"/>
      <c r="M53" s="77"/>
      <c r="N53" s="77"/>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row>
    <row r="54" spans="1:65" s="68" customFormat="1" ht="30" customHeight="1" thickBot="1" x14ac:dyDescent="0.35">
      <c r="A54" s="63"/>
      <c r="B54" s="105" t="s">
        <v>263</v>
      </c>
      <c r="C54" s="104" t="s">
        <v>136</v>
      </c>
      <c r="D54" s="104">
        <v>0.8</v>
      </c>
      <c r="E54" s="103">
        <v>43862</v>
      </c>
      <c r="F54" s="103">
        <f t="shared" si="6"/>
        <v>43890</v>
      </c>
      <c r="G54" s="78"/>
      <c r="H54" s="78">
        <f t="shared" si="5"/>
        <v>29</v>
      </c>
      <c r="I54" s="83"/>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row>
    <row r="55" spans="1:65" s="68" customFormat="1" ht="30" customHeight="1" thickBot="1" x14ac:dyDescent="0.35">
      <c r="A55" s="63"/>
      <c r="B55" s="105" t="s">
        <v>262</v>
      </c>
      <c r="C55" s="104" t="s">
        <v>136</v>
      </c>
      <c r="D55" s="104">
        <v>0.8</v>
      </c>
      <c r="E55" s="103">
        <v>43862</v>
      </c>
      <c r="F55" s="103">
        <f t="shared" si="6"/>
        <v>43890</v>
      </c>
      <c r="G55" s="78"/>
      <c r="H55" s="78">
        <f t="shared" si="5"/>
        <v>29</v>
      </c>
      <c r="I55" s="83"/>
      <c r="J55" s="77"/>
      <c r="K55" s="77"/>
      <c r="L55" s="77"/>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row>
    <row r="56" spans="1:65" s="68" customFormat="1" ht="30" customHeight="1" thickBot="1" x14ac:dyDescent="0.35">
      <c r="A56" s="63"/>
      <c r="B56" s="105" t="s">
        <v>261</v>
      </c>
      <c r="C56" s="104" t="s">
        <v>136</v>
      </c>
      <c r="D56" s="104">
        <v>0.8</v>
      </c>
      <c r="E56" s="103">
        <v>43862</v>
      </c>
      <c r="F56" s="103">
        <f t="shared" si="6"/>
        <v>43890</v>
      </c>
      <c r="G56" s="78"/>
      <c r="H56" s="78">
        <f t="shared" si="5"/>
        <v>29</v>
      </c>
      <c r="I56" s="83"/>
      <c r="J56" s="77"/>
      <c r="K56" s="77"/>
      <c r="L56" s="77"/>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row>
    <row r="57" spans="1:65" s="68" customFormat="1" ht="30" customHeight="1" thickBot="1" x14ac:dyDescent="0.35">
      <c r="A57" s="63"/>
      <c r="B57" s="105" t="s">
        <v>260</v>
      </c>
      <c r="C57" s="104" t="s">
        <v>136</v>
      </c>
      <c r="D57" s="104">
        <v>0.8</v>
      </c>
      <c r="E57" s="103">
        <v>43862</v>
      </c>
      <c r="F57" s="103">
        <f t="shared" si="6"/>
        <v>43890</v>
      </c>
      <c r="G57" s="78"/>
      <c r="H57" s="78">
        <f t="shared" si="5"/>
        <v>29</v>
      </c>
      <c r="I57" s="83"/>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row>
    <row r="58" spans="1:65" s="68" customFormat="1" ht="30" customHeight="1" thickBot="1" x14ac:dyDescent="0.35">
      <c r="A58" s="63"/>
      <c r="B58" s="105" t="s">
        <v>259</v>
      </c>
      <c r="C58" s="104" t="s">
        <v>136</v>
      </c>
      <c r="D58" s="104">
        <v>0.8</v>
      </c>
      <c r="E58" s="103">
        <v>43862</v>
      </c>
      <c r="F58" s="103">
        <f t="shared" si="6"/>
        <v>43890</v>
      </c>
      <c r="G58" s="78"/>
      <c r="H58" s="78">
        <f t="shared" si="5"/>
        <v>29</v>
      </c>
      <c r="I58" s="83"/>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row>
    <row r="59" spans="1:65" s="68" customFormat="1" ht="30" customHeight="1" thickBot="1" x14ac:dyDescent="0.35">
      <c r="A59" s="63"/>
      <c r="B59" s="105" t="s">
        <v>258</v>
      </c>
      <c r="C59" s="104" t="s">
        <v>136</v>
      </c>
      <c r="D59" s="104">
        <v>0.8</v>
      </c>
      <c r="E59" s="103">
        <v>43862</v>
      </c>
      <c r="F59" s="103">
        <f t="shared" si="6"/>
        <v>43890</v>
      </c>
      <c r="G59" s="78"/>
      <c r="H59" s="78">
        <f t="shared" si="5"/>
        <v>29</v>
      </c>
      <c r="I59" s="83"/>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row>
    <row r="60" spans="1:65" s="68" customFormat="1" ht="30" customHeight="1" thickBot="1" x14ac:dyDescent="0.35">
      <c r="A60" s="63"/>
      <c r="B60" s="105" t="s">
        <v>257</v>
      </c>
      <c r="C60" s="104" t="s">
        <v>136</v>
      </c>
      <c r="D60" s="104">
        <v>0.8</v>
      </c>
      <c r="E60" s="103">
        <v>43862</v>
      </c>
      <c r="F60" s="103">
        <f t="shared" si="6"/>
        <v>43890</v>
      </c>
      <c r="G60" s="78"/>
      <c r="H60" s="78">
        <f t="shared" si="5"/>
        <v>29</v>
      </c>
      <c r="I60" s="83"/>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row>
    <row r="61" spans="1:65" s="68" customFormat="1" ht="30" customHeight="1" thickBot="1" x14ac:dyDescent="0.35">
      <c r="A61" s="63"/>
      <c r="B61" s="105" t="s">
        <v>256</v>
      </c>
      <c r="C61" s="104" t="s">
        <v>136</v>
      </c>
      <c r="D61" s="104">
        <v>0.8</v>
      </c>
      <c r="E61" s="103">
        <v>43862</v>
      </c>
      <c r="F61" s="103">
        <f t="shared" si="6"/>
        <v>43890</v>
      </c>
      <c r="G61" s="78"/>
      <c r="H61" s="78">
        <f t="shared" si="5"/>
        <v>29</v>
      </c>
      <c r="I61" s="83"/>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row>
    <row r="62" spans="1:65" s="68" customFormat="1" ht="30" customHeight="1" thickBot="1" x14ac:dyDescent="0.35">
      <c r="A62" s="63"/>
      <c r="B62" s="105" t="s">
        <v>255</v>
      </c>
      <c r="C62" s="104" t="s">
        <v>136</v>
      </c>
      <c r="D62" s="104">
        <v>0.8</v>
      </c>
      <c r="E62" s="103">
        <v>43862</v>
      </c>
      <c r="F62" s="103">
        <f t="shared" si="6"/>
        <v>43890</v>
      </c>
      <c r="G62" s="78"/>
      <c r="H62" s="78">
        <f t="shared" si="5"/>
        <v>29</v>
      </c>
      <c r="I62" s="83"/>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row>
    <row r="63" spans="1:65" s="68" customFormat="1" ht="30" customHeight="1" thickBot="1" x14ac:dyDescent="0.35">
      <c r="A63" s="63"/>
      <c r="B63" s="105" t="s">
        <v>254</v>
      </c>
      <c r="C63" s="104" t="s">
        <v>239</v>
      </c>
      <c r="D63" s="104">
        <v>0.8</v>
      </c>
      <c r="E63" s="103">
        <v>43862</v>
      </c>
      <c r="F63" s="103">
        <f t="shared" si="6"/>
        <v>43890</v>
      </c>
      <c r="G63" s="78"/>
      <c r="H63" s="78">
        <f t="shared" si="5"/>
        <v>29</v>
      </c>
      <c r="I63" s="83"/>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row>
    <row r="64" spans="1:65" s="68" customFormat="1" ht="30" customHeight="1" thickBot="1" x14ac:dyDescent="0.35">
      <c r="A64" s="63"/>
      <c r="B64" s="105" t="s">
        <v>253</v>
      </c>
      <c r="C64" s="104" t="s">
        <v>239</v>
      </c>
      <c r="D64" s="104">
        <v>0.8</v>
      </c>
      <c r="E64" s="103">
        <v>43862</v>
      </c>
      <c r="F64" s="103">
        <f t="shared" si="6"/>
        <v>43890</v>
      </c>
      <c r="G64" s="78"/>
      <c r="H64" s="78">
        <f t="shared" si="5"/>
        <v>29</v>
      </c>
      <c r="I64" s="83"/>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row>
    <row r="65" spans="1:65" s="68" customFormat="1" ht="30" customHeight="1" thickBot="1" x14ac:dyDescent="0.35">
      <c r="A65" s="63"/>
      <c r="B65" s="105" t="s">
        <v>252</v>
      </c>
      <c r="C65" s="104" t="s">
        <v>239</v>
      </c>
      <c r="D65" s="104">
        <v>0.8</v>
      </c>
      <c r="E65" s="103">
        <v>43862</v>
      </c>
      <c r="F65" s="103">
        <f t="shared" si="6"/>
        <v>43890</v>
      </c>
      <c r="G65" s="78"/>
      <c r="H65" s="78">
        <f t="shared" si="5"/>
        <v>29</v>
      </c>
      <c r="I65" s="83"/>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row>
    <row r="66" spans="1:65" s="68" customFormat="1" ht="30" customHeight="1" thickBot="1" x14ac:dyDescent="0.35">
      <c r="A66" s="63"/>
      <c r="B66" s="105" t="s">
        <v>251</v>
      </c>
      <c r="C66" s="104" t="s">
        <v>196</v>
      </c>
      <c r="D66" s="104">
        <v>0.8</v>
      </c>
      <c r="E66" s="103">
        <v>43862</v>
      </c>
      <c r="F66" s="103">
        <f t="shared" si="6"/>
        <v>43890</v>
      </c>
      <c r="G66" s="78"/>
      <c r="H66" s="78">
        <f t="shared" si="5"/>
        <v>29</v>
      </c>
      <c r="I66" s="83"/>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row>
    <row r="67" spans="1:65" s="68" customFormat="1" ht="30" customHeight="1" thickBot="1" x14ac:dyDescent="0.35">
      <c r="A67" s="63"/>
      <c r="B67" s="105" t="s">
        <v>250</v>
      </c>
      <c r="C67" s="104" t="s">
        <v>196</v>
      </c>
      <c r="D67" s="104">
        <v>0.8</v>
      </c>
      <c r="E67" s="103">
        <v>43862</v>
      </c>
      <c r="F67" s="103">
        <f t="shared" si="6"/>
        <v>43890</v>
      </c>
      <c r="G67" s="78"/>
      <c r="H67" s="78">
        <f t="shared" si="5"/>
        <v>29</v>
      </c>
      <c r="I67" s="83"/>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row>
    <row r="68" spans="1:65" s="68" customFormat="1" ht="30" customHeight="1" thickBot="1" x14ac:dyDescent="0.35">
      <c r="A68" s="63"/>
      <c r="B68" s="105" t="s">
        <v>249</v>
      </c>
      <c r="C68" s="104" t="s">
        <v>196</v>
      </c>
      <c r="D68" s="104">
        <v>0.8</v>
      </c>
      <c r="E68" s="103">
        <v>43862</v>
      </c>
      <c r="F68" s="103">
        <f t="shared" si="6"/>
        <v>43890</v>
      </c>
      <c r="G68" s="78"/>
      <c r="H68" s="78">
        <f t="shared" si="5"/>
        <v>29</v>
      </c>
      <c r="I68" s="83"/>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row>
    <row r="69" spans="1:65" s="68" customFormat="1" ht="30" customHeight="1" thickBot="1" x14ac:dyDescent="0.35">
      <c r="A69" s="63"/>
      <c r="B69" s="105" t="s">
        <v>248</v>
      </c>
      <c r="C69" s="104" t="s">
        <v>239</v>
      </c>
      <c r="D69" s="104">
        <v>0.8</v>
      </c>
      <c r="E69" s="103">
        <v>43862</v>
      </c>
      <c r="F69" s="103">
        <f t="shared" si="6"/>
        <v>43890</v>
      </c>
      <c r="G69" s="78"/>
      <c r="H69" s="78">
        <f t="shared" si="5"/>
        <v>29</v>
      </c>
      <c r="I69" s="83"/>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row>
    <row r="70" spans="1:65" s="68" customFormat="1" ht="30" customHeight="1" thickBot="1" x14ac:dyDescent="0.35">
      <c r="A70" s="63"/>
      <c r="B70" s="105" t="s">
        <v>247</v>
      </c>
      <c r="C70" s="104" t="s">
        <v>136</v>
      </c>
      <c r="D70" s="104">
        <v>0.8</v>
      </c>
      <c r="E70" s="103">
        <v>43862</v>
      </c>
      <c r="F70" s="103">
        <f t="shared" si="6"/>
        <v>43890</v>
      </c>
      <c r="G70" s="78"/>
      <c r="H70" s="78">
        <f t="shared" si="5"/>
        <v>29</v>
      </c>
      <c r="I70" s="83"/>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row>
    <row r="71" spans="1:65" s="68" customFormat="1" ht="30" customHeight="1" thickBot="1" x14ac:dyDescent="0.35">
      <c r="A71" s="63"/>
      <c r="B71" s="105" t="s">
        <v>246</v>
      </c>
      <c r="C71" s="104" t="s">
        <v>136</v>
      </c>
      <c r="D71" s="104">
        <v>0.8</v>
      </c>
      <c r="E71" s="103">
        <v>43862</v>
      </c>
      <c r="F71" s="103">
        <f t="shared" si="6"/>
        <v>43890</v>
      </c>
      <c r="G71" s="78"/>
      <c r="H71" s="78">
        <f t="shared" ref="H71:H78" si="7">IF(OR(ISBLANK(task_start),ISBLANK(task_end)),"",task_end-task_start+1)</f>
        <v>29</v>
      </c>
      <c r="I71" s="83"/>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row>
    <row r="72" spans="1:65" s="68" customFormat="1" ht="30" customHeight="1" thickBot="1" x14ac:dyDescent="0.35">
      <c r="A72" s="63"/>
      <c r="B72" s="105" t="s">
        <v>245</v>
      </c>
      <c r="C72" s="104" t="s">
        <v>136</v>
      </c>
      <c r="D72" s="104">
        <v>0.8</v>
      </c>
      <c r="E72" s="103">
        <v>43862</v>
      </c>
      <c r="F72" s="103">
        <f t="shared" si="6"/>
        <v>43890</v>
      </c>
      <c r="G72" s="78"/>
      <c r="H72" s="78">
        <f t="shared" si="7"/>
        <v>29</v>
      </c>
      <c r="I72" s="83"/>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row>
    <row r="73" spans="1:65" s="68" customFormat="1" ht="30" customHeight="1" thickBot="1" x14ac:dyDescent="0.35">
      <c r="A73" s="63"/>
      <c r="B73" s="105" t="s">
        <v>244</v>
      </c>
      <c r="C73" s="104" t="s">
        <v>136</v>
      </c>
      <c r="D73" s="104">
        <v>0.8</v>
      </c>
      <c r="E73" s="103">
        <v>43862</v>
      </c>
      <c r="F73" s="103">
        <f t="shared" si="6"/>
        <v>43890</v>
      </c>
      <c r="G73" s="78"/>
      <c r="H73" s="78">
        <f t="shared" si="7"/>
        <v>29</v>
      </c>
      <c r="I73" s="83"/>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row>
    <row r="74" spans="1:65" s="68" customFormat="1" ht="30" customHeight="1" thickBot="1" x14ac:dyDescent="0.35">
      <c r="A74" s="63"/>
      <c r="B74" s="105" t="s">
        <v>243</v>
      </c>
      <c r="C74" s="104" t="s">
        <v>196</v>
      </c>
      <c r="D74" s="104">
        <v>0.8</v>
      </c>
      <c r="E74" s="103">
        <v>43862</v>
      </c>
      <c r="F74" s="103">
        <f t="shared" si="6"/>
        <v>43890</v>
      </c>
      <c r="G74" s="78"/>
      <c r="H74" s="78">
        <f t="shared" si="7"/>
        <v>29</v>
      </c>
      <c r="I74" s="83"/>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row>
    <row r="75" spans="1:65" s="68" customFormat="1" ht="30" customHeight="1" thickBot="1" x14ac:dyDescent="0.35">
      <c r="A75" s="63"/>
      <c r="B75" s="105" t="s">
        <v>242</v>
      </c>
      <c r="C75" s="104" t="s">
        <v>196</v>
      </c>
      <c r="D75" s="104">
        <v>0.8</v>
      </c>
      <c r="E75" s="103">
        <v>43862</v>
      </c>
      <c r="F75" s="103">
        <f t="shared" si="6"/>
        <v>43890</v>
      </c>
      <c r="G75" s="78"/>
      <c r="H75" s="78">
        <f t="shared" si="7"/>
        <v>29</v>
      </c>
      <c r="I75" s="83"/>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row>
    <row r="76" spans="1:65" s="68" customFormat="1" ht="30" customHeight="1" thickBot="1" x14ac:dyDescent="0.35">
      <c r="A76" s="63"/>
      <c r="B76" s="105" t="s">
        <v>241</v>
      </c>
      <c r="C76" s="104" t="s">
        <v>136</v>
      </c>
      <c r="D76" s="104">
        <v>0.8</v>
      </c>
      <c r="E76" s="103">
        <v>43862</v>
      </c>
      <c r="F76" s="103">
        <f t="shared" si="6"/>
        <v>43890</v>
      </c>
      <c r="G76" s="78"/>
      <c r="H76" s="78">
        <f t="shared" si="7"/>
        <v>29</v>
      </c>
      <c r="I76" s="83"/>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row>
    <row r="77" spans="1:65" s="68" customFormat="1" ht="30" customHeight="1" thickBot="1" x14ac:dyDescent="0.35">
      <c r="A77" s="63"/>
      <c r="B77" s="105" t="s">
        <v>240</v>
      </c>
      <c r="C77" s="104" t="s">
        <v>239</v>
      </c>
      <c r="D77" s="104">
        <v>0.3</v>
      </c>
      <c r="E77" s="103">
        <v>43730</v>
      </c>
      <c r="F77" s="103">
        <f>E77+5</f>
        <v>43735</v>
      </c>
      <c r="G77" s="78"/>
      <c r="H77" s="78">
        <f t="shared" si="7"/>
        <v>6</v>
      </c>
      <c r="I77" s="106" t="s">
        <v>237</v>
      </c>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row>
    <row r="78" spans="1:65" s="68" customFormat="1" ht="30" customHeight="1" thickBot="1" x14ac:dyDescent="0.35">
      <c r="A78" s="63"/>
      <c r="B78" s="105" t="s">
        <v>238</v>
      </c>
      <c r="C78" s="104" t="s">
        <v>136</v>
      </c>
      <c r="D78" s="104">
        <v>0.3</v>
      </c>
      <c r="E78" s="103">
        <v>43730</v>
      </c>
      <c r="F78" s="103">
        <f>E78+5</f>
        <v>43735</v>
      </c>
      <c r="G78" s="78"/>
      <c r="H78" s="78">
        <f t="shared" si="7"/>
        <v>6</v>
      </c>
      <c r="I78" s="106" t="s">
        <v>237</v>
      </c>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row>
    <row r="79" spans="1:65" s="68" customFormat="1" ht="30" customHeight="1" thickBot="1" x14ac:dyDescent="0.35">
      <c r="A79" s="63"/>
      <c r="B79" s="105" t="s">
        <v>236</v>
      </c>
      <c r="C79" s="104" t="s">
        <v>136</v>
      </c>
      <c r="D79" s="104">
        <v>0</v>
      </c>
      <c r="E79" s="103"/>
      <c r="F79" s="103"/>
      <c r="G79" s="78"/>
      <c r="H79" s="78"/>
      <c r="I79" s="83"/>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row>
    <row r="80" spans="1:65" s="68" customFormat="1" ht="30" customHeight="1" thickBot="1" x14ac:dyDescent="0.35">
      <c r="A80" s="63"/>
      <c r="B80" s="105" t="s">
        <v>235</v>
      </c>
      <c r="C80" s="104" t="s">
        <v>136</v>
      </c>
      <c r="D80" s="104">
        <v>0</v>
      </c>
      <c r="E80" s="103"/>
      <c r="F80" s="103"/>
      <c r="G80" s="78"/>
      <c r="H80" s="78"/>
      <c r="I80" s="83"/>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row>
    <row r="81" spans="1:65" s="68" customFormat="1" ht="30" customHeight="1" thickBot="1" x14ac:dyDescent="0.35">
      <c r="A81" s="63"/>
      <c r="B81" s="105" t="s">
        <v>234</v>
      </c>
      <c r="C81" s="104" t="s">
        <v>136</v>
      </c>
      <c r="D81" s="104">
        <v>0</v>
      </c>
      <c r="E81" s="103"/>
      <c r="F81" s="103"/>
      <c r="G81" s="78"/>
      <c r="H81" s="78"/>
      <c r="I81" s="83"/>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row>
    <row r="82" spans="1:65" s="68" customFormat="1" ht="30" customHeight="1" thickBot="1" x14ac:dyDescent="0.35">
      <c r="A82" s="63"/>
      <c r="B82" s="105" t="s">
        <v>233</v>
      </c>
      <c r="C82" s="104" t="s">
        <v>136</v>
      </c>
      <c r="D82" s="104">
        <v>0</v>
      </c>
      <c r="E82" s="103"/>
      <c r="F82" s="103"/>
      <c r="G82" s="78"/>
      <c r="H82" s="78"/>
      <c r="I82" s="83"/>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row>
    <row r="83" spans="1:65" s="68" customFormat="1" ht="30" customHeight="1" thickBot="1" x14ac:dyDescent="0.35">
      <c r="A83" s="63"/>
      <c r="B83" s="105" t="s">
        <v>232</v>
      </c>
      <c r="C83" s="104" t="s">
        <v>136</v>
      </c>
      <c r="D83" s="104">
        <v>0</v>
      </c>
      <c r="E83" s="103"/>
      <c r="F83" s="103"/>
      <c r="G83" s="78"/>
      <c r="H83" s="78"/>
      <c r="I83" s="83"/>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row>
    <row r="84" spans="1:65" s="68" customFormat="1" ht="30" customHeight="1" thickBot="1" x14ac:dyDescent="0.35">
      <c r="A84" s="63"/>
      <c r="B84" s="105"/>
      <c r="C84" s="104"/>
      <c r="D84" s="104"/>
      <c r="E84" s="103"/>
      <c r="F84" s="103"/>
      <c r="G84" s="78"/>
      <c r="H84" s="78"/>
      <c r="I84" s="83"/>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row>
    <row r="85" spans="1:65" s="68" customFormat="1" ht="30" customHeight="1" thickBot="1" x14ac:dyDescent="0.35">
      <c r="A85" s="63"/>
      <c r="B85" s="105"/>
      <c r="C85" s="104"/>
      <c r="D85" s="104"/>
      <c r="E85" s="103"/>
      <c r="F85" s="103"/>
      <c r="G85" s="78"/>
      <c r="H85" s="78"/>
      <c r="I85" s="83"/>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row>
    <row r="86" spans="1:65" s="68" customFormat="1" ht="30" customHeight="1" thickBot="1" x14ac:dyDescent="0.35">
      <c r="A86" s="63"/>
      <c r="B86" s="105"/>
      <c r="C86" s="104"/>
      <c r="D86" s="104"/>
      <c r="E86" s="103"/>
      <c r="F86" s="103"/>
      <c r="G86" s="78"/>
      <c r="H86" s="78"/>
      <c r="I86" s="83"/>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row>
    <row r="87" spans="1:65" s="68" customFormat="1" ht="30" customHeight="1" thickBot="1" x14ac:dyDescent="0.35">
      <c r="A87" s="63"/>
      <c r="B87" s="105"/>
      <c r="C87" s="104"/>
      <c r="D87" s="104"/>
      <c r="E87" s="103"/>
      <c r="F87" s="103"/>
      <c r="G87" s="78"/>
      <c r="H87" s="78"/>
      <c r="I87" s="83"/>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row>
    <row r="88" spans="1:65" s="68" customFormat="1" ht="30" customHeight="1" thickBot="1" x14ac:dyDescent="0.35">
      <c r="A88" s="63" t="s">
        <v>201</v>
      </c>
      <c r="B88" s="102" t="s">
        <v>231</v>
      </c>
      <c r="C88" s="101"/>
      <c r="D88" s="100"/>
      <c r="E88" s="99"/>
      <c r="F88" s="98"/>
      <c r="G88" s="78"/>
      <c r="H88" s="78" t="str">
        <f t="shared" ref="H88:H114" si="8">IF(OR(ISBLANK(task_start),ISBLANK(task_end)),"",task_end-task_start+1)</f>
        <v/>
      </c>
      <c r="I88" s="83"/>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row>
    <row r="89" spans="1:65" s="68" customFormat="1" ht="30" customHeight="1" thickBot="1" x14ac:dyDescent="0.35">
      <c r="A89" s="63"/>
      <c r="B89" s="97" t="s">
        <v>230</v>
      </c>
      <c r="C89" s="96" t="s">
        <v>136</v>
      </c>
      <c r="D89" s="95">
        <v>0.9</v>
      </c>
      <c r="E89" s="94">
        <v>43746</v>
      </c>
      <c r="F89" s="94">
        <f>E89+5</f>
        <v>43751</v>
      </c>
      <c r="G89" s="78"/>
      <c r="H89" s="78">
        <f t="shared" si="8"/>
        <v>6</v>
      </c>
      <c r="I89" s="83"/>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row>
    <row r="90" spans="1:65" s="68" customFormat="1" ht="30" customHeight="1" thickBot="1" x14ac:dyDescent="0.35">
      <c r="A90" s="63"/>
      <c r="B90" s="97" t="s">
        <v>229</v>
      </c>
      <c r="C90" s="96" t="s">
        <v>196</v>
      </c>
      <c r="D90" s="95">
        <v>0.9</v>
      </c>
      <c r="E90" s="94">
        <f>F89+1</f>
        <v>43752</v>
      </c>
      <c r="F90" s="94">
        <f>E90+2</f>
        <v>43754</v>
      </c>
      <c r="G90" s="78"/>
      <c r="H90" s="78">
        <f t="shared" si="8"/>
        <v>3</v>
      </c>
      <c r="I90" s="83"/>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row>
    <row r="91" spans="1:65" s="68" customFormat="1" ht="30" customHeight="1" thickBot="1" x14ac:dyDescent="0.35">
      <c r="A91" s="63"/>
      <c r="B91" s="97" t="s">
        <v>228</v>
      </c>
      <c r="C91" s="96" t="s">
        <v>136</v>
      </c>
      <c r="D91" s="95">
        <v>0.9</v>
      </c>
      <c r="E91" s="94">
        <f>E90+5</f>
        <v>43757</v>
      </c>
      <c r="F91" s="94">
        <f>E91+2</f>
        <v>43759</v>
      </c>
      <c r="G91" s="78"/>
      <c r="H91" s="78">
        <f t="shared" si="8"/>
        <v>3</v>
      </c>
      <c r="I91" s="83"/>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row>
    <row r="92" spans="1:65" s="68" customFormat="1" ht="30" customHeight="1" thickBot="1" x14ac:dyDescent="0.35">
      <c r="A92" s="63"/>
      <c r="B92" s="97" t="s">
        <v>227</v>
      </c>
      <c r="C92" s="96" t="s">
        <v>136</v>
      </c>
      <c r="D92" s="95">
        <v>0.9</v>
      </c>
      <c r="E92" s="94">
        <f>F91+1</f>
        <v>43760</v>
      </c>
      <c r="F92" s="94">
        <f>E92+4</f>
        <v>43764</v>
      </c>
      <c r="G92" s="78"/>
      <c r="H92" s="78">
        <f t="shared" si="8"/>
        <v>5</v>
      </c>
      <c r="I92" s="83"/>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row>
    <row r="93" spans="1:65" s="68" customFormat="1" ht="30" customHeight="1" thickBot="1" x14ac:dyDescent="0.35">
      <c r="A93" s="63"/>
      <c r="B93" s="97" t="s">
        <v>226</v>
      </c>
      <c r="C93" s="96" t="s">
        <v>136</v>
      </c>
      <c r="D93" s="95">
        <v>1</v>
      </c>
      <c r="E93" s="94">
        <f>F92+1</f>
        <v>43765</v>
      </c>
      <c r="F93" s="94">
        <f>E93+4</f>
        <v>43769</v>
      </c>
      <c r="G93" s="78"/>
      <c r="H93" s="78">
        <f t="shared" si="8"/>
        <v>5</v>
      </c>
      <c r="I93" s="83"/>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row>
    <row r="94" spans="1:65" s="68" customFormat="1" ht="30" customHeight="1" thickBot="1" x14ac:dyDescent="0.35">
      <c r="A94" s="63"/>
      <c r="B94" s="97" t="s">
        <v>225</v>
      </c>
      <c r="C94" s="96" t="s">
        <v>196</v>
      </c>
      <c r="D94" s="95">
        <v>1</v>
      </c>
      <c r="E94" s="94">
        <v>43770</v>
      </c>
      <c r="F94" s="94">
        <f>E94+2</f>
        <v>43772</v>
      </c>
      <c r="G94" s="78"/>
      <c r="H94" s="78">
        <f t="shared" si="8"/>
        <v>3</v>
      </c>
      <c r="I94" s="83"/>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row>
    <row r="95" spans="1:65" s="68" customFormat="1" ht="30" customHeight="1" thickBot="1" x14ac:dyDescent="0.35">
      <c r="A95" s="63"/>
      <c r="B95" s="97" t="s">
        <v>224</v>
      </c>
      <c r="C95" s="96" t="s">
        <v>136</v>
      </c>
      <c r="D95" s="95">
        <v>1</v>
      </c>
      <c r="E95" s="94">
        <v>43770</v>
      </c>
      <c r="F95" s="94">
        <f>E95+2</f>
        <v>43772</v>
      </c>
      <c r="G95" s="78"/>
      <c r="H95" s="78">
        <f t="shared" si="8"/>
        <v>3</v>
      </c>
      <c r="I95" s="83"/>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row>
    <row r="96" spans="1:65" s="68" customFormat="1" ht="30" customHeight="1" thickBot="1" x14ac:dyDescent="0.35">
      <c r="A96" s="63"/>
      <c r="B96" s="97" t="s">
        <v>223</v>
      </c>
      <c r="C96" s="96" t="s">
        <v>136</v>
      </c>
      <c r="D96" s="95">
        <v>0.5</v>
      </c>
      <c r="E96" s="94">
        <v>43770</v>
      </c>
      <c r="F96" s="94">
        <f>E96+2</f>
        <v>43772</v>
      </c>
      <c r="G96" s="78"/>
      <c r="H96" s="78">
        <f t="shared" si="8"/>
        <v>3</v>
      </c>
      <c r="I96" s="83" t="s">
        <v>222</v>
      </c>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row>
    <row r="97" spans="1:65" s="68" customFormat="1" ht="30" customHeight="1" thickBot="1" x14ac:dyDescent="0.35">
      <c r="A97" s="63"/>
      <c r="B97" s="97" t="s">
        <v>221</v>
      </c>
      <c r="C97" s="96" t="s">
        <v>196</v>
      </c>
      <c r="D97" s="95">
        <v>0.5</v>
      </c>
      <c r="E97" s="94">
        <v>43770</v>
      </c>
      <c r="F97" s="94">
        <f>E97+2</f>
        <v>43772</v>
      </c>
      <c r="G97" s="78"/>
      <c r="H97" s="78">
        <f t="shared" si="8"/>
        <v>3</v>
      </c>
      <c r="I97" s="83" t="s">
        <v>220</v>
      </c>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row>
    <row r="98" spans="1:65" s="68" customFormat="1" ht="30" customHeight="1" thickBot="1" x14ac:dyDescent="0.35">
      <c r="A98" s="63"/>
      <c r="B98" s="97" t="s">
        <v>219</v>
      </c>
      <c r="C98" s="96" t="s">
        <v>136</v>
      </c>
      <c r="D98" s="95">
        <v>0.9</v>
      </c>
      <c r="E98" s="94">
        <v>43773</v>
      </c>
      <c r="F98" s="94">
        <f>E98+1</f>
        <v>43774</v>
      </c>
      <c r="G98" s="78"/>
      <c r="H98" s="78">
        <f t="shared" si="8"/>
        <v>2</v>
      </c>
      <c r="I98" s="83"/>
      <c r="J98" s="77"/>
      <c r="K98" s="77"/>
      <c r="L98" s="77"/>
      <c r="M98" s="77"/>
      <c r="N98" s="77"/>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row>
    <row r="99" spans="1:65" s="68" customFormat="1" ht="30" customHeight="1" thickBot="1" x14ac:dyDescent="0.35">
      <c r="A99" s="63"/>
      <c r="B99" s="97" t="s">
        <v>218</v>
      </c>
      <c r="C99" s="96" t="s">
        <v>136</v>
      </c>
      <c r="D99" s="95">
        <v>0.9</v>
      </c>
      <c r="E99" s="94">
        <v>43775</v>
      </c>
      <c r="F99" s="94">
        <f>E99+2</f>
        <v>43777</v>
      </c>
      <c r="G99" s="78"/>
      <c r="H99" s="78">
        <f t="shared" si="8"/>
        <v>3</v>
      </c>
      <c r="I99" s="83"/>
      <c r="J99" s="77"/>
      <c r="K99" s="77"/>
      <c r="L99" s="77"/>
      <c r="M99" s="77"/>
      <c r="N99" s="77"/>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row>
    <row r="100" spans="1:65" s="68" customFormat="1" ht="30" customHeight="1" thickBot="1" x14ac:dyDescent="0.35">
      <c r="A100" s="63"/>
      <c r="B100" s="97" t="s">
        <v>217</v>
      </c>
      <c r="C100" s="96" t="s">
        <v>136</v>
      </c>
      <c r="D100" s="95">
        <v>0.9</v>
      </c>
      <c r="E100" s="94">
        <v>43773</v>
      </c>
      <c r="F100" s="94">
        <f>E100+7</f>
        <v>43780</v>
      </c>
      <c r="G100" s="78"/>
      <c r="H100" s="78">
        <f t="shared" si="8"/>
        <v>8</v>
      </c>
      <c r="I100" s="83" t="s">
        <v>355</v>
      </c>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row>
    <row r="101" spans="1:65" s="68" customFormat="1" ht="30" customHeight="1" thickBot="1" x14ac:dyDescent="0.35">
      <c r="A101" s="63"/>
      <c r="B101" s="97" t="s">
        <v>216</v>
      </c>
      <c r="C101" s="96" t="s">
        <v>215</v>
      </c>
      <c r="D101" s="95">
        <v>0.8</v>
      </c>
      <c r="E101" s="94">
        <v>43885</v>
      </c>
      <c r="F101" s="94">
        <f>E101+14</f>
        <v>43899</v>
      </c>
      <c r="G101" s="78"/>
      <c r="H101" s="78">
        <f t="shared" si="8"/>
        <v>15</v>
      </c>
      <c r="I101" s="83" t="s">
        <v>354</v>
      </c>
      <c r="J101" s="77"/>
      <c r="K101" s="77"/>
      <c r="L101" s="77"/>
      <c r="M101" s="77"/>
      <c r="N101" s="77"/>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row>
    <row r="102" spans="1:65" s="68" customFormat="1" ht="30" customHeight="1" thickBot="1" x14ac:dyDescent="0.35">
      <c r="A102" s="63"/>
      <c r="B102" s="97" t="s">
        <v>214</v>
      </c>
      <c r="C102" s="96" t="s">
        <v>136</v>
      </c>
      <c r="D102" s="95">
        <v>0.8</v>
      </c>
      <c r="E102" s="94">
        <v>43781</v>
      </c>
      <c r="F102" s="94">
        <f>E102+7</f>
        <v>43788</v>
      </c>
      <c r="G102" s="78"/>
      <c r="H102" s="78">
        <f t="shared" si="8"/>
        <v>8</v>
      </c>
      <c r="I102" s="83" t="s">
        <v>356</v>
      </c>
      <c r="J102" s="77"/>
      <c r="K102" s="77"/>
      <c r="L102" s="77"/>
      <c r="M102" s="77"/>
      <c r="N102" s="77"/>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row>
    <row r="103" spans="1:65" s="68" customFormat="1" ht="30" customHeight="1" thickBot="1" x14ac:dyDescent="0.35">
      <c r="A103" s="63"/>
      <c r="B103" s="97" t="s">
        <v>213</v>
      </c>
      <c r="C103" s="96" t="s">
        <v>136</v>
      </c>
      <c r="D103" s="95">
        <v>0.7</v>
      </c>
      <c r="E103" s="94">
        <v>43789</v>
      </c>
      <c r="F103" s="94">
        <f>E103+3</f>
        <v>43792</v>
      </c>
      <c r="G103" s="78"/>
      <c r="H103" s="78">
        <f t="shared" si="8"/>
        <v>4</v>
      </c>
      <c r="I103" s="83" t="s">
        <v>356</v>
      </c>
      <c r="J103" s="77"/>
      <c r="K103" s="77"/>
      <c r="L103" s="77"/>
      <c r="M103" s="77"/>
      <c r="N103" s="77"/>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row>
    <row r="104" spans="1:65" s="68" customFormat="1" ht="30" customHeight="1" thickBot="1" x14ac:dyDescent="0.35">
      <c r="A104" s="63"/>
      <c r="B104" s="97" t="s">
        <v>212</v>
      </c>
      <c r="C104" s="96" t="s">
        <v>136</v>
      </c>
      <c r="D104" s="95">
        <v>0.8</v>
      </c>
      <c r="E104" s="94">
        <v>43793</v>
      </c>
      <c r="F104" s="94">
        <f>E104+2</f>
        <v>43795</v>
      </c>
      <c r="G104" s="78"/>
      <c r="H104" s="78">
        <f t="shared" si="8"/>
        <v>3</v>
      </c>
      <c r="I104" s="83"/>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row>
    <row r="105" spans="1:65" s="68" customFormat="1" ht="30" customHeight="1" thickBot="1" x14ac:dyDescent="0.35">
      <c r="A105" s="63"/>
      <c r="B105" s="97" t="s">
        <v>211</v>
      </c>
      <c r="C105" s="96" t="s">
        <v>136</v>
      </c>
      <c r="D105" s="95">
        <v>0.1</v>
      </c>
      <c r="E105" s="94">
        <v>43796</v>
      </c>
      <c r="F105" s="94">
        <f>E105+5</f>
        <v>43801</v>
      </c>
      <c r="G105" s="78"/>
      <c r="H105" s="78">
        <f t="shared" si="8"/>
        <v>6</v>
      </c>
      <c r="I105" s="83" t="s">
        <v>357</v>
      </c>
      <c r="J105" s="77"/>
      <c r="K105" s="77"/>
      <c r="L105" s="77"/>
      <c r="M105" s="77"/>
      <c r="N105" s="77"/>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row>
    <row r="106" spans="1:65" s="68" customFormat="1" ht="30" customHeight="1" thickBot="1" x14ac:dyDescent="0.35">
      <c r="A106" s="63"/>
      <c r="B106" s="97" t="s">
        <v>210</v>
      </c>
      <c r="C106" s="96" t="s">
        <v>136</v>
      </c>
      <c r="D106" s="95">
        <v>0</v>
      </c>
      <c r="E106" s="94"/>
      <c r="F106" s="94">
        <f t="shared" ref="F106:F114" si="9">E106+7</f>
        <v>7</v>
      </c>
      <c r="G106" s="78"/>
      <c r="H106" s="78" t="str">
        <f t="shared" si="8"/>
        <v/>
      </c>
      <c r="I106" s="83"/>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row>
    <row r="107" spans="1:65" s="68" customFormat="1" ht="30" customHeight="1" thickBot="1" x14ac:dyDescent="0.35">
      <c r="A107" s="63"/>
      <c r="B107" s="97" t="s">
        <v>209</v>
      </c>
      <c r="C107" s="96" t="s">
        <v>136</v>
      </c>
      <c r="D107" s="95">
        <v>0.7</v>
      </c>
      <c r="E107" s="94">
        <v>43802</v>
      </c>
      <c r="F107" s="94">
        <f>E107+5</f>
        <v>43807</v>
      </c>
      <c r="G107" s="78"/>
      <c r="H107" s="78">
        <f t="shared" si="8"/>
        <v>6</v>
      </c>
      <c r="I107" s="83"/>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row>
    <row r="108" spans="1:65" s="68" customFormat="1" ht="30" customHeight="1" thickBot="1" x14ac:dyDescent="0.35">
      <c r="A108" s="63"/>
      <c r="B108" s="97" t="s">
        <v>208</v>
      </c>
      <c r="C108" s="96" t="s">
        <v>136</v>
      </c>
      <c r="D108" s="95">
        <v>0.3</v>
      </c>
      <c r="E108" s="94">
        <v>43807</v>
      </c>
      <c r="F108" s="94">
        <f>E108+3</f>
        <v>43810</v>
      </c>
      <c r="G108" s="78"/>
      <c r="H108" s="78">
        <f t="shared" si="8"/>
        <v>4</v>
      </c>
      <c r="I108" s="83" t="s">
        <v>360</v>
      </c>
      <c r="J108" s="77"/>
      <c r="K108" s="77"/>
      <c r="L108" s="77"/>
      <c r="M108" s="77"/>
      <c r="N108" s="77"/>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row>
    <row r="109" spans="1:65" s="68" customFormat="1" ht="30" customHeight="1" thickBot="1" x14ac:dyDescent="0.35">
      <c r="A109" s="63"/>
      <c r="B109" s="97" t="s">
        <v>207</v>
      </c>
      <c r="C109" s="96" t="s">
        <v>136</v>
      </c>
      <c r="D109" s="95">
        <v>0</v>
      </c>
      <c r="E109" s="94"/>
      <c r="F109" s="94">
        <f t="shared" si="9"/>
        <v>7</v>
      </c>
      <c r="G109" s="78"/>
      <c r="H109" s="78" t="str">
        <f t="shared" si="8"/>
        <v/>
      </c>
      <c r="I109" s="83" t="s">
        <v>359</v>
      </c>
      <c r="J109" s="77"/>
      <c r="K109" s="77"/>
      <c r="L109" s="77"/>
      <c r="M109" s="77"/>
      <c r="N109" s="77"/>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row>
    <row r="110" spans="1:65" s="68" customFormat="1" ht="30" customHeight="1" thickBot="1" x14ac:dyDescent="0.35">
      <c r="A110" s="63"/>
      <c r="B110" s="97" t="s">
        <v>206</v>
      </c>
      <c r="C110" s="96" t="s">
        <v>196</v>
      </c>
      <c r="D110" s="95">
        <v>0</v>
      </c>
      <c r="E110" s="94"/>
      <c r="F110" s="94">
        <f t="shared" si="9"/>
        <v>7</v>
      </c>
      <c r="G110" s="78"/>
      <c r="H110" s="78" t="str">
        <f t="shared" si="8"/>
        <v/>
      </c>
      <c r="I110" s="83" t="s">
        <v>359</v>
      </c>
      <c r="J110" s="77"/>
      <c r="K110" s="77"/>
      <c r="L110" s="77"/>
      <c r="M110" s="77"/>
      <c r="N110" s="77"/>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row>
    <row r="111" spans="1:65" s="68" customFormat="1" ht="30" customHeight="1" thickBot="1" x14ac:dyDescent="0.35">
      <c r="A111" s="63"/>
      <c r="B111" s="97" t="s">
        <v>205</v>
      </c>
      <c r="C111" s="96" t="s">
        <v>136</v>
      </c>
      <c r="D111" s="95">
        <v>0.1</v>
      </c>
      <c r="E111" s="94"/>
      <c r="F111" s="94">
        <f t="shared" si="9"/>
        <v>7</v>
      </c>
      <c r="G111" s="78"/>
      <c r="H111" s="78" t="str">
        <f t="shared" si="8"/>
        <v/>
      </c>
      <c r="I111" s="83" t="s">
        <v>358</v>
      </c>
      <c r="J111" s="77"/>
      <c r="K111" s="77"/>
      <c r="L111" s="77"/>
      <c r="M111" s="77"/>
      <c r="N111" s="77"/>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row>
    <row r="112" spans="1:65" s="68" customFormat="1" ht="30" customHeight="1" thickBot="1" x14ac:dyDescent="0.35">
      <c r="A112" s="63"/>
      <c r="B112" s="97" t="s">
        <v>204</v>
      </c>
      <c r="C112" s="96" t="s">
        <v>196</v>
      </c>
      <c r="D112" s="95">
        <v>0.1</v>
      </c>
      <c r="E112" s="94"/>
      <c r="F112" s="94">
        <f t="shared" si="9"/>
        <v>7</v>
      </c>
      <c r="G112" s="78"/>
      <c r="H112" s="78" t="str">
        <f t="shared" si="8"/>
        <v/>
      </c>
      <c r="I112" s="83" t="s">
        <v>358</v>
      </c>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row>
    <row r="113" spans="1:65" s="68" customFormat="1" ht="30" customHeight="1" thickBot="1" x14ac:dyDescent="0.35">
      <c r="A113" s="63"/>
      <c r="B113" s="97" t="s">
        <v>203</v>
      </c>
      <c r="C113" s="96" t="s">
        <v>196</v>
      </c>
      <c r="D113" s="95">
        <v>0.1</v>
      </c>
      <c r="E113" s="94"/>
      <c r="F113" s="94">
        <f t="shared" si="9"/>
        <v>7</v>
      </c>
      <c r="G113" s="78"/>
      <c r="H113" s="78" t="str">
        <f t="shared" si="8"/>
        <v/>
      </c>
      <c r="I113" s="83" t="s">
        <v>358</v>
      </c>
      <c r="J113" s="77"/>
      <c r="K113" s="77"/>
      <c r="L113" s="77"/>
      <c r="M113" s="77"/>
      <c r="N113" s="77"/>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row>
    <row r="114" spans="1:65" s="68" customFormat="1" ht="30" customHeight="1" thickBot="1" x14ac:dyDescent="0.35">
      <c r="A114" s="63"/>
      <c r="B114" s="97" t="s">
        <v>202</v>
      </c>
      <c r="C114" s="96" t="s">
        <v>136</v>
      </c>
      <c r="D114" s="95">
        <v>0.1</v>
      </c>
      <c r="E114" s="94"/>
      <c r="F114" s="94">
        <f t="shared" si="9"/>
        <v>7</v>
      </c>
      <c r="G114" s="78"/>
      <c r="H114" s="78" t="str">
        <f t="shared" si="8"/>
        <v/>
      </c>
      <c r="I114" s="83" t="s">
        <v>358</v>
      </c>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row>
    <row r="115" spans="1:65" s="68" customFormat="1" ht="30" customHeight="1" thickBot="1" x14ac:dyDescent="0.35">
      <c r="A115" s="63"/>
      <c r="B115" s="97"/>
      <c r="C115" s="96"/>
      <c r="D115" s="95"/>
      <c r="E115" s="94"/>
      <c r="F115" s="94"/>
      <c r="G115" s="78"/>
      <c r="H115" s="78"/>
      <c r="I115" s="83"/>
      <c r="J115" s="77"/>
      <c r="K115" s="77"/>
      <c r="L115" s="77"/>
      <c r="M115" s="77"/>
      <c r="N115" s="77"/>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row>
    <row r="116" spans="1:65" s="68" customFormat="1" ht="30" customHeight="1" thickBot="1" x14ac:dyDescent="0.35">
      <c r="A116" s="63" t="s">
        <v>201</v>
      </c>
      <c r="B116" s="93" t="s">
        <v>200</v>
      </c>
      <c r="C116" s="92"/>
      <c r="D116" s="91"/>
      <c r="E116" s="90"/>
      <c r="F116" s="89"/>
      <c r="G116" s="78"/>
      <c r="H116" s="78" t="str">
        <f t="shared" ref="H116:H147" si="10">IF(OR(ISBLANK(task_start),ISBLANK(task_end)),"",task_end-task_start+1)</f>
        <v/>
      </c>
      <c r="I116" s="83"/>
      <c r="J116" s="77"/>
      <c r="K116" s="77"/>
      <c r="L116" s="77"/>
      <c r="M116" s="77"/>
      <c r="N116" s="77"/>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row>
    <row r="117" spans="1:65" s="68" customFormat="1" ht="30" customHeight="1" thickBot="1" x14ac:dyDescent="0.35">
      <c r="A117" s="63"/>
      <c r="B117" s="87" t="s">
        <v>199</v>
      </c>
      <c r="C117" s="86" t="s">
        <v>136</v>
      </c>
      <c r="D117" s="85">
        <v>0.7</v>
      </c>
      <c r="E117" s="88">
        <v>43811</v>
      </c>
      <c r="F117" s="139">
        <f>E117+5</f>
        <v>43816</v>
      </c>
      <c r="G117" s="78"/>
      <c r="H117" s="78">
        <f t="shared" si="10"/>
        <v>6</v>
      </c>
      <c r="I117" s="83" t="s">
        <v>361</v>
      </c>
      <c r="J117" s="77"/>
      <c r="K117" s="77"/>
      <c r="L117" s="77"/>
      <c r="M117" s="77"/>
      <c r="N117" s="77"/>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row>
    <row r="118" spans="1:65" s="68" customFormat="1" ht="30" customHeight="1" thickBot="1" x14ac:dyDescent="0.35">
      <c r="A118" s="63"/>
      <c r="B118" s="87" t="s">
        <v>198</v>
      </c>
      <c r="C118" s="86" t="s">
        <v>136</v>
      </c>
      <c r="D118" s="85">
        <v>0.5</v>
      </c>
      <c r="E118" s="84">
        <v>43817</v>
      </c>
      <c r="F118" s="139">
        <f>E118+14</f>
        <v>43831</v>
      </c>
      <c r="G118" s="78"/>
      <c r="H118" s="78">
        <f t="shared" si="10"/>
        <v>15</v>
      </c>
      <c r="I118" s="83" t="s">
        <v>362</v>
      </c>
      <c r="J118" s="77"/>
      <c r="K118" s="77"/>
      <c r="L118" s="77"/>
      <c r="M118" s="77"/>
      <c r="N118" s="77"/>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row>
    <row r="119" spans="1:65" s="68" customFormat="1" ht="30" customHeight="1" thickBot="1" x14ac:dyDescent="0.35">
      <c r="A119" s="63"/>
      <c r="B119" s="87" t="s">
        <v>197</v>
      </c>
      <c r="C119" s="86" t="s">
        <v>196</v>
      </c>
      <c r="D119" s="85">
        <v>0.5</v>
      </c>
      <c r="E119" s="84">
        <v>43833</v>
      </c>
      <c r="F119" s="139">
        <f>E119+14</f>
        <v>43847</v>
      </c>
      <c r="G119" s="78"/>
      <c r="H119" s="78">
        <f t="shared" si="10"/>
        <v>15</v>
      </c>
      <c r="I119" s="83" t="s">
        <v>363</v>
      </c>
      <c r="J119" s="77"/>
      <c r="K119" s="77"/>
      <c r="L119" s="77"/>
      <c r="M119" s="77"/>
      <c r="N119" s="77"/>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row>
    <row r="120" spans="1:65" s="68" customFormat="1" ht="30" customHeight="1" thickBot="1" x14ac:dyDescent="0.35">
      <c r="A120" s="63"/>
      <c r="B120" s="87" t="s">
        <v>195</v>
      </c>
      <c r="C120" s="86" t="s">
        <v>136</v>
      </c>
      <c r="D120" s="85">
        <v>0.7</v>
      </c>
      <c r="E120" s="84">
        <v>43833</v>
      </c>
      <c r="F120" s="139">
        <f>E120+3</f>
        <v>43836</v>
      </c>
      <c r="G120" s="78"/>
      <c r="H120" s="78">
        <f t="shared" si="10"/>
        <v>4</v>
      </c>
      <c r="I120" s="83"/>
      <c r="J120" s="77"/>
      <c r="K120" s="77"/>
      <c r="L120" s="77"/>
      <c r="M120" s="77"/>
      <c r="N120" s="77"/>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row>
    <row r="121" spans="1:65" s="68" customFormat="1" ht="30" customHeight="1" thickBot="1" x14ac:dyDescent="0.35">
      <c r="A121" s="63"/>
      <c r="B121" s="87" t="s">
        <v>194</v>
      </c>
      <c r="C121" s="86" t="s">
        <v>136</v>
      </c>
      <c r="D121" s="85">
        <v>0.7</v>
      </c>
      <c r="E121" s="84">
        <v>43837</v>
      </c>
      <c r="F121" s="139">
        <f t="shared" ref="F121:F128" si="11">E121+5</f>
        <v>43842</v>
      </c>
      <c r="G121" s="78"/>
      <c r="H121" s="78">
        <f t="shared" si="10"/>
        <v>6</v>
      </c>
      <c r="I121" s="83" t="s">
        <v>364</v>
      </c>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row>
    <row r="122" spans="1:65" s="68" customFormat="1" ht="30" customHeight="1" thickBot="1" x14ac:dyDescent="0.35">
      <c r="A122" s="63"/>
      <c r="B122" s="87" t="s">
        <v>193</v>
      </c>
      <c r="C122" s="86" t="s">
        <v>136</v>
      </c>
      <c r="D122" s="85">
        <v>0.8</v>
      </c>
      <c r="E122" s="84">
        <v>43844</v>
      </c>
      <c r="F122" s="139">
        <f t="shared" si="11"/>
        <v>43849</v>
      </c>
      <c r="G122" s="78"/>
      <c r="H122" s="78">
        <f t="shared" si="10"/>
        <v>6</v>
      </c>
      <c r="I122" s="83"/>
      <c r="J122" s="77"/>
      <c r="K122" s="77"/>
      <c r="L122" s="77"/>
      <c r="M122" s="77"/>
      <c r="N122" s="77"/>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row>
    <row r="123" spans="1:65" s="68" customFormat="1" ht="30" customHeight="1" thickBot="1" x14ac:dyDescent="0.35">
      <c r="A123" s="63"/>
      <c r="B123" s="87" t="s">
        <v>192</v>
      </c>
      <c r="C123" s="86" t="s">
        <v>136</v>
      </c>
      <c r="D123" s="85">
        <v>0.7</v>
      </c>
      <c r="E123" s="84">
        <v>43845</v>
      </c>
      <c r="F123" s="139">
        <f t="shared" si="11"/>
        <v>43850</v>
      </c>
      <c r="G123" s="78"/>
      <c r="H123" s="78">
        <f t="shared" si="10"/>
        <v>6</v>
      </c>
      <c r="I123" s="83"/>
      <c r="J123" s="77"/>
      <c r="K123" s="77"/>
      <c r="L123" s="77"/>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row>
    <row r="124" spans="1:65" s="68" customFormat="1" ht="30" customHeight="1" thickBot="1" x14ac:dyDescent="0.35">
      <c r="A124" s="63"/>
      <c r="B124" s="87" t="s">
        <v>191</v>
      </c>
      <c r="C124" s="86" t="s">
        <v>136</v>
      </c>
      <c r="D124" s="85">
        <v>0.8</v>
      </c>
      <c r="E124" s="84">
        <v>43850</v>
      </c>
      <c r="F124" s="139">
        <f>E124+3</f>
        <v>43853</v>
      </c>
      <c r="G124" s="78"/>
      <c r="H124" s="78">
        <f t="shared" si="10"/>
        <v>4</v>
      </c>
      <c r="I124" s="83"/>
      <c r="J124" s="77"/>
      <c r="K124" s="77"/>
      <c r="L124" s="77"/>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row>
    <row r="125" spans="1:65" s="68" customFormat="1" ht="30" customHeight="1" thickBot="1" x14ac:dyDescent="0.35">
      <c r="A125" s="63"/>
      <c r="B125" s="87" t="s">
        <v>190</v>
      </c>
      <c r="C125" s="86" t="s">
        <v>136</v>
      </c>
      <c r="D125" s="85">
        <v>0.7</v>
      </c>
      <c r="E125" s="84">
        <v>43854</v>
      </c>
      <c r="F125" s="139">
        <f>E125+5</f>
        <v>43859</v>
      </c>
      <c r="G125" s="78"/>
      <c r="H125" s="78">
        <f t="shared" si="10"/>
        <v>6</v>
      </c>
      <c r="I125" s="83" t="s">
        <v>365</v>
      </c>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row>
    <row r="126" spans="1:65" s="68" customFormat="1" ht="30" customHeight="1" thickBot="1" x14ac:dyDescent="0.35">
      <c r="A126" s="63"/>
      <c r="B126" s="87" t="s">
        <v>189</v>
      </c>
      <c r="C126" s="86" t="s">
        <v>136</v>
      </c>
      <c r="D126" s="85">
        <v>0.9</v>
      </c>
      <c r="E126" s="84">
        <v>43860</v>
      </c>
      <c r="F126" s="139">
        <f>E126+3</f>
        <v>43863</v>
      </c>
      <c r="G126" s="78"/>
      <c r="H126" s="78">
        <f t="shared" si="10"/>
        <v>4</v>
      </c>
      <c r="I126" s="83"/>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row>
    <row r="127" spans="1:65" s="68" customFormat="1" ht="30" customHeight="1" thickBot="1" x14ac:dyDescent="0.35">
      <c r="A127" s="63"/>
      <c r="B127" s="87" t="s">
        <v>188</v>
      </c>
      <c r="C127" s="86" t="s">
        <v>136</v>
      </c>
      <c r="D127" s="85">
        <v>0.5</v>
      </c>
      <c r="E127" s="84">
        <v>43862</v>
      </c>
      <c r="F127" s="139">
        <f>E127+2</f>
        <v>43864</v>
      </c>
      <c r="G127" s="78"/>
      <c r="H127" s="78">
        <f t="shared" si="10"/>
        <v>3</v>
      </c>
      <c r="I127" s="83" t="s">
        <v>366</v>
      </c>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row>
    <row r="128" spans="1:65" s="68" customFormat="1" ht="30" customHeight="1" thickBot="1" x14ac:dyDescent="0.35">
      <c r="A128" s="63"/>
      <c r="B128" s="87" t="s">
        <v>187</v>
      </c>
      <c r="C128" s="86" t="s">
        <v>136</v>
      </c>
      <c r="D128" s="85">
        <v>0.5</v>
      </c>
      <c r="E128" s="84">
        <v>43864</v>
      </c>
      <c r="F128" s="139">
        <f t="shared" si="11"/>
        <v>43869</v>
      </c>
      <c r="G128" s="78"/>
      <c r="H128" s="78">
        <f t="shared" si="10"/>
        <v>6</v>
      </c>
      <c r="I128" s="83"/>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row>
    <row r="129" spans="1:65" s="68" customFormat="1" ht="30" customHeight="1" thickBot="1" x14ac:dyDescent="0.35">
      <c r="A129" s="63"/>
      <c r="B129" s="87" t="s">
        <v>186</v>
      </c>
      <c r="C129" s="86" t="s">
        <v>136</v>
      </c>
      <c r="D129" s="85">
        <v>0</v>
      </c>
      <c r="E129" s="84"/>
      <c r="F129" s="139"/>
      <c r="G129" s="78"/>
      <c r="H129" s="78" t="str">
        <f t="shared" si="10"/>
        <v/>
      </c>
      <c r="I129" s="83"/>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row>
    <row r="130" spans="1:65" s="68" customFormat="1" ht="30" customHeight="1" thickBot="1" x14ac:dyDescent="0.35">
      <c r="A130" s="63"/>
      <c r="B130" s="87" t="s">
        <v>185</v>
      </c>
      <c r="C130" s="86" t="s">
        <v>136</v>
      </c>
      <c r="D130" s="85">
        <v>0</v>
      </c>
      <c r="E130" s="84"/>
      <c r="F130" s="139"/>
      <c r="G130" s="78"/>
      <c r="H130" s="78" t="str">
        <f t="shared" si="10"/>
        <v/>
      </c>
      <c r="I130" s="83"/>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row>
    <row r="131" spans="1:65" s="68" customFormat="1" ht="30" customHeight="1" thickBot="1" x14ac:dyDescent="0.35">
      <c r="A131" s="63"/>
      <c r="B131" s="87" t="s">
        <v>184</v>
      </c>
      <c r="C131" s="86" t="s">
        <v>136</v>
      </c>
      <c r="D131" s="85">
        <v>0</v>
      </c>
      <c r="E131" s="84"/>
      <c r="F131" s="139"/>
      <c r="G131" s="78"/>
      <c r="H131" s="78" t="str">
        <f t="shared" si="10"/>
        <v/>
      </c>
      <c r="I131" s="83"/>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row>
    <row r="132" spans="1:65" s="68" customFormat="1" ht="30" customHeight="1" thickBot="1" x14ac:dyDescent="0.35">
      <c r="A132" s="63"/>
      <c r="B132" s="87" t="s">
        <v>183</v>
      </c>
      <c r="C132" s="86" t="s">
        <v>136</v>
      </c>
      <c r="D132" s="85">
        <v>0</v>
      </c>
      <c r="E132" s="84"/>
      <c r="F132" s="139"/>
      <c r="G132" s="78"/>
      <c r="H132" s="78" t="str">
        <f t="shared" si="10"/>
        <v/>
      </c>
      <c r="I132" s="83"/>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row>
    <row r="133" spans="1:65" s="68" customFormat="1" ht="30" customHeight="1" thickBot="1" x14ac:dyDescent="0.35">
      <c r="A133" s="63"/>
      <c r="B133" s="87" t="s">
        <v>182</v>
      </c>
      <c r="C133" s="86" t="s">
        <v>136</v>
      </c>
      <c r="D133" s="85">
        <v>0</v>
      </c>
      <c r="E133" s="84"/>
      <c r="F133" s="139"/>
      <c r="G133" s="78"/>
      <c r="H133" s="78" t="str">
        <f t="shared" si="10"/>
        <v/>
      </c>
      <c r="I133" s="83"/>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row>
    <row r="134" spans="1:65" s="68" customFormat="1" ht="30" customHeight="1" thickBot="1" x14ac:dyDescent="0.35">
      <c r="A134" s="63"/>
      <c r="B134" s="87" t="s">
        <v>181</v>
      </c>
      <c r="C134" s="86" t="s">
        <v>136</v>
      </c>
      <c r="D134" s="85">
        <v>0</v>
      </c>
      <c r="E134" s="84"/>
      <c r="F134" s="84"/>
      <c r="G134" s="78"/>
      <c r="H134" s="78" t="str">
        <f t="shared" si="10"/>
        <v/>
      </c>
      <c r="I134" s="83"/>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row>
    <row r="135" spans="1:65" s="68" customFormat="1" ht="30" customHeight="1" thickBot="1" x14ac:dyDescent="0.35">
      <c r="A135" s="63"/>
      <c r="B135" s="87" t="s">
        <v>180</v>
      </c>
      <c r="C135" s="86" t="s">
        <v>136</v>
      </c>
      <c r="D135" s="85">
        <v>0</v>
      </c>
      <c r="E135" s="84"/>
      <c r="F135" s="84"/>
      <c r="G135" s="78"/>
      <c r="H135" s="78" t="str">
        <f t="shared" si="10"/>
        <v/>
      </c>
      <c r="I135" s="83"/>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row>
    <row r="136" spans="1:65" s="68" customFormat="1" ht="30" customHeight="1" thickBot="1" x14ac:dyDescent="0.35">
      <c r="A136" s="63"/>
      <c r="B136" s="87" t="s">
        <v>179</v>
      </c>
      <c r="C136" s="86" t="s">
        <v>136</v>
      </c>
      <c r="D136" s="85">
        <v>0</v>
      </c>
      <c r="E136" s="84"/>
      <c r="F136" s="84"/>
      <c r="G136" s="78"/>
      <c r="H136" s="78" t="str">
        <f t="shared" si="10"/>
        <v/>
      </c>
      <c r="I136" s="83"/>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row>
    <row r="137" spans="1:65" s="68" customFormat="1" ht="30" customHeight="1" thickBot="1" x14ac:dyDescent="0.35">
      <c r="A137" s="63"/>
      <c r="B137" s="87" t="s">
        <v>178</v>
      </c>
      <c r="C137" s="86" t="s">
        <v>136</v>
      </c>
      <c r="D137" s="85">
        <v>0</v>
      </c>
      <c r="E137" s="84"/>
      <c r="F137" s="84"/>
      <c r="G137" s="78"/>
      <c r="H137" s="78" t="str">
        <f t="shared" si="10"/>
        <v/>
      </c>
      <c r="I137" s="83"/>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row>
    <row r="138" spans="1:65" s="68" customFormat="1" ht="30" customHeight="1" thickBot="1" x14ac:dyDescent="0.35">
      <c r="A138" s="63"/>
      <c r="B138" s="87" t="s">
        <v>177</v>
      </c>
      <c r="C138" s="86" t="s">
        <v>136</v>
      </c>
      <c r="D138" s="85">
        <v>0</v>
      </c>
      <c r="E138" s="84"/>
      <c r="F138" s="84"/>
      <c r="G138" s="78"/>
      <c r="H138" s="78" t="str">
        <f t="shared" si="10"/>
        <v/>
      </c>
      <c r="I138" s="83"/>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row>
    <row r="139" spans="1:65" s="68" customFormat="1" ht="30" customHeight="1" thickBot="1" x14ac:dyDescent="0.35">
      <c r="A139" s="63"/>
      <c r="B139" s="87" t="s">
        <v>176</v>
      </c>
      <c r="C139" s="86" t="s">
        <v>136</v>
      </c>
      <c r="D139" s="85">
        <v>0</v>
      </c>
      <c r="E139" s="84"/>
      <c r="F139" s="84"/>
      <c r="G139" s="78"/>
      <c r="H139" s="78" t="str">
        <f t="shared" si="10"/>
        <v/>
      </c>
      <c r="I139" s="83"/>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row>
    <row r="140" spans="1:65" s="68" customFormat="1" ht="30" customHeight="1" thickBot="1" x14ac:dyDescent="0.35">
      <c r="A140" s="63"/>
      <c r="B140" s="87" t="s">
        <v>175</v>
      </c>
      <c r="C140" s="86" t="s">
        <v>136</v>
      </c>
      <c r="D140" s="85">
        <v>0</v>
      </c>
      <c r="E140" s="84"/>
      <c r="F140" s="84"/>
      <c r="G140" s="78"/>
      <c r="H140" s="78" t="str">
        <f t="shared" si="10"/>
        <v/>
      </c>
      <c r="I140" s="83"/>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row>
    <row r="141" spans="1:65" s="68" customFormat="1" ht="30" customHeight="1" thickBot="1" x14ac:dyDescent="0.35">
      <c r="A141" s="63"/>
      <c r="B141" s="87" t="s">
        <v>174</v>
      </c>
      <c r="C141" s="86" t="s">
        <v>136</v>
      </c>
      <c r="D141" s="85">
        <v>0</v>
      </c>
      <c r="E141" s="84"/>
      <c r="F141" s="84"/>
      <c r="G141" s="78"/>
      <c r="H141" s="78" t="str">
        <f t="shared" si="10"/>
        <v/>
      </c>
      <c r="I141" s="83"/>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row>
    <row r="142" spans="1:65" s="68" customFormat="1" ht="30" customHeight="1" thickBot="1" x14ac:dyDescent="0.35">
      <c r="A142" s="63"/>
      <c r="B142" s="87" t="s">
        <v>173</v>
      </c>
      <c r="C142" s="86" t="s">
        <v>136</v>
      </c>
      <c r="D142" s="85">
        <v>0</v>
      </c>
      <c r="E142" s="84"/>
      <c r="F142" s="84"/>
      <c r="G142" s="78"/>
      <c r="H142" s="78" t="str">
        <f t="shared" si="10"/>
        <v/>
      </c>
      <c r="I142" s="83"/>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row>
    <row r="143" spans="1:65" s="68" customFormat="1" ht="30" customHeight="1" thickBot="1" x14ac:dyDescent="0.35">
      <c r="A143" s="63"/>
      <c r="B143" s="87" t="s">
        <v>172</v>
      </c>
      <c r="C143" s="86" t="s">
        <v>136</v>
      </c>
      <c r="D143" s="85">
        <v>0</v>
      </c>
      <c r="E143" s="84"/>
      <c r="F143" s="84"/>
      <c r="G143" s="78"/>
      <c r="H143" s="78" t="str">
        <f t="shared" si="10"/>
        <v/>
      </c>
      <c r="I143" s="83"/>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row>
    <row r="144" spans="1:65" s="68" customFormat="1" ht="30" customHeight="1" thickBot="1" x14ac:dyDescent="0.35">
      <c r="A144" s="63"/>
      <c r="B144" s="87" t="s">
        <v>171</v>
      </c>
      <c r="C144" s="86" t="s">
        <v>136</v>
      </c>
      <c r="D144" s="85">
        <v>0</v>
      </c>
      <c r="E144" s="84"/>
      <c r="F144" s="84"/>
      <c r="G144" s="78"/>
      <c r="H144" s="78" t="str">
        <f t="shared" si="10"/>
        <v/>
      </c>
      <c r="I144" s="83"/>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row>
    <row r="145" spans="1:65" s="68" customFormat="1" ht="30" customHeight="1" thickBot="1" x14ac:dyDescent="0.35">
      <c r="A145" s="63"/>
      <c r="B145" s="87" t="s">
        <v>170</v>
      </c>
      <c r="C145" s="86" t="s">
        <v>136</v>
      </c>
      <c r="D145" s="85">
        <v>0</v>
      </c>
      <c r="E145" s="84"/>
      <c r="F145" s="84"/>
      <c r="G145" s="78"/>
      <c r="H145" s="78" t="str">
        <f t="shared" si="10"/>
        <v/>
      </c>
      <c r="I145" s="83"/>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row>
    <row r="146" spans="1:65" s="68" customFormat="1" ht="30" customHeight="1" thickBot="1" x14ac:dyDescent="0.35">
      <c r="A146" s="63"/>
      <c r="B146" s="87" t="s">
        <v>169</v>
      </c>
      <c r="C146" s="86" t="s">
        <v>136</v>
      </c>
      <c r="D146" s="85">
        <v>0</v>
      </c>
      <c r="E146" s="84"/>
      <c r="F146" s="84"/>
      <c r="G146" s="78"/>
      <c r="H146" s="78" t="str">
        <f t="shared" si="10"/>
        <v/>
      </c>
      <c r="I146" s="83"/>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row>
    <row r="147" spans="1:65" s="68" customFormat="1" ht="30" customHeight="1" thickBot="1" x14ac:dyDescent="0.35">
      <c r="A147" s="63"/>
      <c r="B147" s="87" t="s">
        <v>168</v>
      </c>
      <c r="C147" s="86" t="s">
        <v>136</v>
      </c>
      <c r="D147" s="85">
        <v>0</v>
      </c>
      <c r="E147" s="84"/>
      <c r="F147" s="84"/>
      <c r="G147" s="78"/>
      <c r="H147" s="78" t="str">
        <f t="shared" si="10"/>
        <v/>
      </c>
      <c r="I147" s="83"/>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row>
    <row r="148" spans="1:65" s="68" customFormat="1" ht="30" customHeight="1" thickBot="1" x14ac:dyDescent="0.35">
      <c r="A148" s="63"/>
      <c r="B148" s="87" t="s">
        <v>167</v>
      </c>
      <c r="C148" s="86" t="s">
        <v>136</v>
      </c>
      <c r="D148" s="85">
        <v>0</v>
      </c>
      <c r="E148" s="84"/>
      <c r="F148" s="84"/>
      <c r="G148" s="78"/>
      <c r="H148" s="78" t="str">
        <f t="shared" ref="H148:H182" si="12">IF(OR(ISBLANK(task_start),ISBLANK(task_end)),"",task_end-task_start+1)</f>
        <v/>
      </c>
      <c r="I148" s="83"/>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row>
    <row r="149" spans="1:65" s="68" customFormat="1" ht="30" customHeight="1" thickBot="1" x14ac:dyDescent="0.35">
      <c r="A149" s="63"/>
      <c r="B149" s="87" t="s">
        <v>166</v>
      </c>
      <c r="C149" s="86" t="s">
        <v>136</v>
      </c>
      <c r="D149" s="85">
        <v>0</v>
      </c>
      <c r="E149" s="84"/>
      <c r="F149" s="84"/>
      <c r="G149" s="78"/>
      <c r="H149" s="78" t="str">
        <f t="shared" si="12"/>
        <v/>
      </c>
      <c r="I149" s="83"/>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row>
    <row r="150" spans="1:65" s="68" customFormat="1" ht="30" customHeight="1" thickBot="1" x14ac:dyDescent="0.35">
      <c r="A150" s="63"/>
      <c r="B150" s="87" t="s">
        <v>165</v>
      </c>
      <c r="C150" s="86" t="s">
        <v>136</v>
      </c>
      <c r="D150" s="85">
        <v>0</v>
      </c>
      <c r="E150" s="84"/>
      <c r="F150" s="84"/>
      <c r="G150" s="78"/>
      <c r="H150" s="78" t="str">
        <f t="shared" si="12"/>
        <v/>
      </c>
      <c r="I150" s="83"/>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row>
    <row r="151" spans="1:65" s="68" customFormat="1" ht="30" customHeight="1" thickBot="1" x14ac:dyDescent="0.35">
      <c r="A151" s="63"/>
      <c r="B151" s="87" t="s">
        <v>164</v>
      </c>
      <c r="C151" s="86" t="s">
        <v>136</v>
      </c>
      <c r="D151" s="85">
        <v>0</v>
      </c>
      <c r="E151" s="84"/>
      <c r="F151" s="84"/>
      <c r="G151" s="78"/>
      <c r="H151" s="78" t="str">
        <f t="shared" si="12"/>
        <v/>
      </c>
      <c r="I151" s="83"/>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row>
    <row r="152" spans="1:65" s="68" customFormat="1" ht="30" customHeight="1" thickBot="1" x14ac:dyDescent="0.35">
      <c r="A152" s="63"/>
      <c r="B152" s="87" t="s">
        <v>163</v>
      </c>
      <c r="C152" s="86" t="s">
        <v>136</v>
      </c>
      <c r="D152" s="85">
        <v>0</v>
      </c>
      <c r="E152" s="84"/>
      <c r="F152" s="84"/>
      <c r="G152" s="78"/>
      <c r="H152" s="78" t="str">
        <f t="shared" si="12"/>
        <v/>
      </c>
      <c r="I152" s="83"/>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row>
    <row r="153" spans="1:65" s="68" customFormat="1" ht="30" customHeight="1" thickBot="1" x14ac:dyDescent="0.35">
      <c r="A153" s="63"/>
      <c r="B153" s="87" t="s">
        <v>162</v>
      </c>
      <c r="C153" s="86" t="s">
        <v>136</v>
      </c>
      <c r="D153" s="85">
        <v>0</v>
      </c>
      <c r="E153" s="84"/>
      <c r="F153" s="84"/>
      <c r="G153" s="78"/>
      <c r="H153" s="78" t="str">
        <f t="shared" si="12"/>
        <v/>
      </c>
      <c r="I153" s="83"/>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row>
    <row r="154" spans="1:65" s="68" customFormat="1" ht="30" customHeight="1" thickBot="1" x14ac:dyDescent="0.35">
      <c r="A154" s="63"/>
      <c r="B154" s="87" t="s">
        <v>161</v>
      </c>
      <c r="C154" s="86" t="s">
        <v>136</v>
      </c>
      <c r="D154" s="85">
        <v>0</v>
      </c>
      <c r="E154" s="84"/>
      <c r="F154" s="84"/>
      <c r="G154" s="78"/>
      <c r="H154" s="78" t="str">
        <f t="shared" si="12"/>
        <v/>
      </c>
      <c r="I154" s="83"/>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row>
    <row r="155" spans="1:65" s="68" customFormat="1" ht="30" customHeight="1" thickBot="1" x14ac:dyDescent="0.35">
      <c r="A155" s="63"/>
      <c r="B155" s="87" t="s">
        <v>160</v>
      </c>
      <c r="C155" s="86" t="s">
        <v>136</v>
      </c>
      <c r="D155" s="85">
        <v>0</v>
      </c>
      <c r="E155" s="84"/>
      <c r="F155" s="84"/>
      <c r="G155" s="78"/>
      <c r="H155" s="78" t="str">
        <f t="shared" si="12"/>
        <v/>
      </c>
      <c r="I155" s="83"/>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row>
    <row r="156" spans="1:65" s="68" customFormat="1" ht="30" customHeight="1" thickBot="1" x14ac:dyDescent="0.35">
      <c r="A156" s="63"/>
      <c r="B156" s="87" t="s">
        <v>159</v>
      </c>
      <c r="C156" s="86" t="s">
        <v>136</v>
      </c>
      <c r="D156" s="85">
        <v>0</v>
      </c>
      <c r="E156" s="84"/>
      <c r="F156" s="84"/>
      <c r="G156" s="78"/>
      <c r="H156" s="78" t="str">
        <f t="shared" si="12"/>
        <v/>
      </c>
      <c r="I156" s="83"/>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row>
    <row r="157" spans="1:65" s="68" customFormat="1" ht="30" customHeight="1" thickBot="1" x14ac:dyDescent="0.35">
      <c r="A157" s="63"/>
      <c r="B157" s="87" t="s">
        <v>368</v>
      </c>
      <c r="C157" s="86" t="s">
        <v>136</v>
      </c>
      <c r="D157" s="85">
        <v>0</v>
      </c>
      <c r="E157" s="84"/>
      <c r="F157" s="84"/>
      <c r="G157" s="78"/>
      <c r="H157" s="78" t="str">
        <f t="shared" si="12"/>
        <v/>
      </c>
      <c r="I157" s="83"/>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row>
    <row r="158" spans="1:65" s="68" customFormat="1" ht="30" customHeight="1" thickBot="1" x14ac:dyDescent="0.35">
      <c r="A158" s="63"/>
      <c r="B158" s="87" t="s">
        <v>367</v>
      </c>
      <c r="C158" s="86" t="s">
        <v>136</v>
      </c>
      <c r="D158" s="85">
        <v>0.5</v>
      </c>
      <c r="E158" s="84"/>
      <c r="F158" s="84"/>
      <c r="G158" s="78"/>
      <c r="H158" s="78" t="str">
        <f t="shared" si="12"/>
        <v/>
      </c>
      <c r="I158" s="83"/>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row>
    <row r="159" spans="1:65" s="68" customFormat="1" ht="30" customHeight="1" thickBot="1" x14ac:dyDescent="0.35">
      <c r="A159" s="63"/>
      <c r="B159" s="87" t="s">
        <v>369</v>
      </c>
      <c r="C159" s="86" t="s">
        <v>136</v>
      </c>
      <c r="D159" s="85">
        <v>0.3</v>
      </c>
      <c r="E159" s="84"/>
      <c r="F159" s="84"/>
      <c r="G159" s="78"/>
      <c r="H159" s="78" t="str">
        <f t="shared" si="12"/>
        <v/>
      </c>
      <c r="I159" s="83" t="s">
        <v>370</v>
      </c>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row>
    <row r="160" spans="1:65" s="68" customFormat="1" ht="30" customHeight="1" thickBot="1" x14ac:dyDescent="0.35">
      <c r="A160" s="63"/>
      <c r="B160" s="87" t="s">
        <v>158</v>
      </c>
      <c r="C160" s="86" t="s">
        <v>136</v>
      </c>
      <c r="D160" s="85">
        <v>0.7</v>
      </c>
      <c r="E160" s="84"/>
      <c r="F160" s="84"/>
      <c r="G160" s="78"/>
      <c r="H160" s="78" t="str">
        <f t="shared" si="12"/>
        <v/>
      </c>
      <c r="I160" s="83"/>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row>
    <row r="161" spans="1:65" s="68" customFormat="1" ht="30" customHeight="1" thickBot="1" x14ac:dyDescent="0.35">
      <c r="A161" s="63"/>
      <c r="B161" s="87" t="s">
        <v>157</v>
      </c>
      <c r="C161" s="86" t="s">
        <v>136</v>
      </c>
      <c r="D161" s="85">
        <v>0.6</v>
      </c>
      <c r="E161" s="84"/>
      <c r="F161" s="84"/>
      <c r="G161" s="78"/>
      <c r="H161" s="78" t="str">
        <f t="shared" si="12"/>
        <v/>
      </c>
      <c r="I161" s="83" t="s">
        <v>371</v>
      </c>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row>
    <row r="162" spans="1:65" s="68" customFormat="1" ht="30" customHeight="1" thickBot="1" x14ac:dyDescent="0.35">
      <c r="A162" s="63"/>
      <c r="B162" s="87" t="s">
        <v>156</v>
      </c>
      <c r="C162" s="86" t="s">
        <v>136</v>
      </c>
      <c r="D162" s="85">
        <v>0.4</v>
      </c>
      <c r="E162" s="84"/>
      <c r="F162" s="84"/>
      <c r="G162" s="78"/>
      <c r="H162" s="78" t="str">
        <f t="shared" si="12"/>
        <v/>
      </c>
      <c r="I162" s="83"/>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row>
    <row r="163" spans="1:65" s="68" customFormat="1" ht="30" customHeight="1" thickBot="1" x14ac:dyDescent="0.35">
      <c r="A163" s="63"/>
      <c r="B163" s="87" t="s">
        <v>155</v>
      </c>
      <c r="C163" s="86" t="s">
        <v>136</v>
      </c>
      <c r="D163" s="85">
        <v>0.4</v>
      </c>
      <c r="E163" s="84"/>
      <c r="F163" s="84"/>
      <c r="G163" s="78"/>
      <c r="H163" s="78" t="str">
        <f t="shared" si="12"/>
        <v/>
      </c>
      <c r="I163" s="83"/>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row>
    <row r="164" spans="1:65" s="68" customFormat="1" ht="30" customHeight="1" thickBot="1" x14ac:dyDescent="0.35">
      <c r="A164" s="63"/>
      <c r="B164" s="87" t="s">
        <v>154</v>
      </c>
      <c r="C164" s="86" t="s">
        <v>136</v>
      </c>
      <c r="D164" s="85">
        <v>0</v>
      </c>
      <c r="E164" s="84"/>
      <c r="F164" s="84"/>
      <c r="G164" s="78"/>
      <c r="H164" s="78" t="str">
        <f t="shared" si="12"/>
        <v/>
      </c>
      <c r="I164" s="83"/>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row>
    <row r="165" spans="1:65" s="68" customFormat="1" ht="30" customHeight="1" thickBot="1" x14ac:dyDescent="0.35">
      <c r="A165" s="63"/>
      <c r="B165" s="87" t="s">
        <v>153</v>
      </c>
      <c r="C165" s="86" t="s">
        <v>136</v>
      </c>
      <c r="D165" s="85">
        <v>0.7</v>
      </c>
      <c r="E165" s="84"/>
      <c r="F165" s="84"/>
      <c r="G165" s="78"/>
      <c r="H165" s="78" t="str">
        <f t="shared" si="12"/>
        <v/>
      </c>
      <c r="I165" s="83"/>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row>
    <row r="166" spans="1:65" s="68" customFormat="1" ht="30" customHeight="1" thickBot="1" x14ac:dyDescent="0.35">
      <c r="A166" s="63"/>
      <c r="B166" s="87" t="s">
        <v>152</v>
      </c>
      <c r="C166" s="86" t="s">
        <v>136</v>
      </c>
      <c r="D166" s="85">
        <v>0.6</v>
      </c>
      <c r="E166" s="84"/>
      <c r="F166" s="84"/>
      <c r="G166" s="78"/>
      <c r="H166" s="78" t="str">
        <f t="shared" si="12"/>
        <v/>
      </c>
      <c r="I166" s="83"/>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row>
    <row r="167" spans="1:65" s="68" customFormat="1" ht="30" customHeight="1" thickBot="1" x14ac:dyDescent="0.35">
      <c r="A167" s="63"/>
      <c r="B167" s="87" t="s">
        <v>151</v>
      </c>
      <c r="C167" s="86" t="s">
        <v>136</v>
      </c>
      <c r="D167" s="85">
        <v>0</v>
      </c>
      <c r="E167" s="84"/>
      <c r="F167" s="84"/>
      <c r="G167" s="78"/>
      <c r="H167" s="78" t="str">
        <f t="shared" si="12"/>
        <v/>
      </c>
      <c r="I167" s="83"/>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row>
    <row r="168" spans="1:65" s="68" customFormat="1" ht="30" customHeight="1" thickBot="1" x14ac:dyDescent="0.35">
      <c r="A168" s="63"/>
      <c r="B168" s="87" t="s">
        <v>150</v>
      </c>
      <c r="C168" s="86" t="s">
        <v>136</v>
      </c>
      <c r="D168" s="85">
        <v>0</v>
      </c>
      <c r="E168" s="84"/>
      <c r="F168" s="84"/>
      <c r="G168" s="78"/>
      <c r="H168" s="78" t="str">
        <f t="shared" si="12"/>
        <v/>
      </c>
      <c r="I168" s="83"/>
      <c r="J168" s="77"/>
      <c r="K168" s="77"/>
      <c r="L168" s="77"/>
      <c r="M168" s="77"/>
      <c r="N168" s="77"/>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row>
    <row r="169" spans="1:65" s="68" customFormat="1" ht="30" customHeight="1" thickBot="1" x14ac:dyDescent="0.35">
      <c r="A169" s="63"/>
      <c r="B169" s="87"/>
      <c r="C169" s="86" t="s">
        <v>136</v>
      </c>
      <c r="D169" s="85"/>
      <c r="E169" s="84"/>
      <c r="F169" s="84"/>
      <c r="G169" s="78"/>
      <c r="H169" s="78" t="str">
        <f t="shared" si="12"/>
        <v/>
      </c>
      <c r="I169" s="83"/>
      <c r="J169" s="77"/>
      <c r="K169" s="77"/>
      <c r="L169" s="77"/>
      <c r="M169" s="77"/>
      <c r="N169" s="77"/>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row>
    <row r="170" spans="1:65" s="68" customFormat="1" ht="30" customHeight="1" thickBot="1" x14ac:dyDescent="0.35">
      <c r="A170" s="63"/>
      <c r="B170" s="87" t="s">
        <v>149</v>
      </c>
      <c r="C170" s="86" t="s">
        <v>136</v>
      </c>
      <c r="D170" s="85">
        <v>0.3</v>
      </c>
      <c r="E170" s="84"/>
      <c r="F170" s="84"/>
      <c r="G170" s="78"/>
      <c r="H170" s="78" t="str">
        <f t="shared" si="12"/>
        <v/>
      </c>
      <c r="I170" s="83"/>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row>
    <row r="171" spans="1:65" s="68" customFormat="1" ht="30" customHeight="1" thickBot="1" x14ac:dyDescent="0.35">
      <c r="A171" s="63"/>
      <c r="B171" s="87" t="s">
        <v>148</v>
      </c>
      <c r="C171" s="86" t="s">
        <v>136</v>
      </c>
      <c r="D171" s="85">
        <v>0.4</v>
      </c>
      <c r="E171" s="84"/>
      <c r="F171" s="84"/>
      <c r="G171" s="78"/>
      <c r="H171" s="78" t="str">
        <f t="shared" si="12"/>
        <v/>
      </c>
      <c r="I171" s="83"/>
      <c r="J171" s="77"/>
      <c r="K171" s="77"/>
      <c r="L171" s="77"/>
      <c r="M171" s="77"/>
      <c r="N171" s="77"/>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row>
    <row r="172" spans="1:65" s="68" customFormat="1" ht="30" customHeight="1" thickBot="1" x14ac:dyDescent="0.35">
      <c r="A172" s="63"/>
      <c r="B172" s="87" t="s">
        <v>147</v>
      </c>
      <c r="C172" s="86" t="s">
        <v>136</v>
      </c>
      <c r="D172" s="85">
        <v>0.5</v>
      </c>
      <c r="E172" s="84"/>
      <c r="F172" s="84"/>
      <c r="G172" s="78"/>
      <c r="H172" s="78" t="str">
        <f t="shared" si="12"/>
        <v/>
      </c>
      <c r="I172" s="83"/>
      <c r="J172" s="77"/>
      <c r="K172" s="77"/>
      <c r="L172" s="77"/>
      <c r="M172" s="77"/>
      <c r="N172" s="77"/>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row>
    <row r="173" spans="1:65" s="68" customFormat="1" ht="30" customHeight="1" thickBot="1" x14ac:dyDescent="0.35">
      <c r="A173" s="63"/>
      <c r="B173" s="87" t="s">
        <v>146</v>
      </c>
      <c r="C173" s="86" t="s">
        <v>136</v>
      </c>
      <c r="D173" s="85">
        <v>0.5</v>
      </c>
      <c r="E173" s="84"/>
      <c r="F173" s="84"/>
      <c r="G173" s="78"/>
      <c r="H173" s="78" t="str">
        <f t="shared" si="12"/>
        <v/>
      </c>
      <c r="I173" s="83"/>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row>
    <row r="174" spans="1:65" s="68" customFormat="1" ht="30" customHeight="1" thickBot="1" x14ac:dyDescent="0.35">
      <c r="A174" s="63"/>
      <c r="B174" s="87" t="s">
        <v>145</v>
      </c>
      <c r="C174" s="86" t="s">
        <v>136</v>
      </c>
      <c r="D174" s="85">
        <v>0.5</v>
      </c>
      <c r="E174" s="84"/>
      <c r="F174" s="84"/>
      <c r="G174" s="78"/>
      <c r="H174" s="78" t="str">
        <f t="shared" si="12"/>
        <v/>
      </c>
      <c r="I174" s="83"/>
      <c r="J174" s="77"/>
      <c r="K174" s="77"/>
      <c r="L174" s="77"/>
      <c r="M174" s="77"/>
      <c r="N174" s="77"/>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row>
    <row r="175" spans="1:65" s="68" customFormat="1" ht="30" customHeight="1" thickBot="1" x14ac:dyDescent="0.35">
      <c r="A175" s="63"/>
      <c r="B175" s="87" t="s">
        <v>144</v>
      </c>
      <c r="C175" s="86" t="s">
        <v>136</v>
      </c>
      <c r="D175" s="85">
        <v>0.5</v>
      </c>
      <c r="E175" s="84"/>
      <c r="F175" s="84"/>
      <c r="G175" s="78"/>
      <c r="H175" s="78" t="str">
        <f t="shared" si="12"/>
        <v/>
      </c>
      <c r="I175" s="83"/>
      <c r="J175" s="77"/>
      <c r="K175" s="77"/>
      <c r="L175" s="77"/>
      <c r="M175" s="77"/>
      <c r="N175" s="77"/>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row>
    <row r="176" spans="1:65" s="68" customFormat="1" ht="30" customHeight="1" thickBot="1" x14ac:dyDescent="0.35">
      <c r="A176" s="63"/>
      <c r="B176" s="87" t="s">
        <v>143</v>
      </c>
      <c r="C176" s="86" t="s">
        <v>136</v>
      </c>
      <c r="D176" s="85">
        <v>0.6</v>
      </c>
      <c r="E176" s="84"/>
      <c r="F176" s="84"/>
      <c r="G176" s="78"/>
      <c r="H176" s="78" t="str">
        <f t="shared" si="12"/>
        <v/>
      </c>
      <c r="I176" s="83"/>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row>
    <row r="177" spans="1:65" s="68" customFormat="1" ht="30" customHeight="1" thickBot="1" x14ac:dyDescent="0.35">
      <c r="A177" s="63"/>
      <c r="B177" s="87" t="s">
        <v>142</v>
      </c>
      <c r="C177" s="86" t="s">
        <v>136</v>
      </c>
      <c r="D177" s="85">
        <v>0.4</v>
      </c>
      <c r="E177" s="84"/>
      <c r="F177" s="84"/>
      <c r="G177" s="78"/>
      <c r="H177" s="78" t="str">
        <f t="shared" si="12"/>
        <v/>
      </c>
      <c r="I177" s="83"/>
      <c r="J177" s="77"/>
      <c r="K177" s="77"/>
      <c r="L177" s="77"/>
      <c r="M177" s="77"/>
      <c r="N177" s="77"/>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row>
    <row r="178" spans="1:65" s="68" customFormat="1" ht="30" customHeight="1" thickBot="1" x14ac:dyDescent="0.35">
      <c r="A178" s="63"/>
      <c r="B178" s="87" t="s">
        <v>141</v>
      </c>
      <c r="C178" s="86" t="s">
        <v>136</v>
      </c>
      <c r="D178" s="85">
        <v>0.4</v>
      </c>
      <c r="E178" s="84"/>
      <c r="F178" s="84"/>
      <c r="G178" s="78"/>
      <c r="H178" s="78" t="str">
        <f t="shared" si="12"/>
        <v/>
      </c>
      <c r="I178" s="83"/>
      <c r="J178" s="77"/>
      <c r="K178" s="77"/>
      <c r="L178" s="77"/>
      <c r="M178" s="77"/>
      <c r="N178" s="77"/>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row>
    <row r="179" spans="1:65" s="68" customFormat="1" ht="30" customHeight="1" thickBot="1" x14ac:dyDescent="0.35">
      <c r="A179" s="63"/>
      <c r="B179" s="87" t="s">
        <v>140</v>
      </c>
      <c r="C179" s="86" t="s">
        <v>136</v>
      </c>
      <c r="D179" s="85">
        <v>0.1</v>
      </c>
      <c r="E179" s="84"/>
      <c r="F179" s="84"/>
      <c r="G179" s="78"/>
      <c r="H179" s="78" t="str">
        <f t="shared" si="12"/>
        <v/>
      </c>
      <c r="I179" s="83"/>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row>
    <row r="180" spans="1:65" s="68" customFormat="1" ht="30" customHeight="1" thickBot="1" x14ac:dyDescent="0.35">
      <c r="A180" s="63"/>
      <c r="B180" s="87" t="s">
        <v>139</v>
      </c>
      <c r="C180" s="86" t="s">
        <v>136</v>
      </c>
      <c r="D180" s="85">
        <v>0.2</v>
      </c>
      <c r="E180" s="84"/>
      <c r="F180" s="84"/>
      <c r="G180" s="78"/>
      <c r="H180" s="78" t="str">
        <f t="shared" si="12"/>
        <v/>
      </c>
      <c r="I180" s="83"/>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row>
    <row r="181" spans="1:65" s="68" customFormat="1" ht="30" customHeight="1" thickBot="1" x14ac:dyDescent="0.35">
      <c r="A181" s="63"/>
      <c r="B181" s="87" t="s">
        <v>138</v>
      </c>
      <c r="C181" s="86" t="s">
        <v>136</v>
      </c>
      <c r="D181" s="85">
        <v>0.1</v>
      </c>
      <c r="E181" s="84"/>
      <c r="F181" s="84"/>
      <c r="G181" s="78"/>
      <c r="H181" s="78" t="str">
        <f t="shared" si="12"/>
        <v/>
      </c>
      <c r="I181" s="83"/>
      <c r="J181" s="77"/>
      <c r="K181" s="77"/>
      <c r="L181" s="77"/>
      <c r="M181" s="77"/>
      <c r="N181" s="77"/>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row>
    <row r="182" spans="1:65" s="68" customFormat="1" ht="30" customHeight="1" thickBot="1" x14ac:dyDescent="0.35">
      <c r="A182" s="63"/>
      <c r="B182" s="87" t="s">
        <v>137</v>
      </c>
      <c r="C182" s="86" t="s">
        <v>136</v>
      </c>
      <c r="D182" s="85">
        <v>0.2</v>
      </c>
      <c r="E182" s="84"/>
      <c r="F182" s="84"/>
      <c r="G182" s="78"/>
      <c r="H182" s="78" t="str">
        <f t="shared" si="12"/>
        <v/>
      </c>
      <c r="I182" s="83"/>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row>
    <row r="183" spans="1:65" s="68" customFormat="1" ht="30" customHeight="1" thickBot="1" x14ac:dyDescent="0.35">
      <c r="A183" s="63"/>
      <c r="B183" s="87" t="s">
        <v>372</v>
      </c>
      <c r="C183" s="86" t="s">
        <v>136</v>
      </c>
      <c r="D183" s="85">
        <v>0.2</v>
      </c>
      <c r="E183" s="84"/>
      <c r="F183" s="84"/>
      <c r="G183" s="78"/>
      <c r="H183" s="78"/>
      <c r="I183" s="83"/>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row>
    <row r="184" spans="1:65" s="68" customFormat="1" ht="30" customHeight="1" thickBot="1" x14ac:dyDescent="0.35">
      <c r="A184" s="63"/>
      <c r="B184" s="87"/>
      <c r="C184" s="86"/>
      <c r="D184" s="85"/>
      <c r="E184" s="84"/>
      <c r="F184" s="84"/>
      <c r="G184" s="78"/>
      <c r="H184" s="78"/>
      <c r="I184" s="83"/>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row>
    <row r="185" spans="1:65" s="68" customFormat="1" ht="30" customHeight="1" thickBot="1" x14ac:dyDescent="0.35">
      <c r="A185" s="63"/>
      <c r="B185" s="87" t="s">
        <v>135</v>
      </c>
      <c r="C185" s="86"/>
      <c r="D185" s="85"/>
      <c r="E185" s="84" t="s">
        <v>134</v>
      </c>
      <c r="F185" s="84" t="s">
        <v>134</v>
      </c>
      <c r="G185" s="78"/>
      <c r="H185" s="78" t="e">
        <f>IF(OR(ISBLANK(task_start),ISBLANK(task_end)),"",task_end-task_start+1)</f>
        <v>#VALUE!</v>
      </c>
      <c r="I185" s="83"/>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row>
    <row r="186" spans="1:65" s="68" customFormat="1" ht="30" customHeight="1" thickBot="1" x14ac:dyDescent="0.35">
      <c r="A186" s="63" t="s">
        <v>133</v>
      </c>
      <c r="B186" s="82"/>
      <c r="C186" s="81"/>
      <c r="D186" s="80"/>
      <c r="E186" s="79"/>
      <c r="F186" s="79"/>
      <c r="G186" s="78"/>
      <c r="H186" s="78" t="str">
        <f>IF(OR(ISBLANK(task_start),ISBLANK(task_end)),"",task_end-task_start+1)</f>
        <v/>
      </c>
      <c r="I186" s="78"/>
      <c r="J186" s="77"/>
      <c r="K186" s="77"/>
      <c r="L186" s="77"/>
      <c r="M186" s="77"/>
      <c r="N186" s="77"/>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row>
    <row r="187" spans="1:65" s="68" customFormat="1" ht="30" customHeight="1" thickBot="1" x14ac:dyDescent="0.35">
      <c r="A187" s="76" t="s">
        <v>132</v>
      </c>
      <c r="B187" s="75" t="s">
        <v>131</v>
      </c>
      <c r="C187" s="74"/>
      <c r="D187" s="73"/>
      <c r="E187" s="72"/>
      <c r="F187" s="71"/>
      <c r="G187" s="70"/>
      <c r="H187" s="70" t="str">
        <f>IF(OR(ISBLANK(task_start),ISBLANK(task_end)),"",task_end-task_start+1)</f>
        <v/>
      </c>
      <c r="I187" s="70"/>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c r="AU187" s="69"/>
      <c r="AV187" s="69"/>
      <c r="AW187" s="69"/>
      <c r="AX187" s="69"/>
      <c r="AY187" s="69"/>
      <c r="AZ187" s="69"/>
      <c r="BA187" s="69"/>
      <c r="BB187" s="69"/>
      <c r="BC187" s="69"/>
      <c r="BD187" s="69"/>
      <c r="BE187" s="69"/>
      <c r="BF187" s="69"/>
      <c r="BG187" s="69"/>
      <c r="BH187" s="69"/>
      <c r="BI187" s="69"/>
      <c r="BJ187" s="69"/>
      <c r="BK187" s="69"/>
      <c r="BL187" s="69"/>
      <c r="BM187" s="69"/>
    </row>
    <row r="188" spans="1:65" ht="30" customHeight="1" x14ac:dyDescent="0.3">
      <c r="G188" s="67"/>
    </row>
    <row r="189" spans="1:65" ht="30" customHeight="1" x14ac:dyDescent="0.3">
      <c r="C189" s="66"/>
      <c r="F189" s="65"/>
    </row>
    <row r="190" spans="1:65" ht="30" customHeight="1" x14ac:dyDescent="0.35">
      <c r="C190" s="64"/>
    </row>
    <row r="191" spans="1:65" ht="30" customHeight="1" x14ac:dyDescent="0.3">
      <c r="G191" s="140" t="s">
        <v>377</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40"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88" priority="4">
      <formula>AND(TODAY()&gt;=J$5,TODAY()&lt;K$5)</formula>
    </cfRule>
  </conditionalFormatting>
  <conditionalFormatting sqref="J7:BM187">
    <cfRule type="expression" dxfId="87" priority="2">
      <formula>AND(task_start&lt;=J$5,ROUNDDOWN((task_end-task_start+1)*task_progress,0)+task_start-1&gt;=J$5)</formula>
    </cfRule>
    <cfRule type="expression" dxfId="86"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C5" sqref="C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63" t="s">
        <v>374</v>
      </c>
      <c r="B1" s="163"/>
      <c r="C1" s="163"/>
      <c r="D1" s="163"/>
      <c r="E1" s="163"/>
      <c r="F1" s="163"/>
      <c r="G1" s="163"/>
      <c r="H1" s="163"/>
      <c r="I1" s="163"/>
      <c r="J1" s="163"/>
      <c r="K1" s="163"/>
      <c r="L1" s="163"/>
      <c r="M1" s="163"/>
      <c r="N1" s="163"/>
      <c r="O1" s="163"/>
      <c r="P1" s="16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64" t="s">
        <v>15</v>
      </c>
      <c r="B2" s="164"/>
      <c r="C2" s="5">
        <f ca="1">TODAY()</f>
        <v>43913</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65"/>
      <c r="R3" s="166"/>
      <c r="S3" s="166"/>
      <c r="T3" s="166"/>
      <c r="U3" s="166"/>
      <c r="V3" s="166"/>
      <c r="W3" s="166"/>
      <c r="X3" s="166"/>
      <c r="Y3" s="166"/>
      <c r="Z3" s="166"/>
      <c r="AA3" s="166"/>
      <c r="AB3" s="166"/>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c r="GV3" s="60"/>
      <c r="GW3" s="60"/>
      <c r="GX3" s="60"/>
      <c r="GY3" s="60"/>
      <c r="GZ3" s="60"/>
      <c r="HA3" s="60"/>
      <c r="HB3" s="60"/>
      <c r="HC3" s="60"/>
      <c r="HD3" s="60"/>
      <c r="HE3" s="60"/>
      <c r="HF3" s="60"/>
      <c r="HG3" s="60"/>
      <c r="HH3" s="60"/>
      <c r="HI3" s="60"/>
      <c r="HJ3" s="60"/>
      <c r="HK3" s="60"/>
      <c r="HL3" s="60"/>
      <c r="HM3" s="60"/>
      <c r="HN3" s="60"/>
      <c r="HO3" s="60"/>
      <c r="HP3" s="60"/>
      <c r="HQ3" s="60"/>
      <c r="HR3" s="60"/>
      <c r="HS3" s="60"/>
      <c r="HT3" s="60"/>
      <c r="HU3" s="60"/>
      <c r="HV3" s="60"/>
      <c r="HW3" s="60"/>
      <c r="HX3" s="60"/>
      <c r="HY3" s="60"/>
      <c r="HZ3" s="60"/>
      <c r="IA3" s="60"/>
      <c r="IB3" s="60"/>
      <c r="IC3" s="60"/>
      <c r="ID3" s="60"/>
      <c r="IE3" s="60"/>
      <c r="IF3" s="60"/>
      <c r="IG3" s="60"/>
      <c r="IH3" s="60"/>
      <c r="II3" s="60"/>
      <c r="IJ3" s="60"/>
      <c r="IK3" s="60"/>
      <c r="IL3" s="60"/>
    </row>
    <row r="4" spans="1:246" ht="114" customHeight="1" x14ac:dyDescent="0.15">
      <c r="A4" s="10" t="s">
        <v>97</v>
      </c>
      <c r="B4" s="11"/>
      <c r="C4" s="16" t="s">
        <v>375</v>
      </c>
      <c r="D4" s="13" t="s">
        <v>38</v>
      </c>
      <c r="E4" s="13" t="s">
        <v>376</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5"/>
      <c r="R4" s="166"/>
      <c r="S4" s="166"/>
      <c r="T4" s="166"/>
      <c r="U4" s="166"/>
      <c r="V4" s="166"/>
      <c r="W4" s="166"/>
      <c r="X4" s="166"/>
      <c r="Y4" s="166"/>
      <c r="Z4" s="166"/>
      <c r="AA4" s="166"/>
      <c r="AB4" s="166"/>
      <c r="AC4" s="27"/>
      <c r="AD4" s="27"/>
    </row>
    <row r="5" spans="1:246" ht="57.75" customHeight="1" x14ac:dyDescent="0.15">
      <c r="A5" s="15">
        <v>241</v>
      </c>
      <c r="B5" s="11"/>
      <c r="C5" s="16"/>
      <c r="D5" s="13" t="s">
        <v>51</v>
      </c>
      <c r="E5" s="13"/>
      <c r="F5" s="13"/>
      <c r="G5" s="14"/>
      <c r="H5" s="14"/>
      <c r="I5" s="14"/>
      <c r="J5" s="13" t="str">
        <f t="shared" ca="1" si="0"/>
        <v>IN TIME</v>
      </c>
      <c r="K5" s="13" t="str">
        <f t="shared" si="1"/>
        <v/>
      </c>
      <c r="L5" s="13">
        <f t="shared" ca="1" si="2"/>
        <v>0</v>
      </c>
      <c r="M5" s="13">
        <f t="shared" ca="1" si="3"/>
        <v>1</v>
      </c>
      <c r="N5" s="13">
        <f t="shared" ca="1" si="4"/>
        <v>0</v>
      </c>
      <c r="O5" s="13" t="str">
        <f t="shared" si="5"/>
        <v/>
      </c>
      <c r="P5" s="20"/>
      <c r="Q5" s="165"/>
      <c r="R5" s="166"/>
      <c r="S5" s="166"/>
      <c r="T5" s="166"/>
      <c r="U5" s="166"/>
      <c r="V5" s="166"/>
      <c r="W5" s="166"/>
      <c r="X5" s="166"/>
      <c r="Y5" s="166"/>
      <c r="Z5" s="166"/>
      <c r="AA5" s="166"/>
      <c r="AB5" s="166"/>
      <c r="AC5" s="27"/>
      <c r="AD5" s="27"/>
    </row>
    <row r="6" spans="1:246" ht="24.6" customHeight="1" x14ac:dyDescent="0.15">
      <c r="A6" s="15">
        <v>242</v>
      </c>
      <c r="B6" s="11"/>
      <c r="C6" s="12"/>
      <c r="D6" s="13" t="s">
        <v>38</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5"/>
      <c r="R6" s="166"/>
      <c r="S6" s="166"/>
      <c r="T6" s="166"/>
      <c r="U6" s="166"/>
      <c r="V6" s="166"/>
      <c r="W6" s="166"/>
      <c r="X6" s="166"/>
      <c r="Y6" s="166"/>
      <c r="Z6" s="166"/>
      <c r="AA6" s="166"/>
      <c r="AB6" s="166"/>
      <c r="AC6" s="27"/>
      <c r="AD6" s="27"/>
    </row>
    <row r="7" spans="1:246" ht="45" customHeight="1" x14ac:dyDescent="0.15">
      <c r="A7" s="15">
        <v>243</v>
      </c>
      <c r="B7" s="13"/>
      <c r="C7" s="12"/>
      <c r="D7" s="13" t="s">
        <v>38</v>
      </c>
      <c r="E7" s="13"/>
      <c r="F7" s="14"/>
      <c r="G7" s="14"/>
      <c r="H7" s="14"/>
      <c r="I7" s="14"/>
      <c r="J7" s="13" t="str">
        <f t="shared" ca="1" si="0"/>
        <v>IN TIME</v>
      </c>
      <c r="K7" s="13" t="str">
        <f t="shared" si="1"/>
        <v/>
      </c>
      <c r="L7" s="13">
        <f t="shared" ca="1" si="2"/>
        <v>0</v>
      </c>
      <c r="M7" s="13">
        <f t="shared" ca="1" si="3"/>
        <v>1</v>
      </c>
      <c r="N7" s="13">
        <f t="shared" ca="1" si="4"/>
        <v>0</v>
      </c>
      <c r="O7" s="13" t="str">
        <f t="shared" si="5"/>
        <v/>
      </c>
      <c r="P7" s="20"/>
      <c r="Q7" s="165"/>
      <c r="R7" s="166"/>
      <c r="S7" s="166"/>
      <c r="T7" s="166"/>
      <c r="U7" s="166"/>
      <c r="V7" s="166"/>
      <c r="W7" s="166"/>
      <c r="X7" s="166"/>
      <c r="Y7" s="166"/>
      <c r="Z7" s="166"/>
      <c r="AA7" s="166"/>
      <c r="AB7" s="166"/>
      <c r="AC7" s="27"/>
      <c r="AD7" s="27"/>
    </row>
    <row r="8" spans="1:246" ht="24.6" customHeight="1" x14ac:dyDescent="0.15">
      <c r="A8" s="10" t="s">
        <v>109</v>
      </c>
      <c r="B8" s="11"/>
      <c r="C8" s="16"/>
      <c r="D8" s="13" t="s">
        <v>38</v>
      </c>
      <c r="E8" s="13"/>
      <c r="F8" s="14"/>
      <c r="G8" s="14"/>
      <c r="H8" s="14"/>
      <c r="I8" s="14"/>
      <c r="J8" s="13" t="str">
        <f t="shared" ca="1" si="0"/>
        <v>IN TIME</v>
      </c>
      <c r="K8" s="13" t="str">
        <f t="shared" si="1"/>
        <v/>
      </c>
      <c r="L8" s="13">
        <f t="shared" ca="1" si="2"/>
        <v>0</v>
      </c>
      <c r="M8" s="13">
        <f t="shared" ca="1" si="3"/>
        <v>1</v>
      </c>
      <c r="N8" s="13">
        <f t="shared" ca="1" si="4"/>
        <v>0</v>
      </c>
      <c r="O8" s="13" t="str">
        <f t="shared" si="5"/>
        <v/>
      </c>
      <c r="P8" s="20"/>
      <c r="Q8" s="165"/>
      <c r="R8" s="166"/>
      <c r="S8" s="166"/>
      <c r="T8" s="166"/>
      <c r="U8" s="166"/>
      <c r="V8" s="166"/>
      <c r="W8" s="166"/>
      <c r="X8" s="166"/>
      <c r="Y8" s="166"/>
      <c r="Z8" s="166"/>
      <c r="AA8" s="166"/>
      <c r="AB8" s="166"/>
      <c r="AC8" s="27"/>
      <c r="AD8" s="27"/>
    </row>
    <row r="9" spans="1:246" ht="24.6" customHeight="1" x14ac:dyDescent="0.15">
      <c r="A9" s="10" t="s">
        <v>113</v>
      </c>
      <c r="B9" s="11"/>
      <c r="C9" s="16"/>
      <c r="D9" s="13" t="s">
        <v>38</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5"/>
      <c r="R9" s="166"/>
      <c r="S9" s="166"/>
      <c r="T9" s="166"/>
      <c r="U9" s="166"/>
      <c r="V9" s="166"/>
      <c r="W9" s="166"/>
      <c r="X9" s="166"/>
      <c r="Y9" s="166"/>
      <c r="Z9" s="166"/>
      <c r="AA9" s="166"/>
      <c r="AB9" s="166"/>
      <c r="AC9" s="27"/>
      <c r="AD9" s="27"/>
    </row>
    <row r="10" spans="1:246" ht="24.6" customHeight="1" x14ac:dyDescent="0.15">
      <c r="A10" s="15">
        <v>246</v>
      </c>
      <c r="B10" s="11"/>
      <c r="C10" s="16"/>
      <c r="D10" s="13" t="s">
        <v>38</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5"/>
      <c r="R10" s="166"/>
      <c r="S10" s="166"/>
      <c r="T10" s="166"/>
      <c r="U10" s="166"/>
      <c r="V10" s="166"/>
      <c r="W10" s="166"/>
      <c r="X10" s="166"/>
      <c r="Y10" s="166"/>
      <c r="Z10" s="166"/>
      <c r="AA10" s="166"/>
      <c r="AB10" s="166"/>
      <c r="AC10" s="27"/>
      <c r="AD10" s="27"/>
    </row>
    <row r="11" spans="1:246" ht="24.6" customHeight="1" x14ac:dyDescent="0.15">
      <c r="A11" s="15">
        <v>247</v>
      </c>
      <c r="B11" s="11"/>
      <c r="C11" s="16"/>
      <c r="D11" s="13" t="s">
        <v>38</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5"/>
      <c r="R11" s="166"/>
      <c r="S11" s="166"/>
      <c r="T11" s="166"/>
      <c r="U11" s="166"/>
      <c r="V11" s="166"/>
      <c r="W11" s="166"/>
      <c r="X11" s="166"/>
      <c r="Y11" s="166"/>
      <c r="Z11" s="166"/>
      <c r="AA11" s="166"/>
      <c r="AB11" s="166"/>
      <c r="AC11" s="27"/>
      <c r="AD11" s="27"/>
    </row>
    <row r="12" spans="1:246" ht="39" customHeight="1" x14ac:dyDescent="0.15">
      <c r="A12" s="15">
        <v>248</v>
      </c>
      <c r="B12" s="11"/>
      <c r="C12" s="12"/>
      <c r="D12" s="13" t="s">
        <v>38</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5"/>
      <c r="R12" s="166"/>
      <c r="S12" s="166"/>
      <c r="T12" s="166"/>
      <c r="U12" s="166"/>
      <c r="V12" s="166"/>
      <c r="W12" s="166"/>
      <c r="X12" s="166"/>
      <c r="Y12" s="166"/>
      <c r="Z12" s="166"/>
      <c r="AA12" s="166"/>
      <c r="AB12" s="166"/>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5"/>
      <c r="R13" s="166"/>
      <c r="S13" s="166"/>
      <c r="T13" s="166"/>
      <c r="U13" s="166"/>
      <c r="V13" s="166"/>
      <c r="W13" s="166"/>
      <c r="X13" s="166"/>
      <c r="Y13" s="166"/>
      <c r="Z13" s="166"/>
      <c r="AA13" s="166"/>
      <c r="AB13" s="166"/>
      <c r="AC13" s="27"/>
      <c r="AD13" s="27"/>
    </row>
    <row r="14" spans="1:246" ht="24.6" customHeight="1" x14ac:dyDescent="0.15">
      <c r="A14" s="15"/>
      <c r="B14" s="11"/>
      <c r="C14" s="16"/>
      <c r="D14" s="13" t="s">
        <v>38</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5"/>
      <c r="R14" s="166"/>
      <c r="S14" s="166"/>
      <c r="T14" s="166"/>
      <c r="U14" s="166"/>
      <c r="V14" s="166"/>
      <c r="W14" s="166"/>
      <c r="X14" s="166"/>
      <c r="Y14" s="166"/>
      <c r="Z14" s="166"/>
      <c r="AA14" s="166"/>
      <c r="AB14" s="166"/>
      <c r="AC14" s="27"/>
      <c r="AD14" s="27"/>
    </row>
    <row r="15" spans="1:246" ht="24.6" customHeight="1" x14ac:dyDescent="0.15">
      <c r="A15" s="15">
        <v>251</v>
      </c>
      <c r="B15" s="11"/>
      <c r="C15" s="16"/>
      <c r="D15" s="13" t="s">
        <v>38</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59"/>
      <c r="R15" s="60"/>
      <c r="S15" s="60"/>
      <c r="T15" s="60"/>
      <c r="U15" s="60"/>
      <c r="V15" s="60"/>
      <c r="W15" s="60"/>
      <c r="X15" s="60"/>
      <c r="Y15" s="60"/>
      <c r="Z15" s="60"/>
      <c r="AA15" s="60"/>
      <c r="AB15" s="60"/>
      <c r="AC15" s="27"/>
      <c r="AD15" s="27"/>
    </row>
    <row r="16" spans="1:246" ht="93" customHeight="1" x14ac:dyDescent="0.15">
      <c r="A16" s="15">
        <v>252</v>
      </c>
      <c r="B16" s="11"/>
      <c r="C16" s="16"/>
      <c r="D16" s="13" t="s">
        <v>38</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59"/>
      <c r="R16" s="60"/>
      <c r="S16" s="60"/>
      <c r="T16" s="60"/>
      <c r="U16" s="60"/>
      <c r="V16" s="60"/>
      <c r="W16" s="60"/>
      <c r="X16" s="60"/>
      <c r="Y16" s="60"/>
      <c r="Z16" s="60"/>
      <c r="AA16" s="60"/>
      <c r="AB16" s="60"/>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59"/>
      <c r="R17" s="60"/>
      <c r="S17" s="60"/>
      <c r="T17" s="60"/>
      <c r="U17" s="60"/>
      <c r="V17" s="60"/>
      <c r="W17" s="60"/>
      <c r="X17" s="60"/>
      <c r="Y17" s="60"/>
      <c r="Z17" s="60"/>
      <c r="AA17" s="60"/>
      <c r="AB17" s="60"/>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59"/>
      <c r="R18" s="60"/>
      <c r="S18" s="60"/>
      <c r="T18" s="60"/>
      <c r="U18" s="60"/>
      <c r="V18" s="60"/>
      <c r="W18" s="60"/>
      <c r="X18" s="60"/>
      <c r="Y18" s="60"/>
      <c r="Z18" s="60"/>
      <c r="AA18" s="60"/>
      <c r="AB18" s="60"/>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59"/>
      <c r="R19" s="60"/>
      <c r="S19" s="60"/>
      <c r="T19" s="60"/>
      <c r="U19" s="60"/>
      <c r="V19" s="60"/>
      <c r="W19" s="60"/>
      <c r="X19" s="60"/>
      <c r="Y19" s="60"/>
      <c r="Z19" s="60"/>
      <c r="AA19" s="60"/>
      <c r="AB19" s="60"/>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59"/>
      <c r="R20" s="60"/>
      <c r="S20" s="60"/>
      <c r="T20" s="60"/>
      <c r="U20" s="60"/>
      <c r="V20" s="60"/>
      <c r="W20" s="60"/>
      <c r="X20" s="60"/>
      <c r="Y20" s="60"/>
      <c r="Z20" s="60"/>
      <c r="AA20" s="60"/>
      <c r="AB20" s="60"/>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59"/>
      <c r="R21" s="60"/>
      <c r="S21" s="60"/>
      <c r="T21" s="60"/>
      <c r="U21" s="60"/>
      <c r="V21" s="60"/>
      <c r="W21" s="60"/>
      <c r="X21" s="60"/>
      <c r="Y21" s="60"/>
      <c r="Z21" s="60"/>
      <c r="AA21" s="60"/>
      <c r="AB21" s="60"/>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59"/>
      <c r="R22" s="60"/>
      <c r="S22" s="60"/>
      <c r="T22" s="60"/>
      <c r="U22" s="60"/>
      <c r="V22" s="60"/>
      <c r="W22" s="60"/>
      <c r="X22" s="60"/>
      <c r="Y22" s="60"/>
      <c r="Z22" s="60"/>
      <c r="AA22" s="60"/>
      <c r="AB22" s="60"/>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59"/>
      <c r="R23" s="60"/>
      <c r="S23" s="60"/>
      <c r="T23" s="60"/>
      <c r="U23" s="60"/>
      <c r="V23" s="60"/>
      <c r="W23" s="60"/>
      <c r="X23" s="60"/>
      <c r="Y23" s="60"/>
      <c r="Z23" s="60"/>
      <c r="AA23" s="60"/>
      <c r="AB23" s="60"/>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59"/>
      <c r="R24" s="60"/>
      <c r="S24" s="60"/>
      <c r="T24" s="60"/>
      <c r="U24" s="60"/>
      <c r="V24" s="60"/>
      <c r="W24" s="60"/>
      <c r="X24" s="60"/>
      <c r="Y24" s="60"/>
      <c r="Z24" s="60"/>
      <c r="AA24" s="60"/>
      <c r="AB24" s="60"/>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59"/>
      <c r="R25" s="60"/>
      <c r="S25" s="60"/>
      <c r="T25" s="60"/>
      <c r="U25" s="60"/>
      <c r="V25" s="60"/>
      <c r="W25" s="60"/>
      <c r="X25" s="60"/>
      <c r="Y25" s="60"/>
      <c r="Z25" s="60"/>
      <c r="AA25" s="60"/>
      <c r="AB25" s="60"/>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59"/>
      <c r="R26" s="60"/>
      <c r="S26" s="60"/>
      <c r="T26" s="60"/>
      <c r="U26" s="60"/>
      <c r="V26" s="60"/>
      <c r="W26" s="60"/>
      <c r="X26" s="60"/>
      <c r="Y26" s="60"/>
      <c r="Z26" s="60"/>
      <c r="AA26" s="60"/>
      <c r="AB26" s="60"/>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59"/>
      <c r="R27" s="60"/>
      <c r="S27" s="60"/>
      <c r="T27" s="60"/>
      <c r="U27" s="60"/>
      <c r="V27" s="60"/>
      <c r="W27" s="60"/>
      <c r="X27" s="60"/>
      <c r="Y27" s="60"/>
      <c r="Z27" s="60"/>
      <c r="AA27" s="60"/>
      <c r="AB27" s="60"/>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59"/>
      <c r="R28" s="60"/>
      <c r="S28" s="60"/>
      <c r="T28" s="60"/>
      <c r="U28" s="60"/>
      <c r="V28" s="60"/>
      <c r="W28" s="60"/>
      <c r="X28" s="60"/>
      <c r="Y28" s="60"/>
      <c r="Z28" s="60"/>
      <c r="AA28" s="60"/>
      <c r="AB28" s="60"/>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59"/>
      <c r="R29" s="60"/>
      <c r="S29" s="60"/>
      <c r="T29" s="60"/>
      <c r="U29" s="60"/>
      <c r="V29" s="60"/>
      <c r="W29" s="60"/>
      <c r="X29" s="60"/>
      <c r="Y29" s="60"/>
      <c r="Z29" s="60"/>
      <c r="AA29" s="60"/>
      <c r="AB29" s="60"/>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59"/>
      <c r="R30" s="60"/>
      <c r="S30" s="60"/>
      <c r="T30" s="60"/>
      <c r="U30" s="60"/>
      <c r="V30" s="60"/>
      <c r="W30" s="60"/>
      <c r="X30" s="60"/>
      <c r="Y30" s="60"/>
      <c r="Z30" s="60"/>
      <c r="AA30" s="60"/>
      <c r="AB30" s="60"/>
      <c r="AC30" s="27"/>
      <c r="AD30" s="27"/>
    </row>
  </sheetData>
  <autoFilter ref="A3:P30"/>
  <mergeCells count="3">
    <mergeCell ref="A1:P1"/>
    <mergeCell ref="A2:B2"/>
    <mergeCell ref="Q3:AB14"/>
  </mergeCells>
  <phoneticPr fontId="40" type="noConversion"/>
  <conditionalFormatting sqref="J4">
    <cfRule type="cellIs" dxfId="85" priority="79" operator="equal">
      <formula>"OVERDUE"</formula>
    </cfRule>
    <cfRule type="cellIs" dxfId="84" priority="80" operator="equal">
      <formula>"DONE"</formula>
    </cfRule>
    <cfRule type="cellIs" dxfId="83" priority="81" operator="equal">
      <formula>"DONE"</formula>
    </cfRule>
  </conditionalFormatting>
  <conditionalFormatting sqref="J5">
    <cfRule type="cellIs" dxfId="82" priority="76" operator="equal">
      <formula>"OVERDUE"</formula>
    </cfRule>
    <cfRule type="cellIs" dxfId="81" priority="77" operator="equal">
      <formula>"DONE"</formula>
    </cfRule>
    <cfRule type="cellIs" dxfId="80" priority="78" operator="equal">
      <formula>"DONE"</formula>
    </cfRule>
  </conditionalFormatting>
  <conditionalFormatting sqref="J6">
    <cfRule type="cellIs" dxfId="79" priority="73" operator="equal">
      <formula>"OVERDUE"</formula>
    </cfRule>
    <cfRule type="cellIs" dxfId="78" priority="74" operator="equal">
      <formula>"DONE"</formula>
    </cfRule>
    <cfRule type="cellIs" dxfId="77" priority="75" operator="equal">
      <formula>"DONE"</formula>
    </cfRule>
  </conditionalFormatting>
  <conditionalFormatting sqref="J7">
    <cfRule type="cellIs" dxfId="76" priority="70" operator="equal">
      <formula>"OVERDUE"</formula>
    </cfRule>
    <cfRule type="cellIs" dxfId="75" priority="71" operator="equal">
      <formula>"DONE"</formula>
    </cfRule>
    <cfRule type="cellIs" dxfId="74" priority="72" operator="equal">
      <formula>"DONE"</formula>
    </cfRule>
  </conditionalFormatting>
  <conditionalFormatting sqref="J8">
    <cfRule type="cellIs" dxfId="73" priority="67" operator="equal">
      <formula>"OVERDUE"</formula>
    </cfRule>
    <cfRule type="cellIs" dxfId="72" priority="68" operator="equal">
      <formula>"DONE"</formula>
    </cfRule>
    <cfRule type="cellIs" dxfId="71" priority="69" operator="equal">
      <formula>"DONE"</formula>
    </cfRule>
  </conditionalFormatting>
  <conditionalFormatting sqref="J9">
    <cfRule type="cellIs" dxfId="70" priority="64" operator="equal">
      <formula>"OVERDUE"</formula>
    </cfRule>
    <cfRule type="cellIs" dxfId="69" priority="65" operator="equal">
      <formula>"DONE"</formula>
    </cfRule>
    <cfRule type="cellIs" dxfId="68" priority="66" operator="equal">
      <formula>"DONE"</formula>
    </cfRule>
  </conditionalFormatting>
  <conditionalFormatting sqref="J10">
    <cfRule type="cellIs" dxfId="67" priority="61" operator="equal">
      <formula>"OVERDUE"</formula>
    </cfRule>
    <cfRule type="cellIs" dxfId="66" priority="62" operator="equal">
      <formula>"DONE"</formula>
    </cfRule>
    <cfRule type="cellIs" dxfId="65" priority="63" operator="equal">
      <formula>"DONE"</formula>
    </cfRule>
  </conditionalFormatting>
  <conditionalFormatting sqref="J11">
    <cfRule type="cellIs" dxfId="64" priority="58" operator="equal">
      <formula>"OVERDUE"</formula>
    </cfRule>
    <cfRule type="cellIs" dxfId="63" priority="59" operator="equal">
      <formula>"DONE"</formula>
    </cfRule>
    <cfRule type="cellIs" dxfId="62" priority="60" operator="equal">
      <formula>"DONE"</formula>
    </cfRule>
  </conditionalFormatting>
  <conditionalFormatting sqref="J12">
    <cfRule type="cellIs" dxfId="61" priority="55" operator="equal">
      <formula>"OVERDUE"</formula>
    </cfRule>
    <cfRule type="cellIs" dxfId="60" priority="56" operator="equal">
      <formula>"DONE"</formula>
    </cfRule>
    <cfRule type="cellIs" dxfId="59" priority="57" operator="equal">
      <formula>"DONE"</formula>
    </cfRule>
  </conditionalFormatting>
  <conditionalFormatting sqref="J13">
    <cfRule type="cellIs" dxfId="58" priority="52" operator="equal">
      <formula>"OVERDUE"</formula>
    </cfRule>
    <cfRule type="cellIs" dxfId="57" priority="53" operator="equal">
      <formula>"DONE"</formula>
    </cfRule>
    <cfRule type="cellIs" dxfId="56" priority="54" operator="equal">
      <formula>"DONE"</formula>
    </cfRule>
  </conditionalFormatting>
  <conditionalFormatting sqref="J14">
    <cfRule type="cellIs" dxfId="55" priority="49" operator="equal">
      <formula>"OVERDUE"</formula>
    </cfRule>
    <cfRule type="cellIs" dxfId="54" priority="50" operator="equal">
      <formula>"DONE"</formula>
    </cfRule>
    <cfRule type="cellIs" dxfId="53" priority="51" operator="equal">
      <formula>"DONE"</formula>
    </cfRule>
  </conditionalFormatting>
  <conditionalFormatting sqref="J15">
    <cfRule type="cellIs" dxfId="52" priority="46" operator="equal">
      <formula>"OVERDUE"</formula>
    </cfRule>
    <cfRule type="cellIs" dxfId="51" priority="47" operator="equal">
      <formula>"DONE"</formula>
    </cfRule>
    <cfRule type="cellIs" dxfId="50" priority="48" operator="equal">
      <formula>"DONE"</formula>
    </cfRule>
  </conditionalFormatting>
  <conditionalFormatting sqref="J16">
    <cfRule type="cellIs" dxfId="49" priority="43" operator="equal">
      <formula>"OVERDUE"</formula>
    </cfRule>
    <cfRule type="cellIs" dxfId="48" priority="44" operator="equal">
      <formula>"DONE"</formula>
    </cfRule>
    <cfRule type="cellIs" dxfId="47" priority="45" operator="equal">
      <formula>"DONE"</formula>
    </cfRule>
  </conditionalFormatting>
  <conditionalFormatting sqref="J17">
    <cfRule type="cellIs" dxfId="46" priority="40" operator="equal">
      <formula>"OVERDUE"</formula>
    </cfRule>
    <cfRule type="cellIs" dxfId="45" priority="41" operator="equal">
      <formula>"DONE"</formula>
    </cfRule>
    <cfRule type="cellIs" dxfId="44" priority="42" operator="equal">
      <formula>"DONE"</formula>
    </cfRule>
  </conditionalFormatting>
  <conditionalFormatting sqref="J18">
    <cfRule type="cellIs" dxfId="43" priority="37" operator="equal">
      <formula>"OVERDUE"</formula>
    </cfRule>
    <cfRule type="cellIs" dxfId="42" priority="38" operator="equal">
      <formula>"DONE"</formula>
    </cfRule>
    <cfRule type="cellIs" dxfId="41" priority="39" operator="equal">
      <formula>"DONE"</formula>
    </cfRule>
  </conditionalFormatting>
  <conditionalFormatting sqref="J19">
    <cfRule type="cellIs" dxfId="40" priority="34" operator="equal">
      <formula>"OVERDUE"</formula>
    </cfRule>
    <cfRule type="cellIs" dxfId="39" priority="35" operator="equal">
      <formula>"DONE"</formula>
    </cfRule>
    <cfRule type="cellIs" dxfId="38" priority="36" operator="equal">
      <formula>"DONE"</formula>
    </cfRule>
  </conditionalFormatting>
  <conditionalFormatting sqref="J20">
    <cfRule type="cellIs" dxfId="37" priority="31" operator="equal">
      <formula>"OVERDUE"</formula>
    </cfRule>
    <cfRule type="cellIs" dxfId="36" priority="32" operator="equal">
      <formula>"DONE"</formula>
    </cfRule>
    <cfRule type="cellIs" dxfId="35" priority="33" operator="equal">
      <formula>"DONE"</formula>
    </cfRule>
  </conditionalFormatting>
  <conditionalFormatting sqref="J21">
    <cfRule type="cellIs" dxfId="34" priority="28" operator="equal">
      <formula>"OVERDUE"</formula>
    </cfRule>
    <cfRule type="cellIs" dxfId="33" priority="29" operator="equal">
      <formula>"DONE"</formula>
    </cfRule>
    <cfRule type="cellIs" dxfId="32" priority="30" operator="equal">
      <formula>"DONE"</formula>
    </cfRule>
  </conditionalFormatting>
  <conditionalFormatting sqref="J22">
    <cfRule type="cellIs" dxfId="31" priority="25" operator="equal">
      <formula>"OVERDUE"</formula>
    </cfRule>
    <cfRule type="cellIs" dxfId="30" priority="26" operator="equal">
      <formula>"DONE"</formula>
    </cfRule>
    <cfRule type="cellIs" dxfId="29" priority="27" operator="equal">
      <formula>"DONE"</formula>
    </cfRule>
  </conditionalFormatting>
  <conditionalFormatting sqref="J23">
    <cfRule type="cellIs" dxfId="28" priority="22" operator="equal">
      <formula>"OVERDUE"</formula>
    </cfRule>
    <cfRule type="cellIs" dxfId="27" priority="23" operator="equal">
      <formula>"DONE"</formula>
    </cfRule>
    <cfRule type="cellIs" dxfId="26" priority="24" operator="equal">
      <formula>"DONE"</formula>
    </cfRule>
  </conditionalFormatting>
  <conditionalFormatting sqref="J24">
    <cfRule type="cellIs" dxfId="25" priority="19" operator="equal">
      <formula>"OVERDUE"</formula>
    </cfRule>
    <cfRule type="cellIs" dxfId="24" priority="20" operator="equal">
      <formula>"DONE"</formula>
    </cfRule>
    <cfRule type="cellIs" dxfId="23" priority="21" operator="equal">
      <formula>"DONE"</formula>
    </cfRule>
  </conditionalFormatting>
  <conditionalFormatting sqref="J25">
    <cfRule type="cellIs" dxfId="22" priority="16" operator="equal">
      <formula>"OVERDUE"</formula>
    </cfRule>
    <cfRule type="cellIs" dxfId="21" priority="17" operator="equal">
      <formula>"DONE"</formula>
    </cfRule>
    <cfRule type="cellIs" dxfId="20" priority="18" operator="equal">
      <formula>"DONE"</formula>
    </cfRule>
  </conditionalFormatting>
  <conditionalFormatting sqref="J26">
    <cfRule type="cellIs" dxfId="19" priority="13" operator="equal">
      <formula>"OVERDUE"</formula>
    </cfRule>
    <cfRule type="cellIs" dxfId="18" priority="14" operator="equal">
      <formula>"DONE"</formula>
    </cfRule>
    <cfRule type="cellIs" dxfId="17" priority="15" operator="equal">
      <formula>"DONE"</formula>
    </cfRule>
  </conditionalFormatting>
  <conditionalFormatting sqref="J27">
    <cfRule type="cellIs" dxfId="16" priority="10" operator="equal">
      <formula>"OVERDUE"</formula>
    </cfRule>
    <cfRule type="cellIs" dxfId="15" priority="11" operator="equal">
      <formula>"DONE"</formula>
    </cfRule>
    <cfRule type="cellIs" dxfId="14" priority="12" operator="equal">
      <formula>"DONE"</formula>
    </cfRule>
  </conditionalFormatting>
  <conditionalFormatting sqref="J28">
    <cfRule type="cellIs" dxfId="13" priority="7" operator="equal">
      <formula>"OVERDUE"</formula>
    </cfRule>
    <cfRule type="cellIs" dxfId="12" priority="8" operator="equal">
      <formula>"DONE"</formula>
    </cfRule>
    <cfRule type="cellIs" dxfId="11" priority="9" operator="equal">
      <formula>"DONE"</formula>
    </cfRule>
  </conditionalFormatting>
  <conditionalFormatting sqref="J29">
    <cfRule type="cellIs" dxfId="10" priority="4" operator="equal">
      <formula>"OVERDUE"</formula>
    </cfRule>
    <cfRule type="cellIs" dxfId="9" priority="5" operator="equal">
      <formula>"DONE"</formula>
    </cfRule>
    <cfRule type="cellIs" dxfId="8" priority="6" operator="equal">
      <formula>"DONE"</formula>
    </cfRule>
  </conditionalFormatting>
  <conditionalFormatting sqref="J30">
    <cfRule type="cellIs" dxfId="7" priority="1" operator="equal">
      <formula>"OVERDUE"</formula>
    </cfRule>
    <cfRule type="cellIs" dxfId="6" priority="2" operator="equal">
      <formula>"DONE"</formula>
    </cfRule>
    <cfRule type="cellIs" dxfId="5" priority="3" operator="equal">
      <formula>"DONE"</formula>
    </cfRule>
  </conditionalFormatting>
  <conditionalFormatting sqref="J2:J3 J31:J1048576">
    <cfRule type="cellIs" dxfId="4" priority="82" operator="equal">
      <formula>"OVERDUE"</formula>
    </cfRule>
    <cfRule type="cellIs" dxfId="3" priority="83" operator="equal">
      <formula>"DONE"</formula>
    </cfRule>
    <cfRule type="cellIs" dxfId="2" priority="84" operator="equal">
      <formula>"DONE"</formula>
    </cfRule>
  </conditionalFormatting>
  <dataValidations disablePrompts="1"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workbookViewId="0">
      <selection activeCell="J16" sqref="J16"/>
    </sheetView>
  </sheetViews>
  <sheetFormatPr defaultRowHeight="16.5" x14ac:dyDescent="0.3"/>
  <cols>
    <col min="1" max="1" width="2.625" style="63" customWidth="1"/>
    <col min="2" max="2" width="10" style="141" hidden="1" customWidth="1"/>
    <col min="3" max="3" width="10" style="141" customWidth="1"/>
    <col min="4" max="4" width="17.5" style="141" customWidth="1"/>
    <col min="5" max="5" width="34.625" style="141" customWidth="1"/>
    <col min="6" max="16384" width="9" style="141"/>
  </cols>
  <sheetData>
    <row r="1" spans="1:5" ht="24.75" x14ac:dyDescent="0.3">
      <c r="A1" s="63" t="s">
        <v>406</v>
      </c>
      <c r="C1" s="149" t="s">
        <v>402</v>
      </c>
      <c r="D1" s="147"/>
      <c r="E1" s="147"/>
    </row>
    <row r="2" spans="1:5" x14ac:dyDescent="0.3">
      <c r="A2" s="63" t="s">
        <v>405</v>
      </c>
      <c r="B2" s="148" t="s">
        <v>404</v>
      </c>
      <c r="C2" s="148" t="s">
        <v>403</v>
      </c>
      <c r="D2" s="148" t="s">
        <v>134</v>
      </c>
      <c r="E2" s="148" t="s">
        <v>402</v>
      </c>
    </row>
    <row r="3" spans="1:5" x14ac:dyDescent="0.3">
      <c r="A3" s="63" t="s">
        <v>401</v>
      </c>
      <c r="B3" s="144">
        <f t="shared" ref="B3:B26" si="0">ROW($A1)</f>
        <v>1</v>
      </c>
      <c r="C3" s="144">
        <v>1</v>
      </c>
      <c r="D3" s="143">
        <v>43647</v>
      </c>
      <c r="E3" s="141" t="s">
        <v>400</v>
      </c>
    </row>
    <row r="4" spans="1:5" x14ac:dyDescent="0.3">
      <c r="B4" s="144">
        <f t="shared" si="0"/>
        <v>2</v>
      </c>
      <c r="C4" s="144">
        <v>-2</v>
      </c>
      <c r="D4" s="143">
        <f>D3+80</f>
        <v>43727</v>
      </c>
      <c r="E4" s="147" t="s">
        <v>399</v>
      </c>
    </row>
    <row r="5" spans="1:5" ht="33" x14ac:dyDescent="0.3">
      <c r="B5" s="144">
        <f t="shared" si="0"/>
        <v>3</v>
      </c>
      <c r="C5" s="144">
        <v>1</v>
      </c>
      <c r="D5" s="143">
        <f>D4+40</f>
        <v>43767</v>
      </c>
      <c r="E5" s="147" t="s">
        <v>398</v>
      </c>
    </row>
    <row r="6" spans="1:5" x14ac:dyDescent="0.3">
      <c r="B6" s="144">
        <f t="shared" si="0"/>
        <v>4</v>
      </c>
      <c r="C6" s="144">
        <v>-1</v>
      </c>
      <c r="D6" s="143">
        <f>D5+40</f>
        <v>43807</v>
      </c>
      <c r="E6" s="141" t="s">
        <v>397</v>
      </c>
    </row>
    <row r="7" spans="1:5" x14ac:dyDescent="0.3">
      <c r="B7" s="144">
        <f t="shared" si="0"/>
        <v>5</v>
      </c>
      <c r="C7" s="144">
        <v>-0.5</v>
      </c>
      <c r="D7" s="143">
        <f>D6+40</f>
        <v>43847</v>
      </c>
      <c r="E7" s="147" t="s">
        <v>396</v>
      </c>
    </row>
    <row r="8" spans="1:5" ht="66" x14ac:dyDescent="0.3">
      <c r="B8" s="144">
        <f t="shared" si="0"/>
        <v>6</v>
      </c>
      <c r="C8" s="144">
        <v>2</v>
      </c>
      <c r="D8" s="143">
        <f>D7+50</f>
        <v>43897</v>
      </c>
      <c r="E8" s="147" t="s">
        <v>395</v>
      </c>
    </row>
    <row r="9" spans="1:5" x14ac:dyDescent="0.3">
      <c r="B9" s="144">
        <f t="shared" si="0"/>
        <v>7</v>
      </c>
      <c r="C9" s="144">
        <v>0.5</v>
      </c>
      <c r="D9" s="143">
        <f>D8+20</f>
        <v>43917</v>
      </c>
      <c r="E9" s="141" t="s">
        <v>394</v>
      </c>
    </row>
    <row r="10" spans="1:5" x14ac:dyDescent="0.3">
      <c r="B10" s="144">
        <f t="shared" si="0"/>
        <v>8</v>
      </c>
      <c r="C10" s="144">
        <v>-1</v>
      </c>
      <c r="D10" s="143">
        <f>D9+30</f>
        <v>43947</v>
      </c>
      <c r="E10" s="141" t="s">
        <v>393</v>
      </c>
    </row>
    <row r="11" spans="1:5" x14ac:dyDescent="0.3">
      <c r="B11" s="144">
        <f t="shared" si="0"/>
        <v>9</v>
      </c>
      <c r="C11" s="144">
        <v>0.5</v>
      </c>
      <c r="D11" s="143">
        <f>D10+15</f>
        <v>43962</v>
      </c>
      <c r="E11" s="147" t="s">
        <v>392</v>
      </c>
    </row>
    <row r="12" spans="1:5" ht="33" x14ac:dyDescent="0.3">
      <c r="B12" s="144">
        <f t="shared" si="0"/>
        <v>10</v>
      </c>
      <c r="C12" s="146">
        <v>-2</v>
      </c>
      <c r="D12" s="143">
        <f>D11+1</f>
        <v>43963</v>
      </c>
      <c r="E12" s="147" t="s">
        <v>391</v>
      </c>
    </row>
    <row r="13" spans="1:5" x14ac:dyDescent="0.3">
      <c r="B13" s="144">
        <f t="shared" si="0"/>
        <v>11</v>
      </c>
      <c r="C13" s="144">
        <v>3</v>
      </c>
      <c r="D13" s="143">
        <f>D12+100</f>
        <v>44063</v>
      </c>
      <c r="E13" s="141" t="s">
        <v>390</v>
      </c>
    </row>
    <row r="14" spans="1:5" x14ac:dyDescent="0.3">
      <c r="B14" s="144">
        <f t="shared" si="0"/>
        <v>12</v>
      </c>
      <c r="C14" s="144">
        <v>-1</v>
      </c>
      <c r="D14" s="143">
        <f>D13+90</f>
        <v>44153</v>
      </c>
      <c r="E14" s="141" t="s">
        <v>389</v>
      </c>
    </row>
    <row r="15" spans="1:5" x14ac:dyDescent="0.3">
      <c r="B15" s="144">
        <f t="shared" si="0"/>
        <v>13</v>
      </c>
      <c r="C15" s="144">
        <v>1</v>
      </c>
      <c r="D15" s="143">
        <f>D14+80</f>
        <v>44233</v>
      </c>
      <c r="E15" s="141" t="s">
        <v>388</v>
      </c>
    </row>
    <row r="16" spans="1:5" x14ac:dyDescent="0.3">
      <c r="B16" s="144">
        <f t="shared" si="0"/>
        <v>14</v>
      </c>
      <c r="C16" s="144">
        <v>1</v>
      </c>
      <c r="D16" s="143">
        <f>D15+70</f>
        <v>44303</v>
      </c>
      <c r="E16" s="141" t="s">
        <v>387</v>
      </c>
    </row>
    <row r="17" spans="1:5" x14ac:dyDescent="0.3">
      <c r="B17" s="144">
        <f t="shared" si="0"/>
        <v>15</v>
      </c>
      <c r="C17" s="144">
        <v>-3</v>
      </c>
      <c r="D17" s="143">
        <f>D16+60</f>
        <v>44363</v>
      </c>
      <c r="E17" s="141" t="s">
        <v>386</v>
      </c>
    </row>
    <row r="18" spans="1:5" x14ac:dyDescent="0.3">
      <c r="B18" s="144">
        <f t="shared" si="0"/>
        <v>16</v>
      </c>
      <c r="C18" s="144">
        <v>-2</v>
      </c>
      <c r="D18" s="143">
        <f>D17+50</f>
        <v>44413</v>
      </c>
      <c r="E18" s="141" t="s">
        <v>385</v>
      </c>
    </row>
    <row r="19" spans="1:5" x14ac:dyDescent="0.3">
      <c r="B19" s="144">
        <f t="shared" si="0"/>
        <v>17</v>
      </c>
      <c r="C19" s="144">
        <v>2</v>
      </c>
      <c r="D19" s="143">
        <f>D18+40</f>
        <v>44453</v>
      </c>
      <c r="E19" s="141" t="s">
        <v>384</v>
      </c>
    </row>
    <row r="20" spans="1:5" x14ac:dyDescent="0.3">
      <c r="B20" s="144">
        <f t="shared" si="0"/>
        <v>18</v>
      </c>
      <c r="C20" s="144">
        <v>-1</v>
      </c>
      <c r="D20" s="143">
        <f>D19+30</f>
        <v>44483</v>
      </c>
      <c r="E20" s="141" t="s">
        <v>386</v>
      </c>
    </row>
    <row r="21" spans="1:5" x14ac:dyDescent="0.3">
      <c r="B21" s="144">
        <f t="shared" si="0"/>
        <v>19</v>
      </c>
      <c r="C21" s="144">
        <v>1</v>
      </c>
      <c r="D21" s="143">
        <f>D20+20</f>
        <v>44503</v>
      </c>
      <c r="E21" s="141" t="s">
        <v>385</v>
      </c>
    </row>
    <row r="22" spans="1:5" x14ac:dyDescent="0.3">
      <c r="B22" s="144">
        <f t="shared" si="0"/>
        <v>20</v>
      </c>
      <c r="C22" s="146">
        <v>-3</v>
      </c>
      <c r="D22" s="143">
        <f>D21+10</f>
        <v>44513</v>
      </c>
      <c r="E22" s="141" t="s">
        <v>384</v>
      </c>
    </row>
    <row r="23" spans="1:5" x14ac:dyDescent="0.3">
      <c r="B23" s="144">
        <f t="shared" si="0"/>
        <v>21</v>
      </c>
      <c r="C23" s="144">
        <v>2</v>
      </c>
      <c r="D23" s="143">
        <f>D22+20</f>
        <v>44533</v>
      </c>
      <c r="E23" s="141" t="s">
        <v>383</v>
      </c>
    </row>
    <row r="24" spans="1:5" x14ac:dyDescent="0.3">
      <c r="B24" s="144">
        <f t="shared" si="0"/>
        <v>22</v>
      </c>
      <c r="C24" s="145">
        <v>1</v>
      </c>
      <c r="D24" s="143">
        <f>D23+30</f>
        <v>44563</v>
      </c>
      <c r="E24" s="141" t="s">
        <v>382</v>
      </c>
    </row>
    <row r="25" spans="1:5" x14ac:dyDescent="0.3">
      <c r="B25" s="144">
        <f t="shared" si="0"/>
        <v>23</v>
      </c>
      <c r="C25" s="144">
        <v>-3</v>
      </c>
      <c r="D25" s="143">
        <f>D24+40</f>
        <v>44603</v>
      </c>
      <c r="E25" s="141" t="s">
        <v>381</v>
      </c>
    </row>
    <row r="26" spans="1:5" x14ac:dyDescent="0.3">
      <c r="B26" s="144">
        <f t="shared" si="0"/>
        <v>24</v>
      </c>
      <c r="C26" s="144">
        <v>-2</v>
      </c>
      <c r="D26" s="143">
        <f>D25+50</f>
        <v>44653</v>
      </c>
      <c r="E26" s="141" t="s">
        <v>380</v>
      </c>
    </row>
    <row r="27" spans="1:5" x14ac:dyDescent="0.3">
      <c r="A27" s="63" t="s">
        <v>379</v>
      </c>
      <c r="C27" s="142" t="s">
        <v>378</v>
      </c>
      <c r="D27" s="142"/>
      <c r="E27" s="142"/>
    </row>
  </sheetData>
  <phoneticPr fontId="40" type="noConversion"/>
  <printOptions horizontalCentered="1"/>
  <pageMargins left="0.7" right="0.7" top="0.75" bottom="0.75" header="0.3" footer="0.3"/>
  <pageSetup paperSize="9" fitToHeight="0" orientation="portrait" horizontalDpi="1200" verticalDpi="1200" r:id="rId1"/>
  <headerFooter differentFirst="1">
    <oddFooter>Page &amp;P of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election activeCell="E2" sqref="E2"/>
    </sheetView>
  </sheetViews>
  <sheetFormatPr defaultRowHeight="16.5" x14ac:dyDescent="0.3"/>
  <cols>
    <col min="1" max="1" width="3.125" style="151" customWidth="1"/>
    <col min="2" max="3" width="45.875" style="150" customWidth="1"/>
    <col min="4" max="4" width="61.875" style="150" customWidth="1"/>
    <col min="5" max="5" width="16" style="150" customWidth="1"/>
    <col min="6" max="16384" width="9" style="150"/>
  </cols>
  <sheetData>
    <row r="1" spans="1:4" ht="255" customHeight="1" x14ac:dyDescent="0.3">
      <c r="A1" s="151" t="s">
        <v>407</v>
      </c>
    </row>
    <row r="2" spans="1:4" ht="246.75" customHeight="1" x14ac:dyDescent="0.3"/>
    <row r="3" spans="1:4" ht="18" customHeight="1" x14ac:dyDescent="0.3">
      <c r="A3" s="153"/>
      <c r="B3" s="152">
        <f>[1]图表数据!B20</f>
        <v>2019</v>
      </c>
      <c r="C3" s="152">
        <f>[1]图表数据!B21</f>
        <v>2020</v>
      </c>
      <c r="D3" s="152">
        <f>[1]图表数据!B22</f>
        <v>2020</v>
      </c>
    </row>
  </sheetData>
  <phoneticPr fontId="40" type="noConversion"/>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滚动条 2">
              <controlPr defaultSize="0" autoPict="0" altText="Scrollbar to navigate the roadmap">
                <anchor>
                  <from>
                    <xdr:col>0</xdr:col>
                    <xdr:colOff>9525</xdr:colOff>
                    <xdr:row>2</xdr:row>
                    <xdr:rowOff>209550</xdr:rowOff>
                  </from>
                  <to>
                    <xdr:col>3</xdr:col>
                    <xdr:colOff>4705350</xdr:colOff>
                    <xdr:row>4</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12</vt:i4>
      </vt:variant>
    </vt:vector>
  </HeadingPairs>
  <TitlesOfParts>
    <vt:vector size="21" baseType="lpstr">
      <vt:lpstr>会议签到表</vt:lpstr>
      <vt:lpstr>framework</vt:lpstr>
      <vt:lpstr>opengl</vt:lpstr>
      <vt:lpstr>other</vt:lpstr>
      <vt:lpstr>newbrush SDK详细任务跟进</vt:lpstr>
      <vt:lpstr>newbrush SDK总任务表</vt:lpstr>
      <vt:lpstr>newbrush studio详细任务跟进</vt:lpstr>
      <vt:lpstr>里程碑</vt:lpstr>
      <vt:lpstr>路线图</vt:lpstr>
      <vt:lpstr>Display_Week</vt:lpstr>
      <vt:lpstr>'newbrush SDK详细任务跟进'!EOI</vt:lpstr>
      <vt:lpstr>'newbrush studio详细任务跟进'!EOI</vt:lpstr>
      <vt:lpstr>opengl!EOI</vt:lpstr>
      <vt:lpstr>other!EOI</vt:lpstr>
      <vt:lpstr>EOI</vt:lpstr>
      <vt:lpstr>'newbrush SDK总任务表'!Print_Titles</vt:lpstr>
      <vt:lpstr>里程碑!Print_Titles</vt:lpstr>
      <vt:lpstr>Project_Start</vt:lpstr>
      <vt:lpstr>'newbrush SDK总任务表'!task_end</vt:lpstr>
      <vt:lpstr>'newbrush SDK总任务表'!task_progress</vt:lpstr>
      <vt:lpstr>'newbrush SDK总任务表'!task_start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2020-03-23T01:53:33Z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